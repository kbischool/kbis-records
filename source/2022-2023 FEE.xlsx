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ED24C250-4225-4B3A-AD66-56D271489431}" xr6:coauthVersionLast="47" xr6:coauthVersionMax="47" xr10:uidLastSave="{00000000-0000-0000-0000-000000000000}"/>
  <bookViews>
    <workbookView xWindow="-120" yWindow="-120" windowWidth="24240" windowHeight="13020" firstSheet="5" activeTab="8" xr2:uid="{00000000-000D-0000-FFFF-FFFF00000000}"/>
  </bookViews>
  <sheets>
    <sheet name="1ST TERM 2021-2022" sheetId="1" r:id="rId1"/>
    <sheet name="2ND TERM 2021-2022" sheetId="2" r:id="rId2"/>
    <sheet name="3RD TERM 2021-2022" sheetId="3" r:id="rId3"/>
    <sheet name="AFTERSCHOOL STIPEND" sheetId="4" r:id="rId4"/>
    <sheet name="1ST TERM 2022-2023" sheetId="5" r:id="rId5"/>
    <sheet name="1ST TERM PAYMENT SHEET" sheetId="6" r:id="rId6"/>
    <sheet name="2ND TERM 2022-2023" sheetId="7" r:id="rId7"/>
    <sheet name="2ND TERM PAYMENT SHEET" sheetId="8" r:id="rId8"/>
    <sheet name="3RD TERM 2022-2023" sheetId="9" r:id="rId9"/>
    <sheet name="3RD TERM PAYMENT SHEE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DWICzWOaSjTS/x1OiZMBckjDCRCRM+cmpvu+VfcYisY="/>
    </ext>
  </extLst>
</workbook>
</file>

<file path=xl/calcChain.xml><?xml version="1.0" encoding="utf-8"?>
<calcChain xmlns="http://schemas.openxmlformats.org/spreadsheetml/2006/main">
  <c r="P59" i="9" l="1"/>
  <c r="N59" i="9"/>
  <c r="O58" i="9"/>
  <c r="Q58" i="9" s="1"/>
  <c r="O57" i="9"/>
  <c r="Q57" i="9" s="1"/>
  <c r="O55" i="9"/>
  <c r="Q55" i="9" s="1"/>
  <c r="O56" i="9"/>
  <c r="Q56" i="9" s="1"/>
  <c r="O53" i="9"/>
  <c r="Q53" i="9" s="1"/>
  <c r="O54" i="9"/>
  <c r="Q54" i="9" s="1"/>
  <c r="O52" i="9"/>
  <c r="Q52" i="9" s="1"/>
  <c r="O51" i="9"/>
  <c r="Q51" i="9" s="1"/>
  <c r="O50" i="9"/>
  <c r="Q50" i="9" s="1"/>
  <c r="O49" i="9"/>
  <c r="Q49" i="9" s="1"/>
  <c r="O48" i="9"/>
  <c r="Q48" i="9" s="1"/>
  <c r="O47" i="9"/>
  <c r="Q47" i="9" s="1"/>
  <c r="O46" i="9"/>
  <c r="Q46" i="9" s="1"/>
  <c r="O45" i="9"/>
  <c r="Q45" i="9" s="1"/>
  <c r="O44" i="9"/>
  <c r="Q44" i="9" s="1"/>
  <c r="O42" i="9"/>
  <c r="Q42" i="9" s="1"/>
  <c r="O43" i="9"/>
  <c r="Q43" i="9" s="1"/>
  <c r="O41" i="9"/>
  <c r="Q41" i="9" s="1"/>
  <c r="O40" i="9"/>
  <c r="Q40" i="9" s="1"/>
  <c r="O39" i="9"/>
  <c r="Q39" i="9" s="1"/>
  <c r="O38" i="9"/>
  <c r="Q38" i="9" s="1"/>
  <c r="O37" i="9"/>
  <c r="Q37" i="9" s="1"/>
  <c r="O36" i="9"/>
  <c r="Q36" i="9" s="1"/>
  <c r="O35" i="9"/>
  <c r="Q35" i="9" s="1"/>
  <c r="O31" i="9"/>
  <c r="Q31" i="9" s="1"/>
  <c r="O34" i="9"/>
  <c r="Q34" i="9" s="1"/>
  <c r="O32" i="9"/>
  <c r="Q32" i="9" s="1"/>
  <c r="O33" i="9"/>
  <c r="Q33" i="9" s="1"/>
  <c r="O30" i="9"/>
  <c r="Q30" i="9" s="1"/>
  <c r="O29" i="9"/>
  <c r="Q29" i="9" s="1"/>
  <c r="O28" i="9"/>
  <c r="Q28" i="9" s="1"/>
  <c r="O27" i="9"/>
  <c r="Q27" i="9" s="1"/>
  <c r="O26" i="9"/>
  <c r="Q26" i="9" s="1"/>
  <c r="O25" i="9"/>
  <c r="Q25" i="9" s="1"/>
  <c r="O24" i="9"/>
  <c r="Q24" i="9" s="1"/>
  <c r="O23" i="9"/>
  <c r="Q23" i="9" s="1"/>
  <c r="O22" i="9"/>
  <c r="Q22" i="9" s="1"/>
  <c r="O21" i="9"/>
  <c r="Q21" i="9" s="1"/>
  <c r="O20" i="9"/>
  <c r="Q20" i="9" s="1"/>
  <c r="O19" i="9"/>
  <c r="Q19" i="9" s="1"/>
  <c r="O7" i="9"/>
  <c r="Q7" i="9" s="1"/>
  <c r="O8" i="9"/>
  <c r="Q8" i="9" s="1"/>
  <c r="O17" i="9"/>
  <c r="Q17" i="9" s="1"/>
  <c r="O18" i="9"/>
  <c r="Q18" i="9" s="1"/>
  <c r="O16" i="9"/>
  <c r="Q16" i="9" s="1"/>
  <c r="O15" i="9"/>
  <c r="Q15" i="9" s="1"/>
  <c r="O14" i="9"/>
  <c r="Q14" i="9" s="1"/>
  <c r="O13" i="9"/>
  <c r="Q13" i="9" s="1"/>
  <c r="O12" i="9"/>
  <c r="Q12" i="9" s="1"/>
  <c r="O11" i="9"/>
  <c r="Q11" i="9" s="1"/>
  <c r="O10" i="9"/>
  <c r="Q10" i="9" s="1"/>
  <c r="O9" i="9"/>
  <c r="Q9" i="9" s="1"/>
  <c r="O3" i="9"/>
  <c r="Q3" i="9" s="1"/>
  <c r="O5" i="9"/>
  <c r="Q5" i="9" s="1"/>
  <c r="O4" i="9"/>
  <c r="Q4" i="9" s="1"/>
  <c r="O6" i="9"/>
  <c r="Q6" i="9" s="1"/>
  <c r="O2" i="9"/>
  <c r="H1" i="8"/>
  <c r="F60" i="7"/>
  <c r="AH57" i="7"/>
  <c r="AG57" i="7"/>
  <c r="AI56" i="7"/>
  <c r="AC56" i="7"/>
  <c r="U56" i="7"/>
  <c r="N56" i="7"/>
  <c r="AE56" i="7" s="1"/>
  <c r="AI55" i="7"/>
  <c r="AC55" i="7"/>
  <c r="AE55" i="7" s="1"/>
  <c r="U55" i="7"/>
  <c r="N55" i="7"/>
  <c r="AI54" i="7"/>
  <c r="AC54" i="7"/>
  <c r="U54" i="7"/>
  <c r="N54" i="7"/>
  <c r="AE54" i="7" s="1"/>
  <c r="AI53" i="7"/>
  <c r="AC53" i="7"/>
  <c r="U53" i="7"/>
  <c r="N53" i="7"/>
  <c r="AE53" i="7" s="1"/>
  <c r="AJ53" i="7" s="1"/>
  <c r="AI52" i="7"/>
  <c r="AC52" i="7"/>
  <c r="U52" i="7"/>
  <c r="N52" i="7"/>
  <c r="AE52" i="7" s="1"/>
  <c r="AI51" i="7"/>
  <c r="AC51" i="7"/>
  <c r="U51" i="7"/>
  <c r="N51" i="7"/>
  <c r="AE51" i="7" s="1"/>
  <c r="AI50" i="7"/>
  <c r="AC50" i="7"/>
  <c r="U50" i="7"/>
  <c r="N50" i="7"/>
  <c r="AI49" i="7"/>
  <c r="AC49" i="7"/>
  <c r="U49" i="7"/>
  <c r="N49" i="7"/>
  <c r="AE49" i="7" s="1"/>
  <c r="AI48" i="7"/>
  <c r="AC48" i="7"/>
  <c r="U48" i="7"/>
  <c r="N48" i="7"/>
  <c r="AI47" i="7"/>
  <c r="AC47" i="7"/>
  <c r="U47" i="7"/>
  <c r="AE47" i="7" s="1"/>
  <c r="N47" i="7"/>
  <c r="AI46" i="7"/>
  <c r="AC46" i="7"/>
  <c r="U46" i="7"/>
  <c r="N46" i="7"/>
  <c r="AI45" i="7"/>
  <c r="AC45" i="7"/>
  <c r="U45" i="7"/>
  <c r="N45" i="7"/>
  <c r="AE45" i="7" s="1"/>
  <c r="AI44" i="7"/>
  <c r="AC44" i="7"/>
  <c r="U44" i="7"/>
  <c r="N44" i="7"/>
  <c r="AE44" i="7" s="1"/>
  <c r="AI43" i="7"/>
  <c r="AC43" i="7"/>
  <c r="U43" i="7"/>
  <c r="AE43" i="7" s="1"/>
  <c r="N43" i="7"/>
  <c r="AI42" i="7"/>
  <c r="AC42" i="7"/>
  <c r="U42" i="7"/>
  <c r="N42" i="7"/>
  <c r="AE42" i="7" s="1"/>
  <c r="AI41" i="7"/>
  <c r="AC41" i="7"/>
  <c r="U41" i="7"/>
  <c r="N41" i="7"/>
  <c r="AI40" i="7"/>
  <c r="AC40" i="7"/>
  <c r="U40" i="7"/>
  <c r="N40" i="7"/>
  <c r="AE40" i="7" s="1"/>
  <c r="AI39" i="7"/>
  <c r="AC39" i="7"/>
  <c r="U39" i="7"/>
  <c r="N39" i="7"/>
  <c r="AE39" i="7" s="1"/>
  <c r="AI38" i="7"/>
  <c r="AC38" i="7"/>
  <c r="U38" i="7"/>
  <c r="N38" i="7"/>
  <c r="AE38" i="7" s="1"/>
  <c r="AF38" i="7" s="1"/>
  <c r="AI37" i="7"/>
  <c r="AC37" i="7"/>
  <c r="U37" i="7"/>
  <c r="N37" i="7"/>
  <c r="AE37" i="7" s="1"/>
  <c r="AI36" i="7"/>
  <c r="AC36" i="7"/>
  <c r="U36" i="7"/>
  <c r="N36" i="7"/>
  <c r="AI35" i="7"/>
  <c r="AC35" i="7"/>
  <c r="U35" i="7"/>
  <c r="N35" i="7"/>
  <c r="AE35" i="7" s="1"/>
  <c r="AI34" i="7"/>
  <c r="AC34" i="7"/>
  <c r="U34" i="7"/>
  <c r="N34" i="7"/>
  <c r="AI33" i="7"/>
  <c r="AC33" i="7"/>
  <c r="U33" i="7"/>
  <c r="N33" i="7"/>
  <c r="AE33" i="7" s="1"/>
  <c r="AI32" i="7"/>
  <c r="AC32" i="7"/>
  <c r="U32" i="7"/>
  <c r="N32" i="7"/>
  <c r="AI31" i="7"/>
  <c r="AC31" i="7"/>
  <c r="U31" i="7"/>
  <c r="N31" i="7"/>
  <c r="AI30" i="7"/>
  <c r="AC30" i="7"/>
  <c r="U30" i="7"/>
  <c r="N30" i="7"/>
  <c r="AI29" i="7"/>
  <c r="AC29" i="7"/>
  <c r="U29" i="7"/>
  <c r="N29" i="7"/>
  <c r="AE29" i="7" s="1"/>
  <c r="AI28" i="7"/>
  <c r="AC28" i="7"/>
  <c r="U28" i="7"/>
  <c r="N28" i="7"/>
  <c r="AE28" i="7" s="1"/>
  <c r="AJ28" i="7" s="1"/>
  <c r="AI27" i="7"/>
  <c r="AC27" i="7"/>
  <c r="U27" i="7"/>
  <c r="N27" i="7"/>
  <c r="AI26" i="7"/>
  <c r="AC26" i="7"/>
  <c r="U26" i="7"/>
  <c r="N26" i="7"/>
  <c r="AE26" i="7" s="1"/>
  <c r="AI25" i="7"/>
  <c r="AC25" i="7"/>
  <c r="U25" i="7"/>
  <c r="N25" i="7"/>
  <c r="AE25" i="7" s="1"/>
  <c r="AI24" i="7"/>
  <c r="AC24" i="7"/>
  <c r="U24" i="7"/>
  <c r="N24" i="7"/>
  <c r="AE24" i="7" s="1"/>
  <c r="AI23" i="7"/>
  <c r="AC23" i="7"/>
  <c r="U23" i="7"/>
  <c r="N23" i="7"/>
  <c r="AI22" i="7"/>
  <c r="AC22" i="7"/>
  <c r="U22" i="7"/>
  <c r="N22" i="7"/>
  <c r="AE22" i="7" s="1"/>
  <c r="AF22" i="7" s="1"/>
  <c r="AI21" i="7"/>
  <c r="AC21" i="7"/>
  <c r="U21" i="7"/>
  <c r="N21" i="7"/>
  <c r="AE21" i="7" s="1"/>
  <c r="AI20" i="7"/>
  <c r="AC20" i="7"/>
  <c r="U20" i="7"/>
  <c r="AE20" i="7" s="1"/>
  <c r="AJ20" i="7" s="1"/>
  <c r="N20" i="7"/>
  <c r="AI19" i="7"/>
  <c r="AC19" i="7"/>
  <c r="U19" i="7"/>
  <c r="N19" i="7"/>
  <c r="AI18" i="7"/>
  <c r="AC18" i="7"/>
  <c r="U18" i="7"/>
  <c r="N18" i="7"/>
  <c r="AE18" i="7" s="1"/>
  <c r="AI17" i="7"/>
  <c r="AC17" i="7"/>
  <c r="U17" i="7"/>
  <c r="N17" i="7"/>
  <c r="AE17" i="7" s="1"/>
  <c r="AI16" i="7"/>
  <c r="AC16" i="7"/>
  <c r="U16" i="7"/>
  <c r="AE16" i="7" s="1"/>
  <c r="N16" i="7"/>
  <c r="AI15" i="7"/>
  <c r="AC15" i="7"/>
  <c r="U15" i="7"/>
  <c r="N15" i="7"/>
  <c r="AE15" i="7" s="1"/>
  <c r="AI14" i="7"/>
  <c r="AC14" i="7"/>
  <c r="U14" i="7"/>
  <c r="N14" i="7"/>
  <c r="AE14" i="7" s="1"/>
  <c r="AI13" i="7"/>
  <c r="AC13" i="7"/>
  <c r="U13" i="7"/>
  <c r="N13" i="7"/>
  <c r="AE13" i="7" s="1"/>
  <c r="AI12" i="7"/>
  <c r="AC12" i="7"/>
  <c r="U12" i="7"/>
  <c r="N12" i="7"/>
  <c r="AI11" i="7"/>
  <c r="AC11" i="7"/>
  <c r="U11" i="7"/>
  <c r="N11" i="7"/>
  <c r="AI10" i="7"/>
  <c r="AC10" i="7"/>
  <c r="U10" i="7"/>
  <c r="N10" i="7"/>
  <c r="AE10" i="7" s="1"/>
  <c r="AI9" i="7"/>
  <c r="AC9" i="7"/>
  <c r="U9" i="7"/>
  <c r="N9" i="7"/>
  <c r="AE9" i="7" s="1"/>
  <c r="AF9" i="7" s="1"/>
  <c r="AI8" i="7"/>
  <c r="AC8" i="7"/>
  <c r="U8" i="7"/>
  <c r="N8" i="7"/>
  <c r="AE8" i="7" s="1"/>
  <c r="AI7" i="7"/>
  <c r="AC7" i="7"/>
  <c r="U7" i="7"/>
  <c r="N7" i="7"/>
  <c r="AI6" i="7"/>
  <c r="AC6" i="7"/>
  <c r="U6" i="7"/>
  <c r="N6" i="7"/>
  <c r="AE6" i="7" s="1"/>
  <c r="AJ6" i="7" s="1"/>
  <c r="AI5" i="7"/>
  <c r="AC5" i="7"/>
  <c r="U5" i="7"/>
  <c r="N5" i="7"/>
  <c r="AI4" i="7"/>
  <c r="AC4" i="7"/>
  <c r="U4" i="7"/>
  <c r="AE4" i="7" s="1"/>
  <c r="AF4" i="7" s="1"/>
  <c r="N4" i="7"/>
  <c r="AI3" i="7"/>
  <c r="AC3" i="7"/>
  <c r="U3" i="7"/>
  <c r="N3" i="7"/>
  <c r="AI2" i="7"/>
  <c r="AC2" i="7"/>
  <c r="U2" i="7"/>
  <c r="N2" i="7"/>
  <c r="AE2" i="7" s="1"/>
  <c r="H1" i="6"/>
  <c r="AH52" i="5"/>
  <c r="V52" i="5"/>
  <c r="AC52" i="5" s="1"/>
  <c r="AH51" i="5"/>
  <c r="V51" i="5"/>
  <c r="AC51" i="5" s="1"/>
  <c r="AI51" i="5" s="1"/>
  <c r="AH25" i="5"/>
  <c r="V25" i="5"/>
  <c r="AC25" i="5" s="1"/>
  <c r="AI25" i="5" s="1"/>
  <c r="AH41" i="5"/>
  <c r="V41" i="5"/>
  <c r="AC41" i="5" s="1"/>
  <c r="AI41" i="5" s="1"/>
  <c r="AH34" i="5"/>
  <c r="V34" i="5"/>
  <c r="AC34" i="5" s="1"/>
  <c r="AI34" i="5" s="1"/>
  <c r="AH22" i="5"/>
  <c r="V22" i="5"/>
  <c r="AC22" i="5" s="1"/>
  <c r="AH20" i="5"/>
  <c r="V20" i="5"/>
  <c r="AC20" i="5" s="1"/>
  <c r="AI20" i="5" s="1"/>
  <c r="AH13" i="5"/>
  <c r="V13" i="5"/>
  <c r="AC13" i="5" s="1"/>
  <c r="AI13" i="5" s="1"/>
  <c r="AH46" i="5"/>
  <c r="V46" i="5"/>
  <c r="AC46" i="5" s="1"/>
  <c r="AI46" i="5" s="1"/>
  <c r="AH37" i="5"/>
  <c r="V37" i="5"/>
  <c r="AC37" i="5" s="1"/>
  <c r="AH26" i="5"/>
  <c r="V26" i="5"/>
  <c r="AC26" i="5" s="1"/>
  <c r="AI26" i="5" s="1"/>
  <c r="AH23" i="5"/>
  <c r="V23" i="5"/>
  <c r="AC23" i="5" s="1"/>
  <c r="AI23" i="5" s="1"/>
  <c r="AH12" i="5"/>
  <c r="V12" i="5"/>
  <c r="AC12" i="5" s="1"/>
  <c r="AI12" i="5" s="1"/>
  <c r="AH49" i="5"/>
  <c r="V49" i="5"/>
  <c r="AC49" i="5" s="1"/>
  <c r="AI49" i="5" s="1"/>
  <c r="AH40" i="5"/>
  <c r="V40" i="5"/>
  <c r="AC40" i="5" s="1"/>
  <c r="AH36" i="5"/>
  <c r="V36" i="5"/>
  <c r="AC36" i="5" s="1"/>
  <c r="AI36" i="5" s="1"/>
  <c r="AH56" i="5"/>
  <c r="V56" i="5"/>
  <c r="AC56" i="5" s="1"/>
  <c r="AI56" i="5" s="1"/>
  <c r="AH54" i="5"/>
  <c r="V54" i="5"/>
  <c r="AC54" i="5" s="1"/>
  <c r="AI54" i="5" s="1"/>
  <c r="AH33" i="5"/>
  <c r="V33" i="5"/>
  <c r="AC33" i="5" s="1"/>
  <c r="AI33" i="5" s="1"/>
  <c r="AH24" i="5"/>
  <c r="V24" i="5"/>
  <c r="AC24" i="5" s="1"/>
  <c r="AI24" i="5" s="1"/>
  <c r="AH21" i="5"/>
  <c r="V21" i="5"/>
  <c r="AC21" i="5" s="1"/>
  <c r="AI21" i="5" s="1"/>
  <c r="AH6" i="5"/>
  <c r="V6" i="5"/>
  <c r="AC6" i="5" s="1"/>
  <c r="AH55" i="5"/>
  <c r="V55" i="5"/>
  <c r="AC55" i="5" s="1"/>
  <c r="AI55" i="5" s="1"/>
  <c r="AH48" i="5"/>
  <c r="V48" i="5"/>
  <c r="AC48" i="5" s="1"/>
  <c r="AI48" i="5" s="1"/>
  <c r="AH19" i="5"/>
  <c r="V19" i="5"/>
  <c r="AC19" i="5" s="1"/>
  <c r="AI19" i="5" s="1"/>
  <c r="AH11" i="5"/>
  <c r="V11" i="5"/>
  <c r="AC11" i="5" s="1"/>
  <c r="AH58" i="5"/>
  <c r="V58" i="5"/>
  <c r="AC58" i="5" s="1"/>
  <c r="AI58" i="5" s="1"/>
  <c r="AH44" i="5"/>
  <c r="V44" i="5"/>
  <c r="AC44" i="5" s="1"/>
  <c r="AI44" i="5" s="1"/>
  <c r="AH32" i="5"/>
  <c r="V32" i="5"/>
  <c r="AC32" i="5" s="1"/>
  <c r="AI32" i="5" s="1"/>
  <c r="AH16" i="5"/>
  <c r="V16" i="5"/>
  <c r="AC16" i="5" s="1"/>
  <c r="AI16" i="5" s="1"/>
  <c r="AH5" i="5"/>
  <c r="V5" i="5"/>
  <c r="AC5" i="5" s="1"/>
  <c r="AH53" i="5"/>
  <c r="V53" i="5"/>
  <c r="AC53" i="5" s="1"/>
  <c r="AI53" i="5" s="1"/>
  <c r="AH43" i="5"/>
  <c r="V43" i="5"/>
  <c r="AC43" i="5" s="1"/>
  <c r="AI43" i="5" s="1"/>
  <c r="AH27" i="5"/>
  <c r="V27" i="5"/>
  <c r="AC27" i="5" s="1"/>
  <c r="AI27" i="5" s="1"/>
  <c r="AH18" i="5"/>
  <c r="V18" i="5"/>
  <c r="AC18" i="5" s="1"/>
  <c r="AI18" i="5" s="1"/>
  <c r="AH10" i="5"/>
  <c r="V10" i="5"/>
  <c r="AC10" i="5" s="1"/>
  <c r="AI10" i="5" s="1"/>
  <c r="AH9" i="5"/>
  <c r="V9" i="5"/>
  <c r="AC9" i="5" s="1"/>
  <c r="AI9" i="5" s="1"/>
  <c r="AH4" i="5"/>
  <c r="V4" i="5"/>
  <c r="AC4" i="5" s="1"/>
  <c r="AH45" i="5"/>
  <c r="V45" i="5"/>
  <c r="AC45" i="5" s="1"/>
  <c r="AI45" i="5" s="1"/>
  <c r="AH57" i="5"/>
  <c r="V57" i="5"/>
  <c r="AC57" i="5" s="1"/>
  <c r="AI57" i="5" s="1"/>
  <c r="AH42" i="5"/>
  <c r="V42" i="5"/>
  <c r="AC42" i="5" s="1"/>
  <c r="AI42" i="5" s="1"/>
  <c r="AH31" i="5"/>
  <c r="V31" i="5"/>
  <c r="AC31" i="5" s="1"/>
  <c r="AH30" i="5"/>
  <c r="V30" i="5"/>
  <c r="AC30" i="5" s="1"/>
  <c r="AI30" i="5" s="1"/>
  <c r="AH29" i="5"/>
  <c r="V29" i="5"/>
  <c r="AC29" i="5" s="1"/>
  <c r="AH17" i="5"/>
  <c r="V17" i="5"/>
  <c r="AC17" i="5" s="1"/>
  <c r="AI17" i="5" s="1"/>
  <c r="AH7" i="5"/>
  <c r="V7" i="5"/>
  <c r="AC7" i="5" s="1"/>
  <c r="AI7" i="5" s="1"/>
  <c r="AH50" i="5"/>
  <c r="V50" i="5"/>
  <c r="AC50" i="5" s="1"/>
  <c r="AI50" i="5" s="1"/>
  <c r="AH15" i="5"/>
  <c r="V15" i="5"/>
  <c r="AC15" i="5" s="1"/>
  <c r="AI15" i="5" s="1"/>
  <c r="AH14" i="5"/>
  <c r="V14" i="5"/>
  <c r="AC14" i="5" s="1"/>
  <c r="AH3" i="5"/>
  <c r="V3" i="5"/>
  <c r="AC3" i="5" s="1"/>
  <c r="AI3" i="5" s="1"/>
  <c r="AH47" i="5"/>
  <c r="V47" i="5"/>
  <c r="AC47" i="5" s="1"/>
  <c r="AI47" i="5" s="1"/>
  <c r="AH38" i="5"/>
  <c r="V38" i="5"/>
  <c r="AC38" i="5" s="1"/>
  <c r="AH28" i="5"/>
  <c r="V28" i="5"/>
  <c r="AC28" i="5" s="1"/>
  <c r="AI28" i="5" s="1"/>
  <c r="AH8" i="5"/>
  <c r="V8" i="5"/>
  <c r="AC8" i="5" s="1"/>
  <c r="AI8" i="5" s="1"/>
  <c r="AH2" i="5"/>
  <c r="V2" i="5"/>
  <c r="AC2" i="5" s="1"/>
  <c r="AI2" i="5" s="1"/>
  <c r="AH39" i="5"/>
  <c r="V39" i="5"/>
  <c r="AC39" i="5" s="1"/>
  <c r="AI39" i="5" s="1"/>
  <c r="AH35" i="5"/>
  <c r="V35" i="5"/>
  <c r="AC35" i="5" s="1"/>
  <c r="N53" i="4"/>
  <c r="I53" i="4"/>
  <c r="J40" i="4" s="1"/>
  <c r="D53" i="4"/>
  <c r="E43" i="4"/>
  <c r="F43" i="4" s="1"/>
  <c r="E42" i="4"/>
  <c r="F42" i="4" s="1"/>
  <c r="J41" i="4"/>
  <c r="K41" i="4" s="1"/>
  <c r="E41" i="4"/>
  <c r="F41" i="4" s="1"/>
  <c r="K40" i="4"/>
  <c r="E40" i="4"/>
  <c r="F40" i="4" s="1"/>
  <c r="J39" i="4"/>
  <c r="J53" i="4" s="1"/>
  <c r="E39" i="4"/>
  <c r="N35" i="4"/>
  <c r="I35" i="4"/>
  <c r="D35" i="4"/>
  <c r="E25" i="4"/>
  <c r="F25" i="4" s="1"/>
  <c r="E24" i="4"/>
  <c r="F24" i="4" s="1"/>
  <c r="O23" i="4"/>
  <c r="P23" i="4" s="1"/>
  <c r="J23" i="4"/>
  <c r="K23" i="4" s="1"/>
  <c r="E23" i="4"/>
  <c r="F23" i="4" s="1"/>
  <c r="O22" i="4"/>
  <c r="P22" i="4" s="1"/>
  <c r="J22" i="4"/>
  <c r="K22" i="4" s="1"/>
  <c r="E22" i="4"/>
  <c r="F22" i="4" s="1"/>
  <c r="O21" i="4"/>
  <c r="P21" i="4" s="1"/>
  <c r="P35" i="4" s="1"/>
  <c r="J21" i="4"/>
  <c r="K21" i="4" s="1"/>
  <c r="E21" i="4"/>
  <c r="I17" i="4"/>
  <c r="J14" i="4" s="1"/>
  <c r="K14" i="4" s="1"/>
  <c r="D17" i="4"/>
  <c r="J16" i="4"/>
  <c r="K16" i="4" s="1"/>
  <c r="J13" i="4"/>
  <c r="K13" i="4" s="1"/>
  <c r="J12" i="4"/>
  <c r="K12" i="4" s="1"/>
  <c r="E12" i="4"/>
  <c r="F12" i="4" s="1"/>
  <c r="E11" i="4"/>
  <c r="F11" i="4" s="1"/>
  <c r="J10" i="4"/>
  <c r="K10" i="4" s="1"/>
  <c r="J9" i="4"/>
  <c r="K9" i="4" s="1"/>
  <c r="E9" i="4"/>
  <c r="F9" i="4" s="1"/>
  <c r="J8" i="4"/>
  <c r="K8" i="4" s="1"/>
  <c r="E8" i="4"/>
  <c r="F8" i="4" s="1"/>
  <c r="E7" i="4"/>
  <c r="F7" i="4" s="1"/>
  <c r="J5" i="4"/>
  <c r="K5" i="4" s="1"/>
  <c r="E5" i="4"/>
  <c r="F5" i="4" s="1"/>
  <c r="E4" i="4"/>
  <c r="F4" i="4" s="1"/>
  <c r="E3" i="4"/>
  <c r="D52" i="3"/>
  <c r="E52" i="3" s="1"/>
  <c r="D51" i="3"/>
  <c r="E51" i="3" s="1"/>
  <c r="D27" i="3"/>
  <c r="E27" i="3" s="1"/>
  <c r="D56" i="3"/>
  <c r="E56" i="3" s="1"/>
  <c r="D54" i="3"/>
  <c r="E54" i="3" s="1"/>
  <c r="D20" i="3"/>
  <c r="E20" i="3" s="1"/>
  <c r="D47" i="3"/>
  <c r="E47" i="3" s="1"/>
  <c r="D24" i="3"/>
  <c r="E24" i="3" s="1"/>
  <c r="D13" i="3"/>
  <c r="E13" i="3" s="1"/>
  <c r="D53" i="3"/>
  <c r="E53" i="3" s="1"/>
  <c r="D46" i="3"/>
  <c r="E46" i="3" s="1"/>
  <c r="D16" i="3"/>
  <c r="E16" i="3" s="1"/>
  <c r="D7" i="3"/>
  <c r="E7" i="3" s="1"/>
  <c r="D58" i="3"/>
  <c r="E58" i="3" s="1"/>
  <c r="D40" i="3"/>
  <c r="E40" i="3" s="1"/>
  <c r="D39" i="3"/>
  <c r="E39" i="3" s="1"/>
  <c r="D33" i="3"/>
  <c r="E33" i="3" s="1"/>
  <c r="D11" i="3"/>
  <c r="E11" i="3" s="1"/>
  <c r="D55" i="3"/>
  <c r="E55" i="3" s="1"/>
  <c r="D26" i="3"/>
  <c r="E26" i="3" s="1"/>
  <c r="D57" i="3"/>
  <c r="E57" i="3" s="1"/>
  <c r="D50" i="3"/>
  <c r="E50" i="3" s="1"/>
  <c r="D49" i="3"/>
  <c r="E49" i="3" s="1"/>
  <c r="D32" i="3"/>
  <c r="E32" i="3" s="1"/>
  <c r="D29" i="3"/>
  <c r="E29" i="3" s="1"/>
  <c r="D28" i="3"/>
  <c r="E28" i="3" s="1"/>
  <c r="D25" i="3"/>
  <c r="E25" i="3" s="1"/>
  <c r="D23" i="3"/>
  <c r="E23" i="3" s="1"/>
  <c r="D14" i="3"/>
  <c r="E14" i="3" s="1"/>
  <c r="D3" i="3"/>
  <c r="E3" i="3" s="1"/>
  <c r="D10" i="3"/>
  <c r="E10" i="3" s="1"/>
  <c r="D9" i="3"/>
  <c r="E9" i="3" s="1"/>
  <c r="D2" i="3"/>
  <c r="E2" i="3" s="1"/>
  <c r="D15" i="3"/>
  <c r="E15" i="3" s="1"/>
  <c r="D5" i="3"/>
  <c r="E5" i="3" s="1"/>
  <c r="D4" i="3"/>
  <c r="E4" i="3" s="1"/>
  <c r="D44" i="3"/>
  <c r="E44" i="3" s="1"/>
  <c r="D42" i="3"/>
  <c r="E42" i="3" s="1"/>
  <c r="D38" i="3"/>
  <c r="E38" i="3" s="1"/>
  <c r="D34" i="3"/>
  <c r="E34" i="3" s="1"/>
  <c r="D31" i="3"/>
  <c r="E31" i="3" s="1"/>
  <c r="D18" i="3"/>
  <c r="E18" i="3" s="1"/>
  <c r="D17" i="3"/>
  <c r="E17" i="3" s="1"/>
  <c r="D12" i="3"/>
  <c r="E12" i="3" s="1"/>
  <c r="D8" i="3"/>
  <c r="E8" i="3" s="1"/>
  <c r="D41" i="3"/>
  <c r="E41" i="3" s="1"/>
  <c r="D36" i="3"/>
  <c r="E36" i="3" s="1"/>
  <c r="D30" i="3"/>
  <c r="E30" i="3" s="1"/>
  <c r="D21" i="3"/>
  <c r="E21" i="3" s="1"/>
  <c r="D19" i="3"/>
  <c r="E19" i="3" s="1"/>
  <c r="D6" i="3"/>
  <c r="E6" i="3" s="1"/>
  <c r="D48" i="3"/>
  <c r="E48" i="3" s="1"/>
  <c r="D45" i="3"/>
  <c r="E45" i="3" s="1"/>
  <c r="D37" i="3"/>
  <c r="E37" i="3" s="1"/>
  <c r="D35" i="3"/>
  <c r="E35" i="3" s="1"/>
  <c r="D43" i="3"/>
  <c r="E43" i="3" s="1"/>
  <c r="D22" i="3"/>
  <c r="E22" i="3" s="1"/>
  <c r="D39" i="2"/>
  <c r="E39" i="2" s="1"/>
  <c r="D57" i="2"/>
  <c r="E57" i="2" s="1"/>
  <c r="D56" i="2"/>
  <c r="E56" i="2" s="1"/>
  <c r="D28" i="2"/>
  <c r="E28" i="2" s="1"/>
  <c r="D61" i="2"/>
  <c r="E61" i="2" s="1"/>
  <c r="D59" i="2"/>
  <c r="E59" i="2" s="1"/>
  <c r="D21" i="2"/>
  <c r="E21" i="2" s="1"/>
  <c r="D50" i="2"/>
  <c r="E50" i="2" s="1"/>
  <c r="D25" i="2"/>
  <c r="E25" i="2" s="1"/>
  <c r="D18" i="2"/>
  <c r="E18" i="2" s="1"/>
  <c r="D13" i="2"/>
  <c r="E13" i="2" s="1"/>
  <c r="D58" i="2"/>
  <c r="E58" i="2" s="1"/>
  <c r="D49" i="2"/>
  <c r="E49" i="2" s="1"/>
  <c r="D16" i="2"/>
  <c r="E16" i="2" s="1"/>
  <c r="D7" i="2"/>
  <c r="E7" i="2" s="1"/>
  <c r="D63" i="2"/>
  <c r="E63" i="2" s="1"/>
  <c r="D43" i="2"/>
  <c r="E43" i="2" s="1"/>
  <c r="D41" i="2"/>
  <c r="E41" i="2" s="1"/>
  <c r="D33" i="2"/>
  <c r="E33" i="2" s="1"/>
  <c r="D11" i="2"/>
  <c r="E11" i="2" s="1"/>
  <c r="D60" i="2"/>
  <c r="E60" i="2" s="1"/>
  <c r="D27" i="2"/>
  <c r="E27" i="2" s="1"/>
  <c r="D62" i="2"/>
  <c r="E62" i="2" s="1"/>
  <c r="D55" i="2"/>
  <c r="E55" i="2" s="1"/>
  <c r="D54" i="2"/>
  <c r="E54" i="2" s="1"/>
  <c r="D40" i="2"/>
  <c r="E40" i="2" s="1"/>
  <c r="D32" i="2"/>
  <c r="E32" i="2" s="1"/>
  <c r="D29" i="2"/>
  <c r="E29" i="2" s="1"/>
  <c r="D26" i="2"/>
  <c r="E26" i="2" s="1"/>
  <c r="D24" i="2"/>
  <c r="E24" i="2" s="1"/>
  <c r="D14" i="2"/>
  <c r="E14" i="2" s="1"/>
  <c r="D3" i="2"/>
  <c r="E3" i="2" s="1"/>
  <c r="D52" i="2"/>
  <c r="E52" i="2" s="1"/>
  <c r="D10" i="2"/>
  <c r="E10" i="2" s="1"/>
  <c r="D9" i="2"/>
  <c r="E9" i="2" s="1"/>
  <c r="D2" i="2"/>
  <c r="E2" i="2" s="1"/>
  <c r="D51" i="2"/>
  <c r="E51" i="2" s="1"/>
  <c r="D42" i="2"/>
  <c r="E42" i="2" s="1"/>
  <c r="D15" i="2"/>
  <c r="E15" i="2" s="1"/>
  <c r="D5" i="2"/>
  <c r="E5" i="2" s="1"/>
  <c r="D4" i="2"/>
  <c r="E4" i="2" s="1"/>
  <c r="D47" i="2"/>
  <c r="E47" i="2" s="1"/>
  <c r="D45" i="2"/>
  <c r="E45" i="2" s="1"/>
  <c r="D38" i="2"/>
  <c r="E38" i="2" s="1"/>
  <c r="D34" i="2"/>
  <c r="E34" i="2" s="1"/>
  <c r="D31" i="2"/>
  <c r="E31" i="2" s="1"/>
  <c r="D19" i="2"/>
  <c r="E19" i="2" s="1"/>
  <c r="D17" i="2"/>
  <c r="E17" i="2" s="1"/>
  <c r="D12" i="2"/>
  <c r="E12" i="2" s="1"/>
  <c r="D8" i="2"/>
  <c r="E8" i="2" s="1"/>
  <c r="D44" i="2"/>
  <c r="E44" i="2" s="1"/>
  <c r="D36" i="2"/>
  <c r="E36" i="2" s="1"/>
  <c r="D30" i="2"/>
  <c r="E30" i="2" s="1"/>
  <c r="D22" i="2"/>
  <c r="E22" i="2" s="1"/>
  <c r="D20" i="2"/>
  <c r="E20" i="2" s="1"/>
  <c r="D6" i="2"/>
  <c r="E6" i="2" s="1"/>
  <c r="D53" i="2"/>
  <c r="E53" i="2" s="1"/>
  <c r="D48" i="2"/>
  <c r="E48" i="2" s="1"/>
  <c r="D37" i="2"/>
  <c r="E37" i="2" s="1"/>
  <c r="D35" i="2"/>
  <c r="E35" i="2" s="1"/>
  <c r="D46" i="2"/>
  <c r="E46" i="2" s="1"/>
  <c r="D23" i="2"/>
  <c r="E23" i="2" s="1"/>
  <c r="D38" i="1"/>
  <c r="E38" i="1" s="1"/>
  <c r="D56" i="1"/>
  <c r="E56" i="1" s="1"/>
  <c r="D55" i="1"/>
  <c r="E55" i="1" s="1"/>
  <c r="D27" i="1"/>
  <c r="E27" i="1" s="1"/>
  <c r="D60" i="1"/>
  <c r="E60" i="1" s="1"/>
  <c r="D58" i="1"/>
  <c r="E58" i="1" s="1"/>
  <c r="D21" i="1"/>
  <c r="E21" i="1" s="1"/>
  <c r="D49" i="1"/>
  <c r="E49" i="1" s="1"/>
  <c r="D24" i="1"/>
  <c r="E24" i="1" s="1"/>
  <c r="D18" i="1"/>
  <c r="E18" i="1" s="1"/>
  <c r="D13" i="1"/>
  <c r="E13" i="1" s="1"/>
  <c r="D57" i="1"/>
  <c r="E57" i="1" s="1"/>
  <c r="D48" i="1"/>
  <c r="E48" i="1" s="1"/>
  <c r="D16" i="1"/>
  <c r="E16" i="1" s="1"/>
  <c r="D7" i="1"/>
  <c r="E7" i="1" s="1"/>
  <c r="D62" i="1"/>
  <c r="E62" i="1" s="1"/>
  <c r="D42" i="1"/>
  <c r="E42" i="1" s="1"/>
  <c r="D40" i="1"/>
  <c r="E40" i="1" s="1"/>
  <c r="D32" i="1"/>
  <c r="E32" i="1" s="1"/>
  <c r="D11" i="1"/>
  <c r="E11" i="1" s="1"/>
  <c r="D59" i="1"/>
  <c r="E59" i="1" s="1"/>
  <c r="D26" i="1"/>
  <c r="E26" i="1" s="1"/>
  <c r="D61" i="1"/>
  <c r="E61" i="1" s="1"/>
  <c r="D54" i="1"/>
  <c r="E54" i="1" s="1"/>
  <c r="D53" i="1"/>
  <c r="E53" i="1" s="1"/>
  <c r="D39" i="1"/>
  <c r="E39" i="1" s="1"/>
  <c r="D31" i="1"/>
  <c r="E31" i="1" s="1"/>
  <c r="D28" i="1"/>
  <c r="E28" i="1" s="1"/>
  <c r="D25" i="1"/>
  <c r="E25" i="1" s="1"/>
  <c r="D23" i="1"/>
  <c r="E23" i="1" s="1"/>
  <c r="D14" i="1"/>
  <c r="E14" i="1" s="1"/>
  <c r="D3" i="1"/>
  <c r="E3" i="1" s="1"/>
  <c r="D51" i="1"/>
  <c r="E51" i="1" s="1"/>
  <c r="D10" i="1"/>
  <c r="E10" i="1" s="1"/>
  <c r="D9" i="1"/>
  <c r="E9" i="1" s="1"/>
  <c r="D2" i="1"/>
  <c r="E2" i="1" s="1"/>
  <c r="D50" i="1"/>
  <c r="E50" i="1" s="1"/>
  <c r="D41" i="1"/>
  <c r="E41" i="1" s="1"/>
  <c r="D15" i="1"/>
  <c r="E15" i="1" s="1"/>
  <c r="D5" i="1"/>
  <c r="E5" i="1" s="1"/>
  <c r="D4" i="1"/>
  <c r="E4" i="1" s="1"/>
  <c r="D46" i="1"/>
  <c r="E46" i="1" s="1"/>
  <c r="D44" i="1"/>
  <c r="E44" i="1" s="1"/>
  <c r="D37" i="1"/>
  <c r="E37" i="1" s="1"/>
  <c r="D33" i="1"/>
  <c r="E33" i="1" s="1"/>
  <c r="D30" i="1"/>
  <c r="E30" i="1" s="1"/>
  <c r="D19" i="1"/>
  <c r="E19" i="1" s="1"/>
  <c r="D17" i="1"/>
  <c r="E17" i="1" s="1"/>
  <c r="D12" i="1"/>
  <c r="E12" i="1" s="1"/>
  <c r="D8" i="1"/>
  <c r="E8" i="1" s="1"/>
  <c r="D43" i="1"/>
  <c r="E43" i="1" s="1"/>
  <c r="D35" i="1"/>
  <c r="E35" i="1" s="1"/>
  <c r="D29" i="1"/>
  <c r="E29" i="1" s="1"/>
  <c r="D22" i="1"/>
  <c r="E22" i="1" s="1"/>
  <c r="D20" i="1"/>
  <c r="E20" i="1" s="1"/>
  <c r="D6" i="1"/>
  <c r="E6" i="1" s="1"/>
  <c r="D52" i="1"/>
  <c r="E52" i="1" s="1"/>
  <c r="D47" i="1"/>
  <c r="E47" i="1" s="1"/>
  <c r="D36" i="1"/>
  <c r="E36" i="1" s="1"/>
  <c r="D34" i="1"/>
  <c r="E34" i="1" s="1"/>
  <c r="D45" i="1"/>
  <c r="E45" i="1" s="1"/>
  <c r="AI52" i="5" l="1"/>
  <c r="AE32" i="7"/>
  <c r="AE12" i="7"/>
  <c r="AE48" i="7"/>
  <c r="AE31" i="7"/>
  <c r="AE23" i="7"/>
  <c r="AE5" i="7"/>
  <c r="AJ4" i="7"/>
  <c r="AJ45" i="7"/>
  <c r="AF45" i="7"/>
  <c r="AF43" i="7"/>
  <c r="AJ43" i="7"/>
  <c r="AJ42" i="7"/>
  <c r="AF42" i="7"/>
  <c r="AJ40" i="7"/>
  <c r="AF40" i="7"/>
  <c r="AJ29" i="7"/>
  <c r="AF29" i="7"/>
  <c r="AJ26" i="7"/>
  <c r="AF26" i="7"/>
  <c r="AJ18" i="7"/>
  <c r="AF18" i="7"/>
  <c r="AJ17" i="7"/>
  <c r="AF17" i="7"/>
  <c r="AJ15" i="7"/>
  <c r="AF15" i="7"/>
  <c r="AJ13" i="7"/>
  <c r="AF13" i="7"/>
  <c r="E53" i="4"/>
  <c r="F39" i="4"/>
  <c r="F53" i="4" s="1"/>
  <c r="O59" i="9"/>
  <c r="Q2" i="9"/>
  <c r="Q59" i="9" s="1"/>
  <c r="O39" i="4"/>
  <c r="O40" i="4"/>
  <c r="P40" i="4" s="1"/>
  <c r="E35" i="4"/>
  <c r="F21" i="4"/>
  <c r="F35" i="4" s="1"/>
  <c r="O35" i="4"/>
  <c r="AJ9" i="7"/>
  <c r="AJ10" i="7"/>
  <c r="AF10" i="7"/>
  <c r="AF12" i="7"/>
  <c r="AJ12" i="7"/>
  <c r="AJ24" i="7"/>
  <c r="AF24" i="7"/>
  <c r="AJ25" i="7"/>
  <c r="AF25" i="7"/>
  <c r="AJ33" i="7"/>
  <c r="AF33" i="7"/>
  <c r="AF54" i="7"/>
  <c r="AJ54" i="7"/>
  <c r="AJ56" i="7"/>
  <c r="AF56" i="7"/>
  <c r="J4" i="4"/>
  <c r="K4" i="4" s="1"/>
  <c r="J6" i="4"/>
  <c r="K6" i="4" s="1"/>
  <c r="E10" i="4"/>
  <c r="F10" i="4" s="1"/>
  <c r="E6" i="4"/>
  <c r="F6" i="4" s="1"/>
  <c r="K35" i="4"/>
  <c r="K39" i="4"/>
  <c r="K53" i="4" s="1"/>
  <c r="AI35" i="5"/>
  <c r="AI38" i="5"/>
  <c r="AI14" i="5"/>
  <c r="AI29" i="5"/>
  <c r="AF6" i="7"/>
  <c r="AF16" i="7"/>
  <c r="AJ16" i="7"/>
  <c r="AF31" i="7"/>
  <c r="AJ31" i="7"/>
  <c r="AJ38" i="7"/>
  <c r="AF39" i="7"/>
  <c r="AJ39" i="7"/>
  <c r="AJ44" i="7"/>
  <c r="AF44" i="7"/>
  <c r="AF47" i="7"/>
  <c r="AJ47" i="7"/>
  <c r="AF51" i="7"/>
  <c r="AJ51" i="7"/>
  <c r="AJ2" i="7"/>
  <c r="AF2" i="7"/>
  <c r="E17" i="4"/>
  <c r="F3" i="4"/>
  <c r="J15" i="4"/>
  <c r="K15" i="4" s="1"/>
  <c r="J11" i="4"/>
  <c r="K11" i="4" s="1"/>
  <c r="J7" i="4"/>
  <c r="K7" i="4" s="1"/>
  <c r="J3" i="4"/>
  <c r="J35" i="4"/>
  <c r="AI31" i="5"/>
  <c r="AI11" i="5"/>
  <c r="AI37" i="5"/>
  <c r="AI57" i="7"/>
  <c r="AJ21" i="7"/>
  <c r="AF21" i="7"/>
  <c r="AF23" i="7"/>
  <c r="AJ23" i="7"/>
  <c r="AF35" i="7"/>
  <c r="AJ35" i="7"/>
  <c r="AF48" i="7"/>
  <c r="AJ48" i="7"/>
  <c r="AE36" i="7"/>
  <c r="AJ37" i="7"/>
  <c r="AF37" i="7"/>
  <c r="AF55" i="7"/>
  <c r="AJ55" i="7"/>
  <c r="AJ14" i="7"/>
  <c r="AF14" i="7"/>
  <c r="AJ22" i="7"/>
  <c r="AI4" i="5"/>
  <c r="AI5" i="5"/>
  <c r="AI6" i="5"/>
  <c r="AI40" i="5"/>
  <c r="AI22" i="5"/>
  <c r="AF8" i="7"/>
  <c r="AJ8" i="7"/>
  <c r="AE11" i="7"/>
  <c r="AE27" i="7"/>
  <c r="AF28" i="7"/>
  <c r="AE41" i="7"/>
  <c r="AJ49" i="7"/>
  <c r="AF49" i="7"/>
  <c r="AF52" i="7"/>
  <c r="AJ52" i="7"/>
  <c r="AE3" i="7"/>
  <c r="AE19" i="7"/>
  <c r="AE30" i="7"/>
  <c r="AE46" i="7"/>
  <c r="AF53" i="7"/>
  <c r="AE7" i="7"/>
  <c r="AE34" i="7"/>
  <c r="AE50" i="7"/>
  <c r="AJ32" i="7" l="1"/>
  <c r="AF32" i="7"/>
  <c r="AJ5" i="7"/>
  <c r="AF5" i="7"/>
  <c r="AE57" i="7"/>
  <c r="AF34" i="7"/>
  <c r="AJ34" i="7"/>
  <c r="AJ30" i="7"/>
  <c r="AF30" i="7"/>
  <c r="AF7" i="7"/>
  <c r="AJ7" i="7"/>
  <c r="AJ19" i="7"/>
  <c r="AF19" i="7"/>
  <c r="AF27" i="7"/>
  <c r="AJ27" i="7"/>
  <c r="AF36" i="7"/>
  <c r="AJ36" i="7"/>
  <c r="AJ3" i="7"/>
  <c r="AF3" i="7"/>
  <c r="AF11" i="7"/>
  <c r="AJ11" i="7"/>
  <c r="AF50" i="7"/>
  <c r="AJ50" i="7"/>
  <c r="AJ46" i="7"/>
  <c r="AF46" i="7"/>
  <c r="AJ41" i="7"/>
  <c r="AF41" i="7"/>
  <c r="J17" i="4"/>
  <c r="K3" i="4"/>
  <c r="K17" i="4" s="1"/>
  <c r="F17" i="4"/>
  <c r="P39" i="4"/>
  <c r="P53" i="4" s="1"/>
  <c r="O53" i="4"/>
  <c r="AF57" i="7" l="1"/>
  <c r="AJ5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7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ID#AAAAyF_CZII
Babatunde    (2022-05-18 11:06:24)
After School Extra payment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6bKxovbAJTZ4gYNIskjNnsQVM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17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ID#AAAAyF_CZJA
Babatunde    (2022-05-18 11:06:24)
After School Extra payment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TNFRyktA5TcyFPfjv9nutOvaK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2" authorId="0" shapeId="0" xr:uid="{00000000-0006-0000-0200-000074000000}">
      <text>
        <r>
          <rPr>
            <sz val="11"/>
            <color rgb="FF000000"/>
            <rFont val="Calibri"/>
            <family val="2"/>
            <scheme val="minor"/>
          </rPr>
          <t>======
ID#AAAAyF3ehPI
Babatunde    (2022-05-25 08:14:49)
22nd May, 2022</t>
        </r>
      </text>
    </comment>
    <comment ref="AB2" authorId="0" shapeId="0" xr:uid="{00000000-0006-0000-0200-000070000000}">
      <text>
        <r>
          <rPr>
            <sz val="11"/>
            <color rgb="FF000000"/>
            <rFont val="Calibri"/>
            <family val="2"/>
            <scheme val="minor"/>
          </rPr>
          <t>======
ID#AAAAyF_CZIM
Babatunde    (2022-06-05 18:29:54)
26th May for eexcursion</t>
        </r>
      </text>
    </comment>
    <comment ref="AC2" authorId="0" shapeId="0" xr:uid="{00000000-0006-0000-0200-000068000000}">
      <text>
        <r>
          <rPr>
            <sz val="11"/>
            <color rgb="FF000000"/>
            <rFont val="Calibri"/>
            <family val="2"/>
            <scheme val="minor"/>
          </rPr>
          <t>======
ID#AAAAyF_CZHU
Babatunde    (2022-06-10 12:51:34)
5th June</t>
        </r>
      </text>
    </comment>
    <comment ref="AA3" authorId="0" shapeId="0" xr:uid="{00000000-0006-0000-0200-000096000000}">
      <text>
        <r>
          <rPr>
            <sz val="11"/>
            <color rgb="FF000000"/>
            <rFont val="Calibri"/>
            <family val="2"/>
            <scheme val="minor"/>
          </rPr>
          <t>======
ID#AAAAyF_CZLM
Babatunde    (2022-05-10 07:24:46)
9th May, 2022</t>
        </r>
      </text>
    </comment>
    <comment ref="AB3" authorId="0" shapeId="0" xr:uid="{00000000-0006-0000-0200-000043000000}">
      <text>
        <r>
          <rPr>
            <sz val="11"/>
            <color rgb="FF000000"/>
            <rFont val="Calibri"/>
            <family val="2"/>
            <scheme val="minor"/>
          </rPr>
          <t>======
ID#AAAAyF3ehPM
Babatunde    (2022-06-20 09:09:39)
20th June</t>
        </r>
      </text>
    </comment>
    <comment ref="AA4" authorId="0" shapeId="0" xr:uid="{00000000-0006-0000-0200-00007B000000}">
      <text>
        <r>
          <rPr>
            <sz val="11"/>
            <color rgb="FF000000"/>
            <rFont val="Calibri"/>
            <family val="2"/>
            <scheme val="minor"/>
          </rPr>
          <t>======
ID#AAAAyaotBIc
Babatunde    (2022-05-18 11:06:24)
13th May, 2022</t>
        </r>
      </text>
    </comment>
    <comment ref="AB4" authorId="0" shapeId="0" xr:uid="{00000000-0006-0000-0200-000084000000}">
      <text>
        <r>
          <rPr>
            <sz val="11"/>
            <color rgb="FF000000"/>
            <rFont val="Calibri"/>
            <family val="2"/>
            <scheme val="minor"/>
          </rPr>
          <t>======
ID#AAAAyF_CZI4
Babatunde    (2022-05-18 11:06:24)
13th May, 2022</t>
        </r>
      </text>
    </comment>
    <comment ref="AC4" authorId="0" shapeId="0" xr:uid="{00000000-0006-0000-0200-000079000000}">
      <text>
        <r>
          <rPr>
            <sz val="11"/>
            <color rgb="FF000000"/>
            <rFont val="Calibri"/>
            <family val="2"/>
            <scheme val="minor"/>
          </rPr>
          <t>======
ID#AAAAyF_CZJo
Babatunde    (2022-05-18 11:06:24)
14th May, 2022</t>
        </r>
      </text>
    </comment>
    <comment ref="AD4" authorId="0" shapeId="0" xr:uid="{00000000-0006-0000-0200-00006F000000}">
      <text>
        <r>
          <rPr>
            <sz val="11"/>
            <color rgb="FF000000"/>
            <rFont val="Calibri"/>
            <family val="2"/>
            <scheme val="minor"/>
          </rPr>
          <t>======
ID#AAAAyF_CZJ0
Babatunde    (2022-06-05 18:29:54)
31st May</t>
        </r>
      </text>
    </comment>
    <comment ref="AE4" authorId="0" shapeId="0" xr:uid="{00000000-0006-0000-0200-000060000000}">
      <text>
        <r>
          <rPr>
            <sz val="11"/>
            <color rgb="FF000000"/>
            <rFont val="Calibri"/>
            <family val="2"/>
            <scheme val="minor"/>
          </rPr>
          <t>======
ID#AAAAyF5K0tk
Babatunde    (2022-06-15 12:26:41)
11th June</t>
        </r>
      </text>
    </comment>
    <comment ref="AF4" authorId="0" shapeId="0" xr:uid="{00000000-0006-0000-0200-00003E000000}">
      <text>
        <r>
          <rPr>
            <sz val="11"/>
            <color rgb="FF000000"/>
            <rFont val="Calibri"/>
            <family val="2"/>
            <scheme val="minor"/>
          </rPr>
          <t>======
ID#AAAAyF_CZKw
Babatunde    (2022-07-05 08:31:13)
28th june</t>
        </r>
      </text>
    </comment>
    <comment ref="AA5" authorId="0" shapeId="0" xr:uid="{00000000-0006-0000-0200-000063000000}">
      <text>
        <r>
          <rPr>
            <sz val="11"/>
            <color rgb="FF000000"/>
            <rFont val="Calibri"/>
            <family val="2"/>
            <scheme val="minor"/>
          </rPr>
          <t>======
ID#AAAAyF5K0to
Babatunde    (2022-06-15 12:26:41)
27th May</t>
        </r>
      </text>
    </comment>
    <comment ref="AB5" authorId="0" shapeId="0" xr:uid="{00000000-0006-0000-0200-00004D000000}">
      <text>
        <r>
          <rPr>
            <sz val="11"/>
            <color rgb="FF000000"/>
            <rFont val="Calibri"/>
            <family val="2"/>
            <scheme val="minor"/>
          </rPr>
          <t>======
ID#AAAAyF_CZFg
Babatunde    (2022-06-19 19:52:43)
18th june</t>
        </r>
      </text>
    </comment>
    <comment ref="AA6" authorId="0" shapeId="0" xr:uid="{00000000-0006-0000-0200-000098000000}">
      <text>
        <r>
          <rPr>
            <sz val="11"/>
            <color rgb="FF000000"/>
            <rFont val="Calibri"/>
            <family val="2"/>
            <scheme val="minor"/>
          </rPr>
          <t>======
ID#AAAAyaotBIA
Babatunde    (2022-04-28 17:54:31)
Balance from 40,000 paid on 28 April</t>
        </r>
      </text>
    </comment>
    <comment ref="AB6" authorId="0" shapeId="0" xr:uid="{00000000-0006-0000-0200-00008A000000}">
      <text>
        <r>
          <rPr>
            <sz val="11"/>
            <color rgb="FF000000"/>
            <rFont val="Calibri"/>
            <family val="2"/>
            <scheme val="minor"/>
          </rPr>
          <t>======
ID#AAAAyF_CZEc
Babatunde    (2022-05-18 11:06:24)
16th May, shar with darasimi</t>
        </r>
      </text>
    </comment>
    <comment ref="AC6" authorId="0" shapeId="0" xr:uid="{00000000-0006-0000-0200-000044000000}">
      <text>
        <r>
          <rPr>
            <sz val="11"/>
            <color rgb="FF000000"/>
            <rFont val="Calibri"/>
            <family val="2"/>
            <scheme val="minor"/>
          </rPr>
          <t>======
ID#AAAAyF_CZJg
Babatunde    (2022-06-20 09:09:39)
20th june</t>
        </r>
      </text>
    </comment>
    <comment ref="AA7" authorId="0" shapeId="0" xr:uid="{00000000-0006-0000-0200-000099000000}">
      <text>
        <r>
          <rPr>
            <sz val="11"/>
            <color rgb="FF000000"/>
            <rFont val="Calibri"/>
            <family val="2"/>
            <scheme val="minor"/>
          </rPr>
          <t>======
ID#AAAAyF_CZH4
Babatunde    (2022-04-28 17:54:31)
Balance from 40,000 paid on 28 April</t>
        </r>
      </text>
    </comment>
    <comment ref="AB7" authorId="0" shapeId="0" xr:uid="{00000000-0006-0000-0200-000090000000}">
      <text>
        <r>
          <rPr>
            <sz val="11"/>
            <color rgb="FF000000"/>
            <rFont val="Calibri"/>
            <family val="2"/>
            <scheme val="minor"/>
          </rPr>
          <t>======
ID#AAAAyF_CZEI
Babatunde    (2022-05-18 11:06:24)
16th May, shar with joshua</t>
        </r>
      </text>
    </comment>
    <comment ref="AC7" authorId="0" shapeId="0" xr:uid="{00000000-0006-0000-0200-000049000000}">
      <text>
        <r>
          <rPr>
            <sz val="11"/>
            <color rgb="FF000000"/>
            <rFont val="Calibri"/>
            <family val="2"/>
            <scheme val="minor"/>
          </rPr>
          <t>======
ID#AAAAyF_CZKk
Babatunde    (2022-06-20 09:09:39)
20th june</t>
        </r>
      </text>
    </comment>
    <comment ref="AA8" authorId="0" shapeId="0" xr:uid="{00000000-0006-0000-0200-000050000000}">
      <text>
        <r>
          <rPr>
            <sz val="11"/>
            <color rgb="FF000000"/>
            <rFont val="Calibri"/>
            <family val="2"/>
            <scheme val="minor"/>
          </rPr>
          <t>======
ID#AAAAyF_CZEs
Babatunde    (2022-06-19 19:52:43)
10th june</t>
        </r>
      </text>
    </comment>
    <comment ref="AA9" authorId="0" shapeId="0" xr:uid="{00000000-0006-0000-0200-00004C000000}">
      <text>
        <r>
          <rPr>
            <sz val="11"/>
            <color rgb="FF000000"/>
            <rFont val="Calibri"/>
            <family val="2"/>
            <scheme val="minor"/>
          </rPr>
          <t>======
ID#AAAAyF_CZFc
Babatunde    (2022-06-19 19:52:43)
19th jun</t>
        </r>
      </text>
    </comment>
    <comment ref="AB9" authorId="0" shapeId="0" xr:uid="{00000000-0006-0000-0200-000026000000}">
      <text>
        <r>
          <rPr>
            <sz val="11"/>
            <color rgb="FF000000"/>
            <rFont val="Calibri"/>
            <family val="2"/>
            <scheme val="minor"/>
          </rPr>
          <t>======
ID#AAAAyF_CZGk
Babatunde Awoyemi    (2022-07-05 18:42:43)
5th July</t>
        </r>
      </text>
    </comment>
    <comment ref="AC9" authorId="0" shapeId="0" xr:uid="{00000000-0006-0000-0200-000017000000}">
      <text>
        <r>
          <rPr>
            <sz val="11"/>
            <color rgb="FF000000"/>
            <rFont val="Calibri"/>
            <family val="2"/>
            <scheme val="minor"/>
          </rPr>
          <t>======
ID#AAAAyaotBIQ
Babatunde Awoyemi    (2022-07-22 15:28:19)
21st july</t>
        </r>
      </text>
    </comment>
    <comment ref="AD9" authorId="0" shapeId="0" xr:uid="{00000000-0006-0000-0200-00000F000000}">
      <text>
        <r>
          <rPr>
            <sz val="11"/>
            <color rgb="FF000000"/>
            <rFont val="Calibri"/>
            <family val="2"/>
            <scheme val="minor"/>
          </rPr>
          <t>======
ID#AAAAyF5K0tg
Babatunde Awoyemi    (2022-07-29 05:35:31)
29th july</t>
        </r>
      </text>
    </comment>
    <comment ref="AA10" authorId="0" shapeId="0" xr:uid="{00000000-0006-0000-0200-00004B000000}">
      <text>
        <r>
          <rPr>
            <sz val="11"/>
            <color rgb="FF000000"/>
            <rFont val="Calibri"/>
            <family val="2"/>
            <scheme val="minor"/>
          </rPr>
          <t>======
ID#AAAAyF_CZHs
Babatunde    (2022-06-19 19:52:43)
19th jun</t>
        </r>
      </text>
    </comment>
    <comment ref="AB10" authorId="0" shapeId="0" xr:uid="{00000000-0006-0000-0200-000025000000}">
      <text>
        <r>
          <rPr>
            <sz val="11"/>
            <color rgb="FF000000"/>
            <rFont val="Calibri"/>
            <family val="2"/>
            <scheme val="minor"/>
          </rPr>
          <t>======
ID#AAAAyF_CZK8
Babatunde Awoyemi    (2022-07-05 18:42:50)
5th July</t>
        </r>
      </text>
    </comment>
    <comment ref="AC10" authorId="0" shapeId="0" xr:uid="{00000000-0006-0000-0200-000018000000}">
      <text>
        <r>
          <rPr>
            <sz val="11"/>
            <color rgb="FF000000"/>
            <rFont val="Calibri"/>
            <family val="2"/>
            <scheme val="minor"/>
          </rPr>
          <t>======
ID#AAAAyaotBIU
Babatunde Awoyemi    (2022-07-22 15:28:10)
21st July</t>
        </r>
      </text>
    </comment>
    <comment ref="AD10" authorId="0" shapeId="0" xr:uid="{00000000-0006-0000-0200-00000D000000}">
      <text>
        <r>
          <rPr>
            <sz val="11"/>
            <color rgb="FF000000"/>
            <rFont val="Calibri"/>
            <family val="2"/>
            <scheme val="minor"/>
          </rPr>
          <t>======
ID#AAAAyF_CZIY
Babatunde Awoyemi    (2022-07-29 05:35:49)
29th july</t>
        </r>
      </text>
    </comment>
    <comment ref="AE10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======
ID#AAAAyF_CZFE
Babatunde Awoyemi    (2022-08-04 23:55:05)
5th August</t>
        </r>
      </text>
    </comment>
    <comment ref="AA11" authorId="0" shapeId="0" xr:uid="{00000000-0006-0000-0200-000051000000}">
      <text>
        <r>
          <rPr>
            <sz val="11"/>
            <color rgb="FF000000"/>
            <rFont val="Calibri"/>
            <family val="2"/>
            <scheme val="minor"/>
          </rPr>
          <t>======
ID#AAAAyF_CZEU
Babatunde    (2022-06-19 19:52:43)
19th jun</t>
        </r>
      </text>
    </comment>
    <comment ref="AB11" authorId="0" shapeId="0" xr:uid="{00000000-0006-0000-0200-000027000000}">
      <text>
        <r>
          <rPr>
            <sz val="11"/>
            <color rgb="FF000000"/>
            <rFont val="Calibri"/>
            <family val="2"/>
            <scheme val="minor"/>
          </rPr>
          <t>======
ID#AAAAyF3ehO0
Babatunde Awoyemi    (2022-07-05 18:42:33)
5th July</t>
        </r>
      </text>
    </comment>
    <comment ref="AC11" authorId="0" shapeId="0" xr:uid="{00000000-0006-0000-0200-000019000000}">
      <text>
        <r>
          <rPr>
            <sz val="11"/>
            <color rgb="FF000000"/>
            <rFont val="Calibri"/>
            <family val="2"/>
            <scheme val="minor"/>
          </rPr>
          <t>======
ID#AAAAyF_CZGY
Babatunde Awoyemi    (2022-07-22 15:27:52)
21st july</t>
        </r>
      </text>
    </comment>
    <comment ref="AD11" authorId="0" shapeId="0" xr:uid="{00000000-0006-0000-0200-00000E000000}">
      <text>
        <r>
          <rPr>
            <sz val="11"/>
            <color rgb="FF000000"/>
            <rFont val="Calibri"/>
            <family val="2"/>
            <scheme val="minor"/>
          </rPr>
          <t>======
ID#AAAAyF_CZHY
Babatunde Awoyemi    (2022-07-29 05:35:41)
29th july</t>
        </r>
      </text>
    </comment>
    <comment ref="AA12" authorId="0" shapeId="0" xr:uid="{00000000-0006-0000-0200-00007D000000}">
      <text>
        <r>
          <rPr>
            <sz val="11"/>
            <color rgb="FF000000"/>
            <rFont val="Calibri"/>
            <family val="2"/>
            <scheme val="minor"/>
          </rPr>
          <t>======
ID#AAAAyaotBIg
Babatunde    (2022-05-18 11:06:24)
14th May, 2022</t>
        </r>
      </text>
    </comment>
    <comment ref="AB12" authorId="0" shapeId="0" xr:uid="{00000000-0006-0000-0200-00003C000000}">
      <text>
        <r>
          <rPr>
            <sz val="11"/>
            <color rgb="FF000000"/>
            <rFont val="Calibri"/>
            <family val="2"/>
            <scheme val="minor"/>
          </rPr>
          <t>======
ID#AAAAyF_CZKg
Babatunde    (2022-07-05 08:31:13)
22nd june</t>
        </r>
      </text>
    </comment>
    <comment ref="AA13" authorId="0" shapeId="0" xr:uid="{00000000-0006-0000-0200-000091000000}">
      <text>
        <r>
          <rPr>
            <sz val="11"/>
            <color rgb="FF000000"/>
            <rFont val="Calibri"/>
            <family val="2"/>
            <scheme val="minor"/>
          </rPr>
          <t>======
ID#AAAAyF_CZE0
Babatunde    (2022-05-18 11:06:24)
15th May</t>
        </r>
      </text>
    </comment>
    <comment ref="AB13" authorId="0" shapeId="0" xr:uid="{00000000-0006-0000-0200-00003A000000}">
      <text>
        <r>
          <rPr>
            <sz val="11"/>
            <color rgb="FF000000"/>
            <rFont val="Calibri"/>
            <family val="2"/>
            <scheme val="minor"/>
          </rPr>
          <t>======
ID#AAAAyF5K0tE
Babatunde    (2022-07-05 08:31:13)
27th June</t>
        </r>
      </text>
    </comment>
    <comment ref="AC13" authorId="0" shapeId="0" xr:uid="{00000000-0006-0000-0200-000010000000}">
      <text>
        <r>
          <rPr>
            <sz val="11"/>
            <color rgb="FF000000"/>
            <rFont val="Calibri"/>
            <family val="2"/>
            <scheme val="minor"/>
          </rPr>
          <t>======
ID#AAAAyF5K0tw
Babatunde Awoyemi    (2022-07-28 20:10:10)
28th July</t>
        </r>
      </text>
    </comment>
    <comment ref="AA14" authorId="0" shapeId="0" xr:uid="{00000000-0006-0000-0200-000048000000}">
      <text>
        <r>
          <rPr>
            <sz val="11"/>
            <color rgb="FF000000"/>
            <rFont val="Calibri"/>
            <family val="2"/>
            <scheme val="minor"/>
          </rPr>
          <t>======
ID#AAAAyF_CZLE
Babatunde    (2022-06-20 09:09:39)
20th june</t>
        </r>
      </text>
    </comment>
    <comment ref="AB14" authorId="0" shapeId="0" xr:uid="{00000000-0006-0000-0200-000011000000}">
      <text>
        <r>
          <rPr>
            <sz val="11"/>
            <color rgb="FF000000"/>
            <rFont val="Calibri"/>
            <family val="2"/>
            <scheme val="minor"/>
          </rPr>
          <t>======
ID#AAAAyF_CZIA
Babatunde Awoyemi    (2022-07-27 07:48:52)
27th July</t>
        </r>
      </text>
    </comment>
    <comment ref="AA15" authorId="0" shapeId="0" xr:uid="{00000000-0006-0000-0200-000089000000}">
      <text>
        <r>
          <rPr>
            <sz val="11"/>
            <color rgb="FF000000"/>
            <rFont val="Calibri"/>
            <family val="2"/>
            <scheme val="minor"/>
          </rPr>
          <t>======
ID#AAAAyF_CZFk
Babatunde    (2022-05-18 11:06:24)
11th May, 2022</t>
        </r>
      </text>
    </comment>
    <comment ref="AA16" authorId="0" shapeId="0" xr:uid="{00000000-0006-0000-0200-000056000000}">
      <text>
        <r>
          <rPr>
            <sz val="11"/>
            <color rgb="FF000000"/>
            <rFont val="Calibri"/>
            <family val="2"/>
            <scheme val="minor"/>
          </rPr>
          <t>======
ID#AAAAyaotBIY
Babatunde    (2022-06-15 12:26:41)
24th May</t>
        </r>
      </text>
    </comment>
    <comment ref="AB16" authorId="0" shapeId="0" xr:uid="{00000000-0006-0000-0200-00003B000000}">
      <text>
        <r>
          <rPr>
            <sz val="11"/>
            <color rgb="FF000000"/>
            <rFont val="Calibri"/>
            <family val="2"/>
            <scheme val="minor"/>
          </rPr>
          <t>======
ID#AAAAyF_CZLI
Babatunde    (2022-07-05 08:31:13)
22nd june</t>
        </r>
      </text>
    </comment>
    <comment ref="AA17" authorId="0" shapeId="0" xr:uid="{00000000-0006-0000-0200-000082000000}">
      <text>
        <r>
          <rPr>
            <sz val="11"/>
            <color rgb="FF000000"/>
            <rFont val="Calibri"/>
            <family val="2"/>
            <scheme val="minor"/>
          </rPr>
          <t>======
ID#AAAAyF_CZGo
Babatunde    (2022-05-18 11:06:24)
16th May</t>
        </r>
      </text>
    </comment>
    <comment ref="AB17" authorId="0" shapeId="0" xr:uid="{00000000-0006-0000-0200-00001C000000}">
      <text>
        <r>
          <rPr>
            <sz val="11"/>
            <color rgb="FF000000"/>
            <rFont val="Calibri"/>
            <family val="2"/>
            <scheme val="minor"/>
          </rPr>
          <t>======
ID#AAAAyF_CZFY
Babatunde Awoyemi    (2022-07-15 12:24:20)
15TH JULY</t>
        </r>
      </text>
    </comment>
    <comment ref="AA18" authorId="0" shapeId="0" xr:uid="{00000000-0006-0000-0200-00005D000000}">
      <text>
        <r>
          <rPr>
            <sz val="11"/>
            <color rgb="FF000000"/>
            <rFont val="Calibri"/>
            <family val="2"/>
            <scheme val="minor"/>
          </rPr>
          <t>======
ID#AAAAyF_CZGQ
Babatunde    (2022-06-15 12:26:41)
15th June</t>
        </r>
      </text>
    </comment>
    <comment ref="AB18" authorId="0" shapeId="0" xr:uid="{00000000-0006-0000-0200-000035000000}">
      <text>
        <r>
          <rPr>
            <sz val="11"/>
            <color rgb="FF000000"/>
            <rFont val="Calibri"/>
            <family val="2"/>
            <scheme val="minor"/>
          </rPr>
          <t>======
ID#AAAAyaotBH4
Babatunde    (2022-07-05 08:31:13)
5th July</t>
        </r>
      </text>
    </comment>
    <comment ref="AA19" authorId="0" shapeId="0" xr:uid="{00000000-0006-0000-0200-000071000000}">
      <text>
        <r>
          <rPr>
            <sz val="11"/>
            <color rgb="FF000000"/>
            <rFont val="Calibri"/>
            <family val="2"/>
            <scheme val="minor"/>
          </rPr>
          <t>======
ID#AAAAyF_CZGA
Babatunde    (2022-06-05 18:29:54)
27th May</t>
        </r>
      </text>
    </comment>
    <comment ref="AB19" authorId="0" shapeId="0" xr:uid="{00000000-0006-0000-0200-000024000000}">
      <text>
        <r>
          <rPr>
            <sz val="11"/>
            <color rgb="FF000000"/>
            <rFont val="Calibri"/>
            <family val="2"/>
            <scheme val="minor"/>
          </rPr>
          <t>======
ID#AAAAyF_CZEo
Babatunde Awoyemi    (2022-07-06 07:09:24)
6th July</t>
        </r>
      </text>
    </comment>
    <comment ref="AC19" authorId="0" shapeId="0" xr:uid="{00000000-0006-0000-0200-00001A000000}">
      <text>
        <r>
          <rPr>
            <sz val="11"/>
            <color rgb="FF000000"/>
            <rFont val="Calibri"/>
            <family val="2"/>
            <scheme val="minor"/>
          </rPr>
          <t>======
ID#AAAAyF_CZFM
Babatunde Awoyemi    (2022-07-20 11:56:46)
20th July</t>
        </r>
      </text>
    </comment>
    <comment ref="AA20" authorId="0" shapeId="0" xr:uid="{00000000-0006-0000-0200-00008B000000}">
      <text>
        <r>
          <rPr>
            <sz val="11"/>
            <color rgb="FF000000"/>
            <rFont val="Calibri"/>
            <family val="2"/>
            <scheme val="minor"/>
          </rPr>
          <t>======
ID#AAAAyF_CZEg
Babatunde    (2022-05-18 11:06:24)
15th May half with Blssing Ishola</t>
        </r>
      </text>
    </comment>
    <comment ref="AB20" authorId="0" shapeId="0" xr:uid="{00000000-0006-0000-0200-00004F000000}">
      <text>
        <r>
          <rPr>
            <sz val="11"/>
            <color rgb="FF000000"/>
            <rFont val="Calibri"/>
            <family val="2"/>
            <scheme val="minor"/>
          </rPr>
          <t>======
ID#AAAAyF_CZEk
Babatunde    (2022-06-19 19:52:43)
19th jun</t>
        </r>
      </text>
    </comment>
    <comment ref="AC20" authorId="0" shapeId="0" xr:uid="{00000000-0006-0000-0200-00001F000000}">
      <text>
        <r>
          <rPr>
            <sz val="11"/>
            <color rgb="FF000000"/>
            <rFont val="Calibri"/>
            <family val="2"/>
            <scheme val="minor"/>
          </rPr>
          <t>======
ID#AAAAyF_CZGE
Babatunde Awoyemi    (2022-07-14 10:49:04)
14th July</t>
        </r>
      </text>
    </comment>
    <comment ref="AA21" authorId="0" shapeId="0" xr:uid="{00000000-0006-0000-0200-000075000000}">
      <text>
        <r>
          <rPr>
            <sz val="11"/>
            <color rgb="FF000000"/>
            <rFont val="Calibri"/>
            <family val="2"/>
            <scheme val="minor"/>
          </rPr>
          <t>======
ID#AAAAyF_CZG4
Babatunde    (2022-05-25 08:14:49)
22nd May, 2022</t>
        </r>
      </text>
    </comment>
    <comment ref="AB21" authorId="0" shapeId="0" xr:uid="{00000000-0006-0000-0200-000042000000}">
      <text>
        <r>
          <rPr>
            <sz val="11"/>
            <color rgb="FF000000"/>
            <rFont val="Calibri"/>
            <family val="2"/>
            <scheme val="minor"/>
          </rPr>
          <t>======
ID#AAAAyF_CZFA
Babatunde    (2022-06-21 11:24:52)
20TH JUNE</t>
        </r>
      </text>
    </comment>
    <comment ref="AC21" authorId="0" shapeId="0" xr:uid="{00000000-0006-0000-0200-000033000000}">
      <text>
        <r>
          <rPr>
            <sz val="11"/>
            <color rgb="FF000000"/>
            <rFont val="Calibri"/>
            <family val="2"/>
            <scheme val="minor"/>
          </rPr>
          <t>======
ID#AAAAyaotBHs
Babatunde    (2022-07-05 08:31:13)
3rd July</t>
        </r>
      </text>
    </comment>
    <comment ref="AD21" authorId="0" shapeId="0" xr:uid="{00000000-0006-0000-0200-00001B000000}">
      <text>
        <r>
          <rPr>
            <sz val="11"/>
            <color rgb="FF000000"/>
            <rFont val="Calibri"/>
            <family val="2"/>
            <scheme val="minor"/>
          </rPr>
          <t>======
ID#AAAAyF3ehPU
Babatunde Awoyemi    (2022-07-17 19:53:37)
17th July</t>
        </r>
      </text>
    </comment>
    <comment ref="AA22" authorId="0" shapeId="0" xr:uid="{00000000-0006-0000-0200-00007C000000}">
      <text>
        <r>
          <rPr>
            <sz val="11"/>
            <color rgb="FF000000"/>
            <rFont val="Calibri"/>
            <family val="2"/>
            <scheme val="minor"/>
          </rPr>
          <t>======
ID#AAAAyF_CZHk
Babatunde    (2022-05-18 11:06:24)
16th May</t>
        </r>
      </text>
    </comment>
    <comment ref="AA23" authorId="0" shapeId="0" xr:uid="{00000000-0006-0000-0200-000097000000}">
      <text>
        <r>
          <rPr>
            <sz val="11"/>
            <color rgb="FF000000"/>
            <rFont val="Calibri"/>
            <family val="2"/>
            <scheme val="minor"/>
          </rPr>
          <t>======
ID#AAAAyF3ehPQ
Babatunde    (2022-05-06 09:19:22)
5th May, 2022</t>
        </r>
      </text>
    </comment>
    <comment ref="AA24" authorId="0" shapeId="0" xr:uid="{00000000-0006-0000-0200-000047000000}">
      <text>
        <r>
          <rPr>
            <sz val="11"/>
            <color rgb="FF000000"/>
            <rFont val="Calibri"/>
            <family val="2"/>
            <scheme val="minor"/>
          </rPr>
          <t>======
ID#AAAAyF3ehO8
Babatunde    (2022-06-20 09:09:39)
28th May</t>
        </r>
      </text>
    </comment>
    <comment ref="AB24" authorId="0" shapeId="0" xr:uid="{00000000-0006-0000-0200-00002F000000}">
      <text>
        <r>
          <rPr>
            <sz val="11"/>
            <color rgb="FF000000"/>
            <rFont val="Calibri"/>
            <family val="2"/>
            <scheme val="minor"/>
          </rPr>
          <t>======
ID#AAAAyF_CZJM
Babatunde    (2022-07-05 08:31:13)
28th june</t>
        </r>
      </text>
    </comment>
    <comment ref="AC24" authorId="0" shapeId="0" xr:uid="{00000000-0006-0000-0200-000013000000}">
      <text>
        <r>
          <rPr>
            <sz val="11"/>
            <color rgb="FF000000"/>
            <rFont val="Calibri"/>
            <family val="2"/>
            <scheme val="minor"/>
          </rPr>
          <t>======
ID#AAAAyF_CZE4
Babatunde Awoyemi    (2022-07-27 05:33:56)
26th July</t>
        </r>
      </text>
    </comment>
    <comment ref="AA25" authorId="0" shapeId="0" xr:uid="{00000000-0006-0000-0200-000057000000}">
      <text>
        <r>
          <rPr>
            <sz val="11"/>
            <color rgb="FF000000"/>
            <rFont val="Calibri"/>
            <family val="2"/>
            <scheme val="minor"/>
          </rPr>
          <t>======
ID#AAAAyaotBHw
    (2022-06-15 12:26:41)
23rd May, 2022</t>
        </r>
      </text>
    </comment>
    <comment ref="AA26" authorId="0" shapeId="0" xr:uid="{00000000-0006-0000-0200-000093000000}">
      <text>
        <r>
          <rPr>
            <sz val="11"/>
            <color rgb="FF000000"/>
            <rFont val="Calibri"/>
            <family val="2"/>
            <scheme val="minor"/>
          </rPr>
          <t>======
ID#AAAAyF_CZKc
Babatunde    (2022-05-18 11:06:24)
5th May, 2022</t>
        </r>
      </text>
    </comment>
    <comment ref="AA27" authorId="0" shapeId="0" xr:uid="{00000000-0006-0000-0200-000083000000}">
      <text>
        <r>
          <rPr>
            <sz val="11"/>
            <color rgb="FF000000"/>
            <rFont val="Calibri"/>
            <family val="2"/>
            <scheme val="minor"/>
          </rPr>
          <t>======
ID#AAAAyF_CZGs
Babatunde    (2022-05-18 11:06:24)
15th May half with Sanra</t>
        </r>
      </text>
    </comment>
    <comment ref="AB27" authorId="0" shapeId="0" xr:uid="{00000000-0006-0000-0200-00004A000000}">
      <text>
        <r>
          <rPr>
            <sz val="11"/>
            <color rgb="FF000000"/>
            <rFont val="Calibri"/>
            <family val="2"/>
            <scheme val="minor"/>
          </rPr>
          <t>======
ID#AAAAyF_CZIw
Babatunde    (2022-06-19 19:52:43)
19th jun</t>
        </r>
      </text>
    </comment>
    <comment ref="AC27" authorId="0" shapeId="0" xr:uid="{00000000-0006-0000-0200-00001E000000}">
      <text>
        <r>
          <rPr>
            <sz val="11"/>
            <color rgb="FF000000"/>
            <rFont val="Calibri"/>
            <family val="2"/>
            <scheme val="minor"/>
          </rPr>
          <t>======
ID#AAAAyF_CZF0
Babatunde Awoyemi    (2022-07-14 10:49:12)
14th July</t>
        </r>
      </text>
    </comment>
    <comment ref="AA28" authorId="0" shapeId="0" xr:uid="{00000000-0006-0000-0200-000030000000}">
      <text>
        <r>
          <rPr>
            <sz val="11"/>
            <color rgb="FF000000"/>
            <rFont val="Calibri"/>
            <family val="2"/>
            <scheme val="minor"/>
          </rPr>
          <t>======
ID#AAAAyF_CZJU
Babatunde    (2022-07-05 08:31:13)
29th june</t>
        </r>
      </text>
    </comment>
    <comment ref="AA29" authorId="0" shapeId="0" xr:uid="{00000000-0006-0000-0200-000046000000}">
      <text>
        <r>
          <rPr>
            <sz val="11"/>
            <color rgb="FF000000"/>
            <rFont val="Calibri"/>
            <family val="2"/>
            <scheme val="minor"/>
          </rPr>
          <t>======
ID#AAAAyF5K0tQ
Babatunde    (2022-06-20 09:09:39)
17th May
NIP:BAXI----BAX_TRSF_1652772183_F8BW- Monnify Fun</t>
        </r>
      </text>
    </comment>
    <comment ref="AB29" authorId="0" shapeId="0" xr:uid="{00000000-0006-0000-0200-000021000000}">
      <text>
        <r>
          <rPr>
            <sz val="11"/>
            <color rgb="FF000000"/>
            <rFont val="Calibri"/>
            <family val="2"/>
            <scheme val="minor"/>
          </rPr>
          <t>======
ID#AAAAyF_CZHw
BABATUN    (2022-07-14 10:47:29)
13th July</t>
        </r>
      </text>
    </comment>
    <comment ref="AC29" authorId="0" shapeId="0" xr:uid="{00000000-0006-0000-0200-000006000000}">
      <text>
        <r>
          <rPr>
            <sz val="11"/>
            <color rgb="FF000000"/>
            <rFont val="Calibri"/>
            <family val="2"/>
            <scheme val="minor"/>
          </rPr>
          <t>======
ID#AAAAyF_CZHo
Babatunde Awoyemi    (2022-08-02 08:36:09)
2nd August</t>
        </r>
      </text>
    </comment>
    <comment ref="AA30" authorId="0" shapeId="0" xr:uid="{00000000-0006-0000-0200-000067000000}">
      <text>
        <r>
          <rPr>
            <sz val="11"/>
            <color rgb="FF000000"/>
            <rFont val="Calibri"/>
            <family val="2"/>
            <scheme val="minor"/>
          </rPr>
          <t>======
ID#AAAAyF_CZIg
Babatunde    (2022-06-10 12:51:34)
15th May</t>
        </r>
      </text>
    </comment>
    <comment ref="AB30" authorId="0" shapeId="0" xr:uid="{00000000-0006-0000-0200-000062000000}">
      <text>
        <r>
          <rPr>
            <sz val="11"/>
            <color rgb="FF000000"/>
            <rFont val="Calibri"/>
            <family val="2"/>
            <scheme val="minor"/>
          </rPr>
          <t>======
ID#AAAAyF_CZFU
Babatunde    (2022-06-15 12:26:41)
4th June</t>
        </r>
      </text>
    </comment>
    <comment ref="AC30" authorId="0" shapeId="0" xr:uid="{00000000-0006-0000-0200-000034000000}">
      <text>
        <r>
          <rPr>
            <sz val="11"/>
            <color rgb="FF000000"/>
            <rFont val="Calibri"/>
            <family val="2"/>
            <scheme val="minor"/>
          </rPr>
          <t>======
ID#AAAAyF_CZIQ
Babatunde    (2022-07-05 08:31:13)
26th june</t>
        </r>
      </text>
    </comment>
    <comment ref="AD30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ID#AAAAyaotBIk
Babatunde Awoyemi    (2022-08-06 06:31:35)
5th August</t>
        </r>
      </text>
    </comment>
    <comment ref="AA31" authorId="0" shapeId="0" xr:uid="{00000000-0006-0000-0200-000080000000}">
      <text>
        <r>
          <rPr>
            <sz val="11"/>
            <color rgb="FF000000"/>
            <rFont val="Calibri"/>
            <family val="2"/>
            <scheme val="minor"/>
          </rPr>
          <t>======
ID#AAAAyF_CZGg
Babatunde    (2022-05-18 11:06:24)
Mutairs 30000 divided by 3
16th May</t>
        </r>
      </text>
    </comment>
    <comment ref="AB31" authorId="0" shapeId="0" xr:uid="{00000000-0006-0000-0200-00006B000000}">
      <text>
        <r>
          <rPr>
            <sz val="11"/>
            <color rgb="FF000000"/>
            <rFont val="Calibri"/>
            <family val="2"/>
            <scheme val="minor"/>
          </rPr>
          <t>======
ID#AAAAyF5K0t0
Babatunde    (2022-06-10 12:51:34)
6th June</t>
        </r>
      </text>
    </comment>
    <comment ref="AC31" authorId="0" shapeId="0" xr:uid="{00000000-0006-0000-0200-000037000000}">
      <text>
        <r>
          <rPr>
            <sz val="11"/>
            <color rgb="FF000000"/>
            <rFont val="Calibri"/>
            <family val="2"/>
            <scheme val="minor"/>
          </rPr>
          <t>======
ID#AAAAyF_CZG8
Babatunde    (2022-07-05 08:31:13)
29th June</t>
        </r>
      </text>
    </comment>
    <comment ref="AA32" authorId="0" shapeId="0" xr:uid="{00000000-0006-0000-0200-00008E000000}">
      <text>
        <r>
          <rPr>
            <sz val="11"/>
            <color rgb="FF000000"/>
            <rFont val="Calibri"/>
            <family val="2"/>
            <scheme val="minor"/>
          </rPr>
          <t>======
ID#AAAAyF_CZEw
Babatunde    (2022-05-18 11:06:24)
Mutairs 30000 divided by 3
16th May</t>
        </r>
      </text>
    </comment>
    <comment ref="AB32" authorId="0" shapeId="0" xr:uid="{00000000-0006-0000-0200-000053000000}">
      <text>
        <r>
          <rPr>
            <sz val="11"/>
            <color rgb="FF000000"/>
            <rFont val="Calibri"/>
            <family val="2"/>
            <scheme val="minor"/>
          </rPr>
          <t>======
ID#AAAAyF_CZJw
Babatunde    (2022-06-15 12:26:41)
6th June</t>
        </r>
      </text>
    </comment>
    <comment ref="AC32" authorId="0" shapeId="0" xr:uid="{00000000-0006-0000-0200-000029000000}">
      <text>
        <r>
          <rPr>
            <sz val="11"/>
            <color rgb="FF000000"/>
            <rFont val="Calibri"/>
            <family val="2"/>
            <scheme val="minor"/>
          </rPr>
          <t>======
ID#AAAAyF_CZKQ
Babatunde    (2022-07-05 08:31:13)
29th June</t>
        </r>
      </text>
    </comment>
    <comment ref="AA33" authorId="0" shapeId="0" xr:uid="{00000000-0006-0000-0200-00007E000000}">
      <text>
        <r>
          <rPr>
            <sz val="11"/>
            <color rgb="FF000000"/>
            <rFont val="Calibri"/>
            <family val="2"/>
            <scheme val="minor"/>
          </rPr>
          <t>======
ID#AAAAyF_CZHA
Babatunde    (2022-05-18 11:06:24)
Mutairs 30000 divided by 3
16th May</t>
        </r>
      </text>
    </comment>
    <comment ref="AB33" authorId="0" shapeId="0" xr:uid="{00000000-0006-0000-0200-00005E000000}">
      <text>
        <r>
          <rPr>
            <sz val="11"/>
            <color rgb="FF000000"/>
            <rFont val="Calibri"/>
            <family val="2"/>
            <scheme val="minor"/>
          </rPr>
          <t>======
ID#AAAAyF5K0tI
Babatunde    (2022-06-15 12:26:41)
6th June</t>
        </r>
      </text>
    </comment>
    <comment ref="AC33" authorId="0" shapeId="0" xr:uid="{00000000-0006-0000-0200-000031000000}">
      <text>
        <r>
          <rPr>
            <sz val="11"/>
            <color rgb="FF000000"/>
            <rFont val="Calibri"/>
            <family val="2"/>
            <scheme val="minor"/>
          </rPr>
          <t>======
ID#AAAAyF_CZKA
Babatunde    (2022-07-05 08:31:13)
29th June</t>
        </r>
      </text>
    </comment>
    <comment ref="AA34" authorId="0" shapeId="0" xr:uid="{00000000-0006-0000-0200-000095000000}">
      <text>
        <r>
          <rPr>
            <sz val="11"/>
            <color rgb="FF000000"/>
            <rFont val="Calibri"/>
            <family val="2"/>
            <scheme val="minor"/>
          </rPr>
          <t>======
ID#AAAAyF_CZJQ
Babatunde    (2022-05-10 07:24:46)
9th May, 2022</t>
        </r>
      </text>
    </comment>
    <comment ref="AB34" authorId="0" shapeId="0" xr:uid="{00000000-0006-0000-0200-00004E000000}">
      <text>
        <r>
          <rPr>
            <sz val="11"/>
            <color rgb="FF000000"/>
            <rFont val="Calibri"/>
            <family val="2"/>
            <scheme val="minor"/>
          </rPr>
          <t>======
ID#AAAAyF_CZH0
Babatunde    (2022-06-19 19:52:43)
17th june</t>
        </r>
      </text>
    </comment>
    <comment ref="AA35" authorId="0" shapeId="0" xr:uid="{00000000-0006-0000-0200-00008F000000}">
      <text>
        <r>
          <rPr>
            <sz val="11"/>
            <color rgb="FF000000"/>
            <rFont val="Calibri"/>
            <family val="2"/>
            <scheme val="minor"/>
          </rPr>
          <t>======
ID#AAAAyF5K0ts
Babatunde    (2022-05-18 11:06:24)
11th May, 2022</t>
        </r>
      </text>
    </comment>
    <comment ref="AB35" authorId="0" shapeId="0" xr:uid="{00000000-0006-0000-0200-000073000000}">
      <text>
        <r>
          <rPr>
            <sz val="11"/>
            <color rgb="FF000000"/>
            <rFont val="Calibri"/>
            <family val="2"/>
            <scheme val="minor"/>
          </rPr>
          <t>======
ID#AAAAyF_CZFs
Babatunde    (2022-05-26 16:59:28)
24th may</t>
        </r>
      </text>
    </comment>
    <comment ref="AC35" authorId="0" shapeId="0" xr:uid="{00000000-0006-0000-0200-000052000000}">
      <text>
        <r>
          <rPr>
            <sz val="11"/>
            <color rgb="FF000000"/>
            <rFont val="Calibri"/>
            <family val="2"/>
            <scheme val="minor"/>
          </rPr>
          <t>======
ID#AAAAyF_CZJk
Babatunde    (2022-06-15 12:26:41)
14th june divided 15000</t>
        </r>
      </text>
    </comment>
    <comment ref="AD35" authorId="0" shapeId="0" xr:uid="{00000000-0006-0000-0200-00000A000000}">
      <text>
        <r>
          <rPr>
            <sz val="11"/>
            <color rgb="FF000000"/>
            <rFont val="Calibri"/>
            <family val="2"/>
            <scheme val="minor"/>
          </rPr>
          <t>======
ID#AAAAyaotBH0
Babatunde Awoyemi    (2022-07-29 08:19:09)
29th july</t>
        </r>
      </text>
    </comment>
    <comment ref="AA36" authorId="0" shapeId="0" xr:uid="{00000000-0006-0000-0200-000088000000}">
      <text>
        <r>
          <rPr>
            <sz val="11"/>
            <color rgb="FF000000"/>
            <rFont val="Calibri"/>
            <family val="2"/>
            <scheme val="minor"/>
          </rPr>
          <t>======
ID#AAAAyF_CZGM
Babatunde    (2022-05-18 11:06:24)
11th May, 2022</t>
        </r>
      </text>
    </comment>
    <comment ref="AB36" authorId="0" shapeId="0" xr:uid="{00000000-0006-0000-0200-000059000000}">
      <text>
        <r>
          <rPr>
            <sz val="11"/>
            <color rgb="FF000000"/>
            <rFont val="Calibri"/>
            <family val="2"/>
            <scheme val="minor"/>
          </rPr>
          <t>======
ID#AAAAyF_CZJ8
Babatunde    (2022-06-15 12:26:41)
24th may</t>
        </r>
      </text>
    </comment>
    <comment ref="AC36" authorId="0" shapeId="0" xr:uid="{00000000-0006-0000-0200-00005A000000}">
      <text>
        <r>
          <rPr>
            <sz val="11"/>
            <color rgb="FF000000"/>
            <rFont val="Calibri"/>
            <family val="2"/>
            <scheme val="minor"/>
          </rPr>
          <t>======
ID#AAAAyF_CZGc
Babatunde    (2022-06-15 12:26:41)
14th june divided 15000</t>
        </r>
      </text>
    </comment>
    <comment ref="AD36" authorId="0" shapeId="0" xr:uid="{00000000-0006-0000-0200-000009000000}">
      <text>
        <r>
          <rPr>
            <sz val="11"/>
            <color rgb="FF000000"/>
            <rFont val="Calibri"/>
            <family val="2"/>
            <scheme val="minor"/>
          </rPr>
          <t>======
ID#AAAAyaotBIE
Babatunde Awoyemi    (2022-07-29 08:19:16)
29th July</t>
        </r>
      </text>
    </comment>
    <comment ref="AA37" authorId="0" shapeId="0" xr:uid="{00000000-0006-0000-0200-000078000000}">
      <text>
        <r>
          <rPr>
            <sz val="11"/>
            <color rgb="FF000000"/>
            <rFont val="Calibri"/>
            <family val="2"/>
            <scheme val="minor"/>
          </rPr>
          <t>======
ID#AAAAyF_CZJc
Babatunde    (2022-05-18 11:06:24)
30th April, 2022 on the School Account</t>
        </r>
      </text>
    </comment>
    <comment ref="AB37" authorId="0" shapeId="0" xr:uid="{00000000-0006-0000-0200-00002C000000}">
      <text>
        <r>
          <rPr>
            <sz val="11"/>
            <color rgb="FF000000"/>
            <rFont val="Calibri"/>
            <family val="2"/>
            <scheme val="minor"/>
          </rPr>
          <t>======
ID#AAAAyF_CZIc
Babatunde    (2022-07-05 08:31:13)
29th June</t>
        </r>
      </text>
    </comment>
    <comment ref="AA38" authorId="0" shapeId="0" xr:uid="{00000000-0006-0000-0200-000076000000}">
      <text>
        <r>
          <rPr>
            <sz val="11"/>
            <color rgb="FF000000"/>
            <rFont val="Calibri"/>
            <family val="2"/>
            <scheme val="minor"/>
          </rPr>
          <t>======
ID#AAAAyF3ehPE
Babatunde    (2022-05-25 08:14:49)
17th may</t>
        </r>
      </text>
    </comment>
    <comment ref="AB38" authorId="0" shapeId="0" xr:uid="{00000000-0006-0000-0200-000040000000}">
      <text>
        <r>
          <rPr>
            <sz val="11"/>
            <color rgb="FF000000"/>
            <rFont val="Calibri"/>
            <family val="2"/>
            <scheme val="minor"/>
          </rPr>
          <t>======
ID#AAAAyF_CZHE
Babatunde    (2022-06-21 11:24:52)
19TH JUNE</t>
        </r>
      </text>
    </comment>
    <comment ref="AC38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ID#AAAAyF_CZGI
Babatunde Awoyemi    (2022-08-06 06:31:06)
5th August</t>
        </r>
      </text>
    </comment>
    <comment ref="AA39" authorId="0" shapeId="0" xr:uid="{00000000-0006-0000-0200-00008C000000}">
      <text>
        <r>
          <rPr>
            <sz val="11"/>
            <color rgb="FF000000"/>
            <rFont val="Calibri"/>
            <family val="2"/>
            <scheme val="minor"/>
          </rPr>
          <t>======
ID#AAAAyF_CZFI
Babatunde    (2022-05-18 11:06:24)
16th May</t>
        </r>
      </text>
    </comment>
    <comment ref="AB39" authorId="0" shapeId="0" xr:uid="{00000000-0006-0000-0200-00003F000000}">
      <text>
        <r>
          <rPr>
            <sz val="11"/>
            <color rgb="FF000000"/>
            <rFont val="Calibri"/>
            <family val="2"/>
            <scheme val="minor"/>
          </rPr>
          <t>======
ID#AAAAyF_CZKM
Babatunde    (2022-06-21 11:24:52)
21ST JUNE</t>
        </r>
      </text>
    </comment>
    <comment ref="AC39" authorId="0" shapeId="0" xr:uid="{00000000-0006-0000-0200-00001D000000}">
      <text>
        <r>
          <rPr>
            <sz val="11"/>
            <color rgb="FF000000"/>
            <rFont val="Calibri"/>
            <family val="2"/>
            <scheme val="minor"/>
          </rPr>
          <t>======
ID#AAAAyF_CZH8
Babatunde Awoyemi    (2022-07-14 10:50:01)
14th July</t>
        </r>
      </text>
    </comment>
    <comment ref="AD39" authorId="0" shapeId="0" xr:uid="{00000000-0006-0000-0200-000014000000}">
      <text>
        <r>
          <rPr>
            <sz val="11"/>
            <color rgb="FF000000"/>
            <rFont val="Calibri"/>
            <family val="2"/>
            <scheme val="minor"/>
          </rPr>
          <t>======
ID#AAAAyF_CZIs
Babatunde Awoyemi    (2022-07-27 05:33:16)
26th July</t>
        </r>
      </text>
    </comment>
    <comment ref="AA40" authorId="0" shapeId="0" xr:uid="{00000000-0006-0000-0200-000058000000}">
      <text>
        <r>
          <rPr>
            <sz val="11"/>
            <color rgb="FF000000"/>
            <rFont val="Calibri"/>
            <family val="2"/>
            <scheme val="minor"/>
          </rPr>
          <t>======
ID#AAAAyaotBIs
Babatunde    (2022-06-15 12:26:41)
14th june</t>
        </r>
      </text>
    </comment>
    <comment ref="AB40" authorId="0" shapeId="0" xr:uid="{00000000-0006-0000-0200-00003D000000}">
      <text>
        <r>
          <rPr>
            <sz val="11"/>
            <color rgb="FF000000"/>
            <rFont val="Calibri"/>
            <family val="2"/>
            <scheme val="minor"/>
          </rPr>
          <t>======
ID#AAAAyF_CZKo
Babatunde    (2022-07-05 08:31:13)
4th July</t>
        </r>
      </text>
    </comment>
    <comment ref="AA41" authorId="0" shapeId="0" xr:uid="{00000000-0006-0000-0200-000077000000}">
      <text>
        <r>
          <rPr>
            <sz val="11"/>
            <color rgb="FF000000"/>
            <rFont val="Calibri"/>
            <family val="2"/>
            <scheme val="minor"/>
          </rPr>
          <t>======
ID#AAAAyF_CZE8
Babatunde    (2022-05-25 08:14:49)
20000 shar by oluniyis
pai on 20th may</t>
        </r>
      </text>
    </comment>
    <comment ref="AB41" authorId="0" shapeId="0" xr:uid="{00000000-0006-0000-0200-000038000000}">
      <text>
        <r>
          <rPr>
            <sz val="11"/>
            <color rgb="FF000000"/>
            <rFont val="Calibri"/>
            <family val="2"/>
            <scheme val="minor"/>
          </rPr>
          <t>======
ID#AAAAyF3ehO4
Babatunde    (2022-07-05 08:31:13)
4th July</t>
        </r>
      </text>
    </comment>
    <comment ref="AC41" authorId="0" shapeId="0" xr:uid="{00000000-0006-0000-0200-000023000000}">
      <text>
        <r>
          <rPr>
            <sz val="11"/>
            <color rgb="FF000000"/>
            <rFont val="Calibri"/>
            <family val="2"/>
            <scheme val="minor"/>
          </rPr>
          <t>======
ID#AAAAyF_CZF4
Babatunde Awoyemi    (2022-07-12 05:49:45)
11th July</t>
        </r>
      </text>
    </comment>
    <comment ref="AA42" authorId="0" shapeId="0" xr:uid="{00000000-0006-0000-0200-000069000000}">
      <text>
        <r>
          <rPr>
            <sz val="11"/>
            <color rgb="FF000000"/>
            <rFont val="Calibri"/>
            <family val="2"/>
            <scheme val="minor"/>
          </rPr>
          <t>======
ID#AAAAyF5K0tM
Babatunde    (2022-06-10 12:51:34)
20000 shar by oluniyis
pai on 20th may</t>
        </r>
      </text>
    </comment>
    <comment ref="AB42" authorId="0" shapeId="0" xr:uid="{00000000-0006-0000-0200-000039000000}">
      <text>
        <r>
          <rPr>
            <sz val="11"/>
            <color rgb="FF000000"/>
            <rFont val="Calibri"/>
            <family val="2"/>
            <scheme val="minor"/>
          </rPr>
          <t>======
ID#AAAAyF3ehPA
Babatunde    (2022-07-05 08:31:13)
4th July</t>
        </r>
      </text>
    </comment>
    <comment ref="AC42" authorId="0" shapeId="0" xr:uid="{00000000-0006-0000-0200-000022000000}">
      <text>
        <r>
          <rPr>
            <sz val="11"/>
            <color rgb="FF000000"/>
            <rFont val="Calibri"/>
            <family val="2"/>
            <scheme val="minor"/>
          </rPr>
          <t>======
ID#AAAAyF5K0tA
Babatunde Awoyemi    (2022-07-12 05:49:56)
11th July</t>
        </r>
      </text>
    </comment>
    <comment ref="AA43" authorId="0" shapeId="0" xr:uid="{00000000-0006-0000-0200-000094000000}">
      <text>
        <r>
          <rPr>
            <sz val="11"/>
            <color rgb="FF000000"/>
            <rFont val="Calibri"/>
            <family val="2"/>
            <scheme val="minor"/>
          </rPr>
          <t>======
ID#AAAAyF_CZLQ
Babatunde    (2022-05-18 11:06:24)
10th May, 2022</t>
        </r>
      </text>
    </comment>
    <comment ref="AA44" authorId="0" shapeId="0" xr:uid="{00000000-0006-0000-0200-000086000000}">
      <text>
        <r>
          <rPr>
            <sz val="11"/>
            <color rgb="FF000000"/>
            <rFont val="Calibri"/>
            <family val="2"/>
            <scheme val="minor"/>
          </rPr>
          <t>======
ID#AAAAyF_CZI8
Babatunde    (2022-05-18 11:06:24)
16th May</t>
        </r>
      </text>
    </comment>
    <comment ref="AB44" authorId="0" shapeId="0" xr:uid="{00000000-0006-0000-0200-000041000000}">
      <text>
        <r>
          <rPr>
            <sz val="11"/>
            <color rgb="FF000000"/>
            <rFont val="Calibri"/>
            <family val="2"/>
            <scheme val="minor"/>
          </rPr>
          <t>======
ID#AAAAyaotBIM
Babatunde    (2022-06-21 11:24:52)
21ST JUNE</t>
        </r>
      </text>
    </comment>
    <comment ref="AC44" authorId="0" shapeId="0" xr:uid="{00000000-0006-0000-0200-000012000000}">
      <text>
        <r>
          <rPr>
            <sz val="11"/>
            <color rgb="FF000000"/>
            <rFont val="Calibri"/>
            <family val="2"/>
            <scheme val="minor"/>
          </rPr>
          <t>======
ID#AAAAyF_CZIU
Babatunde Awoyemi    (2022-07-27 07:35:29)
27th July</t>
        </r>
      </text>
    </comment>
    <comment ref="AA45" authorId="0" shapeId="0" xr:uid="{00000000-0006-0000-0200-00006C000000}">
      <text>
        <r>
          <rPr>
            <sz val="11"/>
            <color rgb="FF000000"/>
            <rFont val="Calibri"/>
            <family val="2"/>
            <scheme val="minor"/>
          </rPr>
          <t>======
ID#AAAAyF_CZKI
Babatunde    (2022-06-05 18:29:54)
29th April</t>
        </r>
      </text>
    </comment>
    <comment ref="AB45" authorId="0" shapeId="0" xr:uid="{00000000-0006-0000-0200-00005C000000}">
      <text>
        <r>
          <rPr>
            <sz val="11"/>
            <color rgb="FF000000"/>
            <rFont val="Calibri"/>
            <family val="2"/>
            <scheme val="minor"/>
          </rPr>
          <t>======
ID#AAAAyF_CZGw
Babatunde    (2022-06-15 12:26:41)
24th May</t>
        </r>
      </text>
    </comment>
    <comment ref="AC45" authorId="0" shapeId="0" xr:uid="{00000000-0006-0000-0200-000028000000}">
      <text>
        <r>
          <rPr>
            <sz val="11"/>
            <color rgb="FF000000"/>
            <rFont val="Calibri"/>
            <family val="2"/>
            <scheme val="minor"/>
          </rPr>
          <t>======
ID#AAAAyF_CZKE
Babatunde    (2022-07-05 08:31:13)
1st July</t>
        </r>
      </text>
    </comment>
    <comment ref="AD45" authorId="0" shapeId="0" xr:uid="{00000000-0006-0000-0200-000005000000}">
      <text>
        <r>
          <rPr>
            <sz val="11"/>
            <color rgb="FF000000"/>
            <rFont val="Calibri"/>
            <family val="2"/>
            <scheme val="minor"/>
          </rPr>
          <t>======
ID#AAAAyF_CZHg
Babatunde Awoyemi    (2022-08-02 12:32:06)
2nd August</t>
        </r>
      </text>
    </comment>
    <comment ref="AA46" authorId="0" shapeId="0" xr:uid="{00000000-0006-0000-0200-00007A000000}">
      <text>
        <r>
          <rPr>
            <sz val="11"/>
            <color rgb="FF000000"/>
            <rFont val="Calibri"/>
            <family val="2"/>
            <scheme val="minor"/>
          </rPr>
          <t>======
ID#AAAAyF_CZIo
Babatunde    (2022-05-18 11:06:24)
Outstanding paid on 29th April</t>
        </r>
      </text>
    </comment>
    <comment ref="AB46" authorId="0" shapeId="0" xr:uid="{00000000-0006-0000-0200-000072000000}">
      <text>
        <r>
          <rPr>
            <sz val="11"/>
            <color rgb="FF000000"/>
            <rFont val="Calibri"/>
            <family val="2"/>
            <scheme val="minor"/>
          </rPr>
          <t>======
ID#AAAAyF_CZFo
Babatunde    (2022-06-05 18:29:54)
24th May</t>
        </r>
      </text>
    </comment>
    <comment ref="AC46" authorId="0" shapeId="0" xr:uid="{00000000-0006-0000-0200-000036000000}">
      <text>
        <r>
          <rPr>
            <sz val="11"/>
            <color rgb="FF000000"/>
            <rFont val="Calibri"/>
            <family val="2"/>
            <scheme val="minor"/>
          </rPr>
          <t>======
ID#AAAAyF_CZGU
Babatunde    (2022-07-05 08:31:13)
1st July</t>
        </r>
      </text>
    </comment>
    <comment ref="AD46" authorId="0" shapeId="0" xr:uid="{00000000-0006-0000-0200-000004000000}">
      <text>
        <r>
          <rPr>
            <sz val="11"/>
            <color rgb="FF000000"/>
            <rFont val="Calibri"/>
            <family val="2"/>
            <scheme val="minor"/>
          </rPr>
          <t>======
ID#AAAAyF_CZEM
Babatunde Awoyemi    (2022-08-02 12:32:14)
2nd August</t>
        </r>
      </text>
    </comment>
    <comment ref="AA47" authorId="0" shapeId="0" xr:uid="{00000000-0006-0000-0200-000081000000}">
      <text>
        <r>
          <rPr>
            <sz val="11"/>
            <color rgb="FF000000"/>
            <rFont val="Calibri"/>
            <family val="2"/>
            <scheme val="minor"/>
          </rPr>
          <t>======
ID#AAAAyF_CZHQ
Babatunde    (2022-05-18 11:06:24)
15th May</t>
        </r>
      </text>
    </comment>
    <comment ref="AB47" authorId="0" shapeId="0" xr:uid="{00000000-0006-0000-0200-000085000000}">
      <text>
        <r>
          <rPr>
            <sz val="11"/>
            <color rgb="FF000000"/>
            <rFont val="Calibri"/>
            <family val="2"/>
            <scheme val="minor"/>
          </rPr>
          <t>======
ID#AAAAyaotBII
Babatunde    (2022-05-18 11:06:24)
16th May</t>
        </r>
      </text>
    </comment>
    <comment ref="AC47" authorId="0" shapeId="0" xr:uid="{00000000-0006-0000-0200-000045000000}">
      <text>
        <r>
          <rPr>
            <sz val="11"/>
            <color rgb="FF000000"/>
            <rFont val="Calibri"/>
            <family val="2"/>
            <scheme val="minor"/>
          </rPr>
          <t>======
ID#AAAAyF_CZJs
Babatunde    (2022-06-20 09:09:39)
20th june</t>
        </r>
      </text>
    </comment>
    <comment ref="AA48" authorId="0" shapeId="0" xr:uid="{00000000-0006-0000-0200-000065000000}">
      <text>
        <r>
          <rPr>
            <sz val="11"/>
            <color rgb="FF000000"/>
            <rFont val="Calibri"/>
            <family val="2"/>
            <scheme val="minor"/>
          </rPr>
          <t>======
ID#AAAAyF_CZF8
Babatunde    (2022-06-15 12:26:41)
23rd May</t>
        </r>
      </text>
    </comment>
    <comment ref="AB48" authorId="0" shapeId="0" xr:uid="{00000000-0006-0000-0200-000032000000}">
      <text>
        <r>
          <rPr>
            <sz val="11"/>
            <color rgb="FF000000"/>
            <rFont val="Calibri"/>
            <family val="2"/>
            <scheme val="minor"/>
          </rPr>
          <t>======
ID#AAAAyF_CZIE
Babatunde    (2022-07-05 08:31:13)
27th June</t>
        </r>
      </text>
    </comment>
    <comment ref="AC48" authorId="0" shapeId="0" xr:uid="{00000000-0006-0000-0200-000020000000}">
      <text>
        <r>
          <rPr>
            <sz val="11"/>
            <color rgb="FF000000"/>
            <rFont val="Calibri"/>
            <family val="2"/>
            <scheme val="minor"/>
          </rPr>
          <t>======
ID#AAAAyF_CZJ4
BABATUN    (2022-07-14 10:47:29)
13th July</t>
        </r>
      </text>
    </comment>
    <comment ref="AA49" authorId="0" shapeId="0" xr:uid="{00000000-0006-0000-0200-000092000000}">
      <text>
        <r>
          <rPr>
            <sz val="11"/>
            <color rgb="FF000000"/>
            <rFont val="Calibri"/>
            <family val="2"/>
            <scheme val="minor"/>
          </rPr>
          <t>======
ID#AAAAyF5K0s8
Babatunde    (2022-05-18 11:06:24)
4th May, 2022</t>
        </r>
      </text>
    </comment>
    <comment ref="AA50" authorId="0" shapeId="0" xr:uid="{00000000-0006-0000-0200-000087000000}">
      <text>
        <r>
          <rPr>
            <sz val="11"/>
            <color rgb="FF000000"/>
            <rFont val="Calibri"/>
            <family val="2"/>
            <scheme val="minor"/>
          </rPr>
          <t>======
ID#AAAAyF5K0tY
Babatunde    (2022-05-18 11:06:24)
9th May, 2022</t>
        </r>
      </text>
    </comment>
    <comment ref="AA51" authorId="0" shapeId="0" xr:uid="{00000000-0006-0000-0200-00006D000000}">
      <text>
        <r>
          <rPr>
            <sz val="11"/>
            <color rgb="FF000000"/>
            <rFont val="Calibri"/>
            <family val="2"/>
            <scheme val="minor"/>
          </rPr>
          <t>======
ID#AAAAyF_CZKY
Babatunde    (2022-06-05 18:29:54)
2nd May</t>
        </r>
      </text>
    </comment>
    <comment ref="AB51" authorId="0" shapeId="0" xr:uid="{00000000-0006-0000-0200-00006A000000}">
      <text>
        <r>
          <rPr>
            <sz val="11"/>
            <color rgb="FF000000"/>
            <rFont val="Calibri"/>
            <family val="2"/>
            <scheme val="minor"/>
          </rPr>
          <t>======
ID#AAAAyF_CZEY
Babatunde    (2022-06-10 12:51:34)
5th June</t>
        </r>
      </text>
    </comment>
    <comment ref="AC51" authorId="0" shapeId="0" xr:uid="{00000000-0006-0000-0200-00002E000000}">
      <text>
        <r>
          <rPr>
            <sz val="11"/>
            <color rgb="FF000000"/>
            <rFont val="Calibri"/>
            <family val="2"/>
            <scheme val="minor"/>
          </rPr>
          <t>======
ID#AAAAyF_CZIk
Babatunde    (2022-07-05 08:31:13)
3rd July</t>
        </r>
      </text>
    </comment>
    <comment ref="AA52" authorId="0" shapeId="0" xr:uid="{00000000-0006-0000-0200-00005B000000}">
      <text>
        <r>
          <rPr>
            <sz val="11"/>
            <color rgb="FF000000"/>
            <rFont val="Calibri"/>
            <family val="2"/>
            <scheme val="minor"/>
          </rPr>
          <t>======
ID#AAAAyF_CZI0
    (2022-06-15 12:26:41)
2nd May, 2022</t>
        </r>
      </text>
    </comment>
    <comment ref="AB52" authorId="0" shapeId="0" xr:uid="{00000000-0006-0000-0200-000066000000}">
      <text>
        <r>
          <rPr>
            <sz val="11"/>
            <color rgb="FF000000"/>
            <rFont val="Calibri"/>
            <family val="2"/>
            <scheme val="minor"/>
          </rPr>
          <t>======
ID#AAAAyF_CZKs
Babatunde    (2022-06-15 12:26:41)
5th June</t>
        </r>
      </text>
    </comment>
    <comment ref="AC52" authorId="0" shapeId="0" xr:uid="{00000000-0006-0000-0200-00002D000000}">
      <text>
        <r>
          <rPr>
            <sz val="11"/>
            <color rgb="FF000000"/>
            <rFont val="Calibri"/>
            <family val="2"/>
            <scheme val="minor"/>
          </rPr>
          <t>======
ID#AAAAyF_CZJE
Babatunde    (2022-07-05 08:31:13)
3rd July
------
ID#AAAAyF_CZJI
Babatunde Awoyemi    (2022-08-08 05:50:55)
8th August</t>
        </r>
      </text>
    </comment>
    <comment ref="AA53" authorId="0" shapeId="0" xr:uid="{00000000-0006-0000-0200-00008D000000}">
      <text>
        <r>
          <rPr>
            <sz val="11"/>
            <color rgb="FF000000"/>
            <rFont val="Calibri"/>
            <family val="2"/>
            <scheme val="minor"/>
          </rPr>
          <t>======
ID#AAAAyF_CZG0
Babatunde    (2022-05-18 11:06:24)
16th May shared temitopes</t>
        </r>
      </text>
    </comment>
    <comment ref="AB53" authorId="0" shapeId="0" xr:uid="{00000000-0006-0000-0200-000064000000}">
      <text>
        <r>
          <rPr>
            <sz val="11"/>
            <color rgb="FF000000"/>
            <rFont val="Calibri"/>
            <family val="2"/>
            <scheme val="minor"/>
          </rPr>
          <t>======
ID#AAAAyF_CZEQ
Babatunde    (2022-06-15 12:26:41)
6th June</t>
        </r>
      </text>
    </comment>
    <comment ref="AC53" authorId="0" shapeId="0" xr:uid="{00000000-0006-0000-0200-00002A000000}">
      <text>
        <r>
          <rPr>
            <sz val="11"/>
            <color rgb="FF000000"/>
            <rFont val="Calibri"/>
            <family val="2"/>
            <scheme val="minor"/>
          </rPr>
          <t>======
ID#AAAAyF_CZKU
Babatunde    (2022-07-05 08:31:13)
28th june</t>
        </r>
      </text>
    </comment>
    <comment ref="AD53" authorId="0" shapeId="0" xr:uid="{00000000-0006-0000-0200-00000C000000}">
      <text>
        <r>
          <rPr>
            <sz val="11"/>
            <color rgb="FF000000"/>
            <rFont val="Calibri"/>
            <family val="2"/>
            <scheme val="minor"/>
          </rPr>
          <t>======
ID#AAAAyaotBH8
Babatunde Awoyemi    (2022-07-29 07:58:56)
29th July</t>
        </r>
      </text>
    </comment>
    <comment ref="AA54" authorId="0" shapeId="0" xr:uid="{00000000-0006-0000-0200-00007F000000}">
      <text>
        <r>
          <rPr>
            <sz val="11"/>
            <color rgb="FF000000"/>
            <rFont val="Calibri"/>
            <family val="2"/>
            <scheme val="minor"/>
          </rPr>
          <t>======
ID#AAAAyF_CZHI
Babatunde    (2022-05-18 11:06:24)
16th May shared temitopes</t>
        </r>
      </text>
    </comment>
    <comment ref="AB54" authorId="0" shapeId="0" xr:uid="{00000000-0006-0000-0200-00005F000000}">
      <text>
        <r>
          <rPr>
            <sz val="11"/>
            <color rgb="FF000000"/>
            <rFont val="Calibri"/>
            <family val="2"/>
            <scheme val="minor"/>
          </rPr>
          <t>======
ID#AAAAyF5K0tU
Babatunde    (2022-06-15 12:26:41)
6th June</t>
        </r>
      </text>
    </comment>
    <comment ref="AC54" authorId="0" shapeId="0" xr:uid="{00000000-0006-0000-0200-00002B000000}">
      <text>
        <r>
          <rPr>
            <sz val="11"/>
            <color rgb="FF000000"/>
            <rFont val="Calibri"/>
            <family val="2"/>
            <scheme val="minor"/>
          </rPr>
          <t>======
ID#AAAAyF_CZLA
Babatunde    (2022-07-05 08:31:13)
Babatunde:</t>
        </r>
      </text>
    </comment>
    <comment ref="AD54" authorId="0" shapeId="0" xr:uid="{00000000-0006-0000-0200-00000B000000}">
      <text>
        <r>
          <rPr>
            <sz val="11"/>
            <color rgb="FF000000"/>
            <rFont val="Calibri"/>
            <family val="2"/>
            <scheme val="minor"/>
          </rPr>
          <t>======
ID#AAAAyF_CZFw
Babatunde Awoyemi    (2022-07-29 07:59:03)
29th July</t>
        </r>
      </text>
    </comment>
    <comment ref="AA55" authorId="0" shapeId="0" xr:uid="{00000000-0006-0000-0200-000055000000}">
      <text>
        <r>
          <rPr>
            <sz val="11"/>
            <color rgb="FF000000"/>
            <rFont val="Calibri"/>
            <family val="2"/>
            <scheme val="minor"/>
          </rPr>
          <t>======
ID#AAAAyF_CZJY
Babatunde    (2022-06-15 12:26:41)
24th May</t>
        </r>
      </text>
    </comment>
    <comment ref="AA56" authorId="0" shapeId="0" xr:uid="{00000000-0006-0000-0200-00006E000000}">
      <text>
        <r>
          <rPr>
            <sz val="11"/>
            <color rgb="FF000000"/>
            <rFont val="Calibri"/>
            <family val="2"/>
            <scheme val="minor"/>
          </rPr>
          <t>======
ID#AAAAyF_CZK0
Babatunde    (2022-06-05 18:29:54)
24th May</t>
        </r>
      </text>
    </comment>
    <comment ref="AA57" authorId="0" shapeId="0" xr:uid="{00000000-0006-0000-0200-000061000000}">
      <text>
        <r>
          <rPr>
            <sz val="11"/>
            <color rgb="FF000000"/>
            <rFont val="Calibri"/>
            <family val="2"/>
            <scheme val="minor"/>
          </rPr>
          <t>======
ID#AAAAyF_CZFQ
Babatunde    (2022-06-15 12:26:41)
14th june 30000 divided</t>
        </r>
      </text>
    </comment>
    <comment ref="AB57" authorId="0" shapeId="0" xr:uid="{00000000-0006-0000-0200-000016000000}">
      <text>
        <r>
          <rPr>
            <sz val="11"/>
            <color rgb="FF000000"/>
            <rFont val="Calibri"/>
            <family val="2"/>
            <scheme val="minor"/>
          </rPr>
          <t>======
ID#AAAAyF5K0tc
Babatunde Awoyemi    (2022-07-25 18:04:00)
25th July</t>
        </r>
      </text>
    </comment>
    <comment ref="AC57" authorId="0" shapeId="0" xr:uid="{00000000-0006-0000-0200-000008000000}">
      <text>
        <r>
          <rPr>
            <sz val="11"/>
            <color rgb="FF000000"/>
            <rFont val="Calibri"/>
            <family val="2"/>
            <scheme val="minor"/>
          </rPr>
          <t>======
ID#AAAAyaotBIo
Babatunde Awoyemi    (2022-08-02 08:35:41)
2nd August</t>
        </r>
      </text>
    </comment>
    <comment ref="AA58" authorId="0" shapeId="0" xr:uid="{00000000-0006-0000-0200-000054000000}">
      <text>
        <r>
          <rPr>
            <sz val="11"/>
            <color rgb="FF000000"/>
            <rFont val="Calibri"/>
            <family val="2"/>
            <scheme val="minor"/>
          </rPr>
          <t>======
ID#AAAAyF_CZK4
Babatunde    (2022-06-15 12:26:41)
14th june 30000 divided</t>
        </r>
      </text>
    </comment>
    <comment ref="AB58" authorId="0" shapeId="0" xr:uid="{00000000-0006-0000-0200-000015000000}">
      <text>
        <r>
          <rPr>
            <sz val="11"/>
            <color rgb="FF000000"/>
            <rFont val="Calibri"/>
            <family val="2"/>
            <scheme val="minor"/>
          </rPr>
          <t>======
ID#AAAAyF_CZHc
Babatunde Awoyemi    (2022-07-25 18:04:10)
25th July</t>
        </r>
      </text>
    </comment>
    <comment ref="AC58" authorId="0" shapeId="0" xr:uid="{00000000-0006-0000-0200-000007000000}">
      <text>
        <r>
          <rPr>
            <sz val="11"/>
            <color rgb="FF000000"/>
            <rFont val="Calibri"/>
            <family val="2"/>
            <scheme val="minor"/>
          </rPr>
          <t>======
ID#AAAAyF_CZHM
Babatunde Awoyemi    (2022-08-02 08:35:47)
2nd August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3gAKOpV1OOUQBxmJR6w8htxoa2w=="/>
    </ext>
  </extLst>
</comments>
</file>

<file path=xl/sharedStrings.xml><?xml version="1.0" encoding="utf-8"?>
<sst xmlns="http://schemas.openxmlformats.org/spreadsheetml/2006/main" count="2512" uniqueCount="831">
  <si>
    <t>LAST NAME</t>
  </si>
  <si>
    <t>FIRST NAME</t>
  </si>
  <si>
    <t>CLASS</t>
  </si>
  <si>
    <t>TOTAL</t>
  </si>
  <si>
    <t>BALANCE REMAINING</t>
  </si>
  <si>
    <t>ADMISSION FORM</t>
  </si>
  <si>
    <t>TUITION</t>
  </si>
  <si>
    <t>PTA/EXAM</t>
  </si>
  <si>
    <t>REPORT CARD</t>
  </si>
  <si>
    <t>BOOKS</t>
  </si>
  <si>
    <t>MAINTENANCE</t>
  </si>
  <si>
    <t>UNIFORM</t>
  </si>
  <si>
    <t>HAT</t>
  </si>
  <si>
    <t>HOODY</t>
  </si>
  <si>
    <t>COMPUTER PRACTICAL</t>
  </si>
  <si>
    <t>YEAR BOOK</t>
  </si>
  <si>
    <t>INTER-HOUSE SPORT</t>
  </si>
  <si>
    <t>AFTER SCHOOL CLUB</t>
  </si>
  <si>
    <t>PREVOCATIONAL PRACTICAL</t>
  </si>
  <si>
    <t>PHONICS</t>
  </si>
  <si>
    <t>EARLY MORNING REVISION CLASSES</t>
  </si>
  <si>
    <t>EXTERNAL EXAM</t>
  </si>
  <si>
    <t>GRADUATION</t>
  </si>
  <si>
    <t>OUTSTANDING</t>
  </si>
  <si>
    <t>FIRST DEPOSIT</t>
  </si>
  <si>
    <t>SECOND DEPOSIT</t>
  </si>
  <si>
    <t>THIRD DEPOSIT</t>
  </si>
  <si>
    <t>FOURTH DEPOSIT</t>
  </si>
  <si>
    <t>OLUWAFEMI</t>
  </si>
  <si>
    <t>EMMANUEL</t>
  </si>
  <si>
    <t>CRECHE</t>
  </si>
  <si>
    <t>OKERINDE</t>
  </si>
  <si>
    <t>JSS1</t>
  </si>
  <si>
    <t>OLADIPUPO</t>
  </si>
  <si>
    <t>ONOJA</t>
  </si>
  <si>
    <t>FAVOUR</t>
  </si>
  <si>
    <t>OWOLABI</t>
  </si>
  <si>
    <t>OLUWAFIFUNMI</t>
  </si>
  <si>
    <t>ADEGOKE</t>
  </si>
  <si>
    <t>JOSHUA</t>
  </si>
  <si>
    <t>JSS2</t>
  </si>
  <si>
    <t>AYEDUN</t>
  </si>
  <si>
    <t>DANIEL</t>
  </si>
  <si>
    <t>LATEEF</t>
  </si>
  <si>
    <t>MUJEEB</t>
  </si>
  <si>
    <t>OLUNIYI</t>
  </si>
  <si>
    <t>SCHOLARSHIP</t>
  </si>
  <si>
    <t>ADELEKE</t>
  </si>
  <si>
    <t>MUIZ</t>
  </si>
  <si>
    <t>JSS3</t>
  </si>
  <si>
    <t>ADENIYI</t>
  </si>
  <si>
    <t>OYINDAMOLA</t>
  </si>
  <si>
    <t>AJAO</t>
  </si>
  <si>
    <t>AWONIYI</t>
  </si>
  <si>
    <t>SAMUEL</t>
  </si>
  <si>
    <t>MUTAIRU</t>
  </si>
  <si>
    <t>OBAGBEMIRO</t>
  </si>
  <si>
    <t>ENOCH</t>
  </si>
  <si>
    <t>DAVID</t>
  </si>
  <si>
    <t>NURSERY 1</t>
  </si>
  <si>
    <t>OMOTOSHO</t>
  </si>
  <si>
    <t>ADEDOJA</t>
  </si>
  <si>
    <t>PRAISE</t>
  </si>
  <si>
    <t>NURSERY 2</t>
  </si>
  <si>
    <t>ADEGBITE</t>
  </si>
  <si>
    <t>FLORENCE</t>
  </si>
  <si>
    <t>ADEWOLE</t>
  </si>
  <si>
    <t>TESTIMONY</t>
  </si>
  <si>
    <t>OLAYEMI</t>
  </si>
  <si>
    <t>STEPHEN MORIAANUGBA</t>
  </si>
  <si>
    <t>OSO</t>
  </si>
  <si>
    <t>OPEMIPO</t>
  </si>
  <si>
    <t>ADEBAYO</t>
  </si>
  <si>
    <t>ALEXANDER</t>
  </si>
  <si>
    <t>PLAYGROUP 1</t>
  </si>
  <si>
    <t>ADELOYE</t>
  </si>
  <si>
    <t>OLUWAMOSOPE</t>
  </si>
  <si>
    <t>ADEDAYO</t>
  </si>
  <si>
    <t>ADESIRE</t>
  </si>
  <si>
    <t>PLAYGROUP 2</t>
  </si>
  <si>
    <t>ADEOLUWA</t>
  </si>
  <si>
    <t>ADEBUNMI</t>
  </si>
  <si>
    <t>EGBEDELE</t>
  </si>
  <si>
    <t>ZION</t>
  </si>
  <si>
    <t>FALODUN</t>
  </si>
  <si>
    <t>ABIOLA</t>
  </si>
  <si>
    <t>KOLADE</t>
  </si>
  <si>
    <t>OLUWASHINDARA</t>
  </si>
  <si>
    <t>OLADOJA</t>
  </si>
  <si>
    <t>OYEWOLE</t>
  </si>
  <si>
    <t>DARASIMI</t>
  </si>
  <si>
    <t>TEHILLA</t>
  </si>
  <si>
    <t>YOLOYE</t>
  </si>
  <si>
    <t>ELIZABETH</t>
  </si>
  <si>
    <t>OLAMIDE</t>
  </si>
  <si>
    <t>PRIMARY 1</t>
  </si>
  <si>
    <t>TOYINBO</t>
  </si>
  <si>
    <t>TONILOBA</t>
  </si>
  <si>
    <t>PROSPER</t>
  </si>
  <si>
    <t>PRIMARY 2</t>
  </si>
  <si>
    <t>IBRAHIM</t>
  </si>
  <si>
    <t>OLAOKE</t>
  </si>
  <si>
    <t>GRACE</t>
  </si>
  <si>
    <t>OLUFAJO</t>
  </si>
  <si>
    <t>ISRAEL</t>
  </si>
  <si>
    <t>PRIMARY 3</t>
  </si>
  <si>
    <t>ADUNOYE</t>
  </si>
  <si>
    <t>MIRACLE</t>
  </si>
  <si>
    <t>TEMITOPE</t>
  </si>
  <si>
    <t>ADENUGA</t>
  </si>
  <si>
    <t>CALEB</t>
  </si>
  <si>
    <t>PRIMARY 4</t>
  </si>
  <si>
    <t>AKINTOLA</t>
  </si>
  <si>
    <t>WURAOLA</t>
  </si>
  <si>
    <t>FAJOBI</t>
  </si>
  <si>
    <t>OPALEYE</t>
  </si>
  <si>
    <t>PRISCILLA</t>
  </si>
  <si>
    <t>AYODELE</t>
  </si>
  <si>
    <t>PRIMARY 5</t>
  </si>
  <si>
    <t>AANUOLUWAPO</t>
  </si>
  <si>
    <t>ISHOLA</t>
  </si>
  <si>
    <t>BLESSING</t>
  </si>
  <si>
    <t>SSS1</t>
  </si>
  <si>
    <t>POPOOLA</t>
  </si>
  <si>
    <t>KEHINDE</t>
  </si>
  <si>
    <t>TAIWO</t>
  </si>
  <si>
    <t>OLADIRAN</t>
  </si>
  <si>
    <t>BAMIDELE</t>
  </si>
  <si>
    <t>SSS2</t>
  </si>
  <si>
    <t>EXCURSION</t>
  </si>
  <si>
    <t>END OF YEAR PARTY</t>
  </si>
  <si>
    <t>DATE PAID</t>
  </si>
  <si>
    <t>EDEM</t>
  </si>
  <si>
    <t>ZENITH AYOKUNNUMI</t>
  </si>
  <si>
    <t>PAY 1</t>
  </si>
  <si>
    <t>PAY 2</t>
  </si>
  <si>
    <t>PAY 3</t>
  </si>
  <si>
    <t>PAY 4</t>
  </si>
  <si>
    <t>PAY 5</t>
  </si>
  <si>
    <t>PAY 6</t>
  </si>
  <si>
    <t>LADOJA</t>
  </si>
  <si>
    <t>FIRST TERM 2021/2022</t>
  </si>
  <si>
    <t>PRIMARY</t>
  </si>
  <si>
    <t>SECONDARY</t>
  </si>
  <si>
    <t>FIRSTNAME</t>
  </si>
  <si>
    <t>LASTNAME</t>
  </si>
  <si>
    <t>WORK HOURS PER TERM</t>
  </si>
  <si>
    <t>% OF TOTAL WORK TIME</t>
  </si>
  <si>
    <t>FINAL AMOUNT</t>
  </si>
  <si>
    <t>OLUWABUKOLA</t>
  </si>
  <si>
    <t>OLARONKE</t>
  </si>
  <si>
    <t>GBEMISOLA ODUN</t>
  </si>
  <si>
    <t>ADEJOORIN</t>
  </si>
  <si>
    <t>AFUSAT</t>
  </si>
  <si>
    <t xml:space="preserve">ADEBIYI </t>
  </si>
  <si>
    <t>DOLAPO</t>
  </si>
  <si>
    <t>APATA</t>
  </si>
  <si>
    <t>ELIJAH OLAOLUWA</t>
  </si>
  <si>
    <t>AFOLAYAN</t>
  </si>
  <si>
    <t>BABATUNDE</t>
  </si>
  <si>
    <t>AWOYEMI</t>
  </si>
  <si>
    <t>OLUWAGBEMILEKE</t>
  </si>
  <si>
    <t>AKINADE</t>
  </si>
  <si>
    <t>ABIODUN</t>
  </si>
  <si>
    <t>GANIYAT (OKUNLOYE)</t>
  </si>
  <si>
    <t>JAMIU</t>
  </si>
  <si>
    <t>ANNA (AJALA)</t>
  </si>
  <si>
    <t>TOBILOBA</t>
  </si>
  <si>
    <t>DAMILOLA</t>
  </si>
  <si>
    <t>OLUSEMADE</t>
  </si>
  <si>
    <t>FASAKIN</t>
  </si>
  <si>
    <t>ABIMBOLA</t>
  </si>
  <si>
    <t>MOTUNRAYO</t>
  </si>
  <si>
    <t>FRANCIS</t>
  </si>
  <si>
    <t>CHRISTIANA JIMMAI</t>
  </si>
  <si>
    <t>HARUNA</t>
  </si>
  <si>
    <t>ALIMIAN</t>
  </si>
  <si>
    <t>IRABOR</t>
  </si>
  <si>
    <t>SIMEON OLUWASEUN</t>
  </si>
  <si>
    <t>SOYEWO</t>
  </si>
  <si>
    <t>SECOND TERM 2021/2022</t>
  </si>
  <si>
    <t>SECONDARY EARLY MORNING</t>
  </si>
  <si>
    <t>WORK DAYS PER TERM</t>
  </si>
  <si>
    <t>THIRD TERM 2021/2022</t>
  </si>
  <si>
    <t>WORK DAYS PER WEEK</t>
  </si>
  <si>
    <t>S/N</t>
  </si>
  <si>
    <t xml:space="preserve"> ADMISSION FORM</t>
  </si>
  <si>
    <t xml:space="preserve"> SCHOOL FEE</t>
  </si>
  <si>
    <t xml:space="preserve"> PTA/EXAM</t>
  </si>
  <si>
    <t xml:space="preserve"> REPORT CARD</t>
  </si>
  <si>
    <t xml:space="preserve"> TEXTBOOKS &amp; STATIONARIES</t>
  </si>
  <si>
    <t xml:space="preserve"> NOTEBOOKS</t>
  </si>
  <si>
    <t xml:space="preserve"> MAINTENANCE</t>
  </si>
  <si>
    <t xml:space="preserve"> SCHOOL UNIFORM</t>
  </si>
  <si>
    <t xml:space="preserve"> HAT</t>
  </si>
  <si>
    <t xml:space="preserve"> HOODY</t>
  </si>
  <si>
    <t xml:space="preserve"> COMPUTER</t>
  </si>
  <si>
    <t xml:space="preserve"> SCHOOL MAGAZINE</t>
  </si>
  <si>
    <t xml:space="preserve"> INTER-HOUSE SPORT</t>
  </si>
  <si>
    <t>SPORT WEAR</t>
  </si>
  <si>
    <t xml:space="preserve"> AFTER SCHOOL CLUB</t>
  </si>
  <si>
    <t xml:space="preserve"> PREVOCATIONAL </t>
  </si>
  <si>
    <t xml:space="preserve"> PHONICS</t>
  </si>
  <si>
    <t>XXX</t>
  </si>
  <si>
    <t xml:space="preserve"> EARLY MORNING  CLASS</t>
  </si>
  <si>
    <t xml:space="preserve"> EXTERNAL EXAM</t>
  </si>
  <si>
    <t xml:space="preserve"> EXCURSION</t>
  </si>
  <si>
    <t xml:space="preserve"> GRADUATION</t>
  </si>
  <si>
    <t xml:space="preserve"> END OF YEAR PARTY</t>
  </si>
  <si>
    <t xml:space="preserve"> OUTSTANDING</t>
  </si>
  <si>
    <t xml:space="preserve"> TOTAL FEE</t>
  </si>
  <si>
    <t xml:space="preserve"> PAY 1</t>
  </si>
  <si>
    <t xml:space="preserve"> PAY 2</t>
  </si>
  <si>
    <t xml:space="preserve"> PAY 3</t>
  </si>
  <si>
    <t xml:space="preserve"> PAY 4</t>
  </si>
  <si>
    <t xml:space="preserve"> TOTAL PAID</t>
  </si>
  <si>
    <t xml:space="preserve"> BALANCE</t>
  </si>
  <si>
    <t>NATHANIEL</t>
  </si>
  <si>
    <t>OLUWADARASIMI</t>
  </si>
  <si>
    <t>01 CRECHE</t>
  </si>
  <si>
    <t>OLADEJI</t>
  </si>
  <si>
    <t>ABIDOYE</t>
  </si>
  <si>
    <t>AL-AMEER OLUWAJOMILOJU</t>
  </si>
  <si>
    <t>02 PG1</t>
  </si>
  <si>
    <t>MOJEREOLUWA PROSPER</t>
  </si>
  <si>
    <t>OLADAPO</t>
  </si>
  <si>
    <t>JASON ANJOLAOLUWA</t>
  </si>
  <si>
    <t>03 PG2</t>
  </si>
  <si>
    <t>04 NUR1</t>
  </si>
  <si>
    <t>DORCAS SEMILORE</t>
  </si>
  <si>
    <t>05 NUR2</t>
  </si>
  <si>
    <t>PAUL ADEBAYO</t>
  </si>
  <si>
    <t>06 PRY1</t>
  </si>
  <si>
    <t>JESUTOFUNMI DARA</t>
  </si>
  <si>
    <t>DANIEL OBALOLUWA</t>
  </si>
  <si>
    <t>SAHEED</t>
  </si>
  <si>
    <t>ESTHER EWAIFE</t>
  </si>
  <si>
    <t>08 PRY3</t>
  </si>
  <si>
    <t>09 PRY4</t>
  </si>
  <si>
    <t>MICHAEL ERIIFE</t>
  </si>
  <si>
    <t>10 PRY5</t>
  </si>
  <si>
    <t>ALIU</t>
  </si>
  <si>
    <t>11 JSS1</t>
  </si>
  <si>
    <t>12 JSS2</t>
  </si>
  <si>
    <t>13 JSS3</t>
  </si>
  <si>
    <t>14 SSS1</t>
  </si>
  <si>
    <t>15 SSS2</t>
  </si>
  <si>
    <t>Transaction Date</t>
  </si>
  <si>
    <t>TransactionID</t>
  </si>
  <si>
    <t xml:space="preserve"> Narration</t>
  </si>
  <si>
    <t xml:space="preserve"> Amount Credit</t>
  </si>
  <si>
    <t>Student</t>
  </si>
  <si>
    <t>Purpose</t>
  </si>
  <si>
    <t>Aug 27, 2022</t>
  </si>
  <si>
    <t>S8719759</t>
  </si>
  <si>
    <t>NIP:OladipupoEmmanuelOdunayo-Transfer from</t>
  </si>
  <si>
    <t>Oladipupo Emmanuel</t>
  </si>
  <si>
    <t>School Fee</t>
  </si>
  <si>
    <t>Sep 05, 2022</t>
  </si>
  <si>
    <t>M91693</t>
  </si>
  <si>
    <t>CASH DEP BY AJAO QUDUS/050922</t>
  </si>
  <si>
    <t>Ajao Qudus</t>
  </si>
  <si>
    <t>Sep 07, 2022</t>
  </si>
  <si>
    <t>S1096139</t>
  </si>
  <si>
    <t>NIP:DAVID AKINWUMI OLAWALE-TRFDAVID JESUTOFUNMI D</t>
  </si>
  <si>
    <t>Dara David Jesutofunmi</t>
  </si>
  <si>
    <t>Sep 13, 2022</t>
  </si>
  <si>
    <t>S2114713</t>
  </si>
  <si>
    <t>NIP:ADEGOKE SAMUEL OLAWALE-USSD_ADEGOKE SAMUEL OL</t>
  </si>
  <si>
    <t>Adegokes Family</t>
  </si>
  <si>
    <t>Sep 15, 2022</t>
  </si>
  <si>
    <t>S5764436</t>
  </si>
  <si>
    <t>Sep 19, 2022</t>
  </si>
  <si>
    <t>S3282186</t>
  </si>
  <si>
    <t>NIP:POS business Kayloy multi purpose 2-Kayloy mu</t>
  </si>
  <si>
    <t>Yoloyes Family</t>
  </si>
  <si>
    <t>S3334811</t>
  </si>
  <si>
    <t>NIP:JOHN AYOTUNDE EDEM-Tf</t>
  </si>
  <si>
    <t>Edem Zenith</t>
  </si>
  <si>
    <t>S3398318</t>
  </si>
  <si>
    <t>NIP:OLADEJI JUMOKE ABOSEDE-FBNMOBILE:TECHBASE CON</t>
  </si>
  <si>
    <t>Oladeji Daniel</t>
  </si>
  <si>
    <t>S3453454</t>
  </si>
  <si>
    <t>NIP:Michael Luois Aigboose-Transfer from Michael</t>
  </si>
  <si>
    <t>Aigbose Michael</t>
  </si>
  <si>
    <t>Registration Fee</t>
  </si>
  <si>
    <t>M59243</t>
  </si>
  <si>
    <t>CASH DEP BY OLUWAFEMI MARY/19092022</t>
  </si>
  <si>
    <t>Oluwafemi Emmanuel</t>
  </si>
  <si>
    <t>M69440</t>
  </si>
  <si>
    <t>CASH DEP BY OYEWOLE HAPPINESS/3390132</t>
  </si>
  <si>
    <t>Oyewole Tehilla</t>
  </si>
  <si>
    <t>Sep 20, 2022</t>
  </si>
  <si>
    <t>S5042752</t>
  </si>
  <si>
    <t>NIP:EZEKIEL ADEDAYO OJO-TRFSchool feelsFRM EZEKIE</t>
  </si>
  <si>
    <t>S5172480</t>
  </si>
  <si>
    <t>NIP:POS business kayloy multipurpose 4-sahed faid</t>
  </si>
  <si>
    <t>Saheed Family</t>
  </si>
  <si>
    <t>S5304562</t>
  </si>
  <si>
    <t>NIP:ADEOLU OLUSEGUN EGBEDELE-TRFFRM ADEOLU OLUSEG</t>
  </si>
  <si>
    <t>Egbedele Zion</t>
  </si>
  <si>
    <t>S6679719</t>
  </si>
  <si>
    <t>NIP:ADEWOLE MOSES ADEBOWALE-AppPayment for ADEWOL</t>
  </si>
  <si>
    <t>Adewole Testimony</t>
  </si>
  <si>
    <t>Sep 21, 2022</t>
  </si>
  <si>
    <t>S7272998</t>
  </si>
  <si>
    <t>NIP:ABIDOYE ISMAILA ADEDAYO-FBNMOBILE:TECHBASE CO</t>
  </si>
  <si>
    <t>ABIDOYE AL-AMEER OLUWAJOMILOJU</t>
  </si>
  <si>
    <t>S7463806</t>
  </si>
  <si>
    <t>NIP:OSHOKOYA OLAMIDE TAYO-QR TRF FRM Oshokoya Ola</t>
  </si>
  <si>
    <t>Olamides Family</t>
  </si>
  <si>
    <t>S8643987</t>
  </si>
  <si>
    <t>NIP:OKERINDE KABIRU KOLAWOLE-FBNMOBILE:TECHBASE C</t>
  </si>
  <si>
    <t>Okerindes Family</t>
  </si>
  <si>
    <t>Sep 24, 2022</t>
  </si>
  <si>
    <t>S4363659</t>
  </si>
  <si>
    <t>NIP:mutiu Adekunmi mufutau-Transfer from to TECHB</t>
  </si>
  <si>
    <t>Oladipupo Rodiat</t>
  </si>
  <si>
    <t>Sep 26, 2022</t>
  </si>
  <si>
    <t>S6421973</t>
  </si>
  <si>
    <t>WMB/ETZ/035// TO WEMA BANK|CONSULTANT SERVICES</t>
  </si>
  <si>
    <t>Adedayo Adesire</t>
  </si>
  <si>
    <t>S6493352</t>
  </si>
  <si>
    <t>S6516016</t>
  </si>
  <si>
    <t>NIP:damilolajohn-</t>
  </si>
  <si>
    <t>Adegbite Florence</t>
  </si>
  <si>
    <t>S6623450</t>
  </si>
  <si>
    <t>NIP:HARUNA TEMITOPE OLUWAFEMI-USSD_HARUNA TEMITOP</t>
  </si>
  <si>
    <t>Temitopes Family</t>
  </si>
  <si>
    <t>M68284</t>
  </si>
  <si>
    <t>CASH DEP BY MUTAIRU FAMILY/3345060</t>
  </si>
  <si>
    <t>Mutairus Family</t>
  </si>
  <si>
    <t>M82019</t>
  </si>
  <si>
    <t>CASH DEP BY OLANREWAJU ADELEKE/21094491</t>
  </si>
  <si>
    <t>Adeleke Muiz</t>
  </si>
  <si>
    <t>S7027181</t>
  </si>
  <si>
    <t>Sep 27, 2022</t>
  </si>
  <si>
    <t>S8190898</t>
  </si>
  <si>
    <t>NIP:ADUNOYE W TAIWO-MOB/TECHBASE CONSUL/UTO/12715</t>
  </si>
  <si>
    <t>Adunoye Mariam</t>
  </si>
  <si>
    <t>S8556796</t>
  </si>
  <si>
    <t>NIP:Aliu Abdullah-Transfer from Aliu Abdullah/AT6</t>
  </si>
  <si>
    <t>Aliu Abdullahi</t>
  </si>
  <si>
    <t>S9545857</t>
  </si>
  <si>
    <t>NIP:OLUFAJO MUYIWA M.-TRFPayment for kolade olufa</t>
  </si>
  <si>
    <t>Olufajo Kolade</t>
  </si>
  <si>
    <t>Sep 28, 2022</t>
  </si>
  <si>
    <t>M23227</t>
  </si>
  <si>
    <t>WMB:000017220928105902912286295565/1300007834/WEMA</t>
  </si>
  <si>
    <t>S1444492</t>
  </si>
  <si>
    <t>NIP:Palmpay - Regina Adeloye-Palmpay - Regina Ade</t>
  </si>
  <si>
    <t>Adeloyes Family</t>
  </si>
  <si>
    <t>S1446802</t>
  </si>
  <si>
    <t>S1451458</t>
  </si>
  <si>
    <t>NIP:REGINA BASSEY ADELOYE-Transfer from to TECHBA</t>
  </si>
  <si>
    <t>S1456999</t>
  </si>
  <si>
    <t>Sep 29, 2022</t>
  </si>
  <si>
    <t>S2445055</t>
  </si>
  <si>
    <t>WMB/ETZ/035//F</t>
  </si>
  <si>
    <t>Daniel Deborah</t>
  </si>
  <si>
    <t>Sep 30, 2022</t>
  </si>
  <si>
    <t>S5043126</t>
  </si>
  <si>
    <t>WMB/ETZ/035//FTN</t>
  </si>
  <si>
    <t>Kolade Oluwashindara</t>
  </si>
  <si>
    <t>Oct 01, 2022</t>
  </si>
  <si>
    <t>S5743010</t>
  </si>
  <si>
    <t>NIP:ONOJA PATRICK OBEH-TECHBASE CONSULTANT SERVIC</t>
  </si>
  <si>
    <t>Onojas Family</t>
  </si>
  <si>
    <t>S5745813</t>
  </si>
  <si>
    <t>Oct 03, 2022</t>
  </si>
  <si>
    <t>S9964530</t>
  </si>
  <si>
    <t>NIP:ADEOLU CHARLES OSUNDEYI-MOB2/UTO/To TECHBASE</t>
  </si>
  <si>
    <t>Adebayo Alexander</t>
  </si>
  <si>
    <t>S677354</t>
  </si>
  <si>
    <t>NIP:ADEBOLA MUJIDAT NASIRU-part payment of first</t>
  </si>
  <si>
    <t>Popoolas Family</t>
  </si>
  <si>
    <t>Oct 04, 2022</t>
  </si>
  <si>
    <t>S1500405</t>
  </si>
  <si>
    <t>NIP:OLADAPO ANUOLUWAPO ORE-OFE-JESU-Appjason olad</t>
  </si>
  <si>
    <t>Oladapo Jason</t>
  </si>
  <si>
    <t>S1635635</t>
  </si>
  <si>
    <t>NIP:POS business Olayiwola StoreAccessories-Ola</t>
  </si>
  <si>
    <t>NATHANIEL OLUWADARASIMI</t>
  </si>
  <si>
    <t>S3073280</t>
  </si>
  <si>
    <t>NIP:ADEBOLA MUJIDAT NASIRU-Transfer from to TECHB</t>
  </si>
  <si>
    <t>Oct 05, 2022</t>
  </si>
  <si>
    <t>S4469547</t>
  </si>
  <si>
    <t>Oct 06, 2022</t>
  </si>
  <si>
    <t>S6008079</t>
  </si>
  <si>
    <t>S6048842</t>
  </si>
  <si>
    <t>NIP:Sodiq Onaolapo Adebimpe-Adeoluwa Adebunmi</t>
  </si>
  <si>
    <t>Adeoluwa Adebunmi</t>
  </si>
  <si>
    <t>S7493749</t>
  </si>
  <si>
    <t>NIP:PAUL SUNDAY ADEDOJA-TECHBASE CONSULTANT SERVI</t>
  </si>
  <si>
    <t>Adedojas Family</t>
  </si>
  <si>
    <t>Oct 07, 2022</t>
  </si>
  <si>
    <t>S8707546</t>
  </si>
  <si>
    <t>Oct 11, 2022</t>
  </si>
  <si>
    <t>S5748249</t>
  </si>
  <si>
    <t>NIP:AWONIYI JACOB OLUWASEYI-FBNMOBILE:TECHBASE CO</t>
  </si>
  <si>
    <t>Awoniyi Samuel</t>
  </si>
  <si>
    <t>Oct 13, 2022</t>
  </si>
  <si>
    <t>S700904</t>
  </si>
  <si>
    <t>Oct 14, 2022</t>
  </si>
  <si>
    <t>S1993584</t>
  </si>
  <si>
    <t>Oct 17, 2022</t>
  </si>
  <si>
    <t>S6792531</t>
  </si>
  <si>
    <t>NIP:Saheed FaridahIbrahim-Transfer from Saheed Fa</t>
  </si>
  <si>
    <t>S7701606</t>
  </si>
  <si>
    <t>NIP:Michael Oladayo Ogunyale-Oluniyi Joanna and D</t>
  </si>
  <si>
    <t>Oluniyi Family</t>
  </si>
  <si>
    <t>Oct 22, 2022</t>
  </si>
  <si>
    <t>S7461152</t>
  </si>
  <si>
    <t>Oct 24, 2022</t>
  </si>
  <si>
    <t>S9548384</t>
  </si>
  <si>
    <t>Oct 26, 2022</t>
  </si>
  <si>
    <t>S4366646</t>
  </si>
  <si>
    <t>NIP:Oladipupo Emmanuel Odunayo-Transfer from Olad</t>
  </si>
  <si>
    <t>Oct 28, 2022</t>
  </si>
  <si>
    <t>S7511213</t>
  </si>
  <si>
    <t>NIP:DAVID AKINWUMI OLAWALE-TRFDavid Jesutofunmi B</t>
  </si>
  <si>
    <t>Oct 29, 2022</t>
  </si>
  <si>
    <t>S529910</t>
  </si>
  <si>
    <t>Oct 30, 2022</t>
  </si>
  <si>
    <t>S991949</t>
  </si>
  <si>
    <t>Oct 31, 2022</t>
  </si>
  <si>
    <t>M85077</t>
  </si>
  <si>
    <t>CASH DEP BY MUTAIRU FAMILY/0122586</t>
  </si>
  <si>
    <t>M111890</t>
  </si>
  <si>
    <t>CASH DEP BY ADELEKE MUIZ/21181512</t>
  </si>
  <si>
    <t>Nov 05, 2022</t>
  </si>
  <si>
    <t>S4400920</t>
  </si>
  <si>
    <t>S4403803</t>
  </si>
  <si>
    <t>Nov 06, 2022</t>
  </si>
  <si>
    <t>S7828075</t>
  </si>
  <si>
    <t>NIP:OJO EZEKIEL ADEDAYO-DGBNK:Vulte FT To:TECHBAS</t>
  </si>
  <si>
    <t>Nov 07, 2022</t>
  </si>
  <si>
    <t>S8273081</t>
  </si>
  <si>
    <t>S8273966</t>
  </si>
  <si>
    <t>S8278401</t>
  </si>
  <si>
    <t>S8322287</t>
  </si>
  <si>
    <t>NIP:6368b1b212352d0015c00078 Deborah-Nomba Transf</t>
  </si>
  <si>
    <t>S8406029</t>
  </si>
  <si>
    <t>WMB/ETZ/035// TO WEMA|CONSULTANT SERVICES TECH</t>
  </si>
  <si>
    <t>S8413582</t>
  </si>
  <si>
    <t>NIP:Anuoluwapo Ore-Ofejesu  Oladapo-OLADAPO JASON</t>
  </si>
  <si>
    <t>S8450187</t>
  </si>
  <si>
    <t>NIP:STEPHEN AYOMIDE ADEGBITE-H</t>
  </si>
  <si>
    <t>S8511974</t>
  </si>
  <si>
    <t>Nov 08, 2022</t>
  </si>
  <si>
    <t>S502198</t>
  </si>
  <si>
    <t>NIP:KABIRU KOLAWOLE OKERINDE-TECHBASE CONSULTANT</t>
  </si>
  <si>
    <t>S527883</t>
  </si>
  <si>
    <t>NIP:OLUFAJO MUYIWA M.-TRFKolade olufajo school fe</t>
  </si>
  <si>
    <t>S548615</t>
  </si>
  <si>
    <t>NIP:OLADEJI TOLULOPE-FBNMOBILE:TECHBASE CONSULTAN</t>
  </si>
  <si>
    <t>M45045</t>
  </si>
  <si>
    <t>CASH DEP BY MUTAIRU FAMILY/0122593</t>
  </si>
  <si>
    <t>Nov 09, 2022</t>
  </si>
  <si>
    <t>S3614761</t>
  </si>
  <si>
    <t>Nov 10, 2022</t>
  </si>
  <si>
    <t>S4809008</t>
  </si>
  <si>
    <t>S4811294</t>
  </si>
  <si>
    <t>Nov 13, 2022</t>
  </si>
  <si>
    <t>S817020</t>
  </si>
  <si>
    <t>S1897383</t>
  </si>
  <si>
    <t>NIP:Mufutau Mutiu Adekunmi-FIP:AW/Transfer/mutiu/</t>
  </si>
  <si>
    <t>S2065470</t>
  </si>
  <si>
    <t>NIP:Moniepoint Yoloye-Transfer from Yoloye/AT68_T</t>
  </si>
  <si>
    <t>Nov 14, 2022</t>
  </si>
  <si>
    <t>S2398415</t>
  </si>
  <si>
    <t>S2516754</t>
  </si>
  <si>
    <t>NIP:Moniepoint Ayedun-Transfer from Ayedun/AT68_T</t>
  </si>
  <si>
    <t>S2522330</t>
  </si>
  <si>
    <t>UNKNOWN</t>
  </si>
  <si>
    <t>TRANSFER VIA OPAY</t>
  </si>
  <si>
    <t>Nov 15, 2022</t>
  </si>
  <si>
    <t>M47141</t>
  </si>
  <si>
    <t>CASH DEP BY ADELEKE MUIZ/21293415</t>
  </si>
  <si>
    <t>S5647874</t>
  </si>
  <si>
    <t>S6261884</t>
  </si>
  <si>
    <t>NIP:ISMAILA ADEDAYO ABIDOYE-Transfer from to TECH</t>
  </si>
  <si>
    <t>Nov 16, 2022</t>
  </si>
  <si>
    <t>M32268</t>
  </si>
  <si>
    <t>CASH DEP BY MUTAIRU FAMILY/0002956</t>
  </si>
  <si>
    <t>Nov 17, 2022</t>
  </si>
  <si>
    <t>S8355725</t>
  </si>
  <si>
    <t>TRANSFER VIA FIRSTBANK</t>
  </si>
  <si>
    <t>Nov 18, 2022</t>
  </si>
  <si>
    <t>S555987</t>
  </si>
  <si>
    <t>NIP:VICTORIA BUKOLA OLUNIYI-TECHBASE CONSULTANT S</t>
  </si>
  <si>
    <t>Nov 21, 2022</t>
  </si>
  <si>
    <t>S4004162</t>
  </si>
  <si>
    <t>S5540432</t>
  </si>
  <si>
    <t>Nov 22, 2022</t>
  </si>
  <si>
    <t xml:space="preserve"> S8208145</t>
  </si>
  <si>
    <t>Nov 23, 2022</t>
  </si>
  <si>
    <t xml:space="preserve"> S9772197</t>
  </si>
  <si>
    <t>Nov 24, 2022</t>
  </si>
  <si>
    <t xml:space="preserve"> S2579933</t>
  </si>
  <si>
    <t>NIP:KOLADE ABIOLA OLAYODE-USSD NIP Transfer from</t>
  </si>
  <si>
    <t>Nov 28, 2022</t>
  </si>
  <si>
    <t xml:space="preserve"> S8959596</t>
  </si>
  <si>
    <t>NIP:OGUNNIYI TUNDE DANIEL-QR TRF FRM OGUNNIYI TUN</t>
  </si>
  <si>
    <t xml:space="preserve"> S9215523</t>
  </si>
  <si>
    <t>NIP:Saheed Faidat  Ibrahim-Transfer from Saheed F</t>
  </si>
  <si>
    <t>Nov 30, 2022</t>
  </si>
  <si>
    <t xml:space="preserve"> S4389571</t>
  </si>
  <si>
    <t xml:space="preserve"> S5018989</t>
  </si>
  <si>
    <t>Dec 01, 2022</t>
  </si>
  <si>
    <t xml:space="preserve"> S5893213</t>
  </si>
  <si>
    <t xml:space="preserve"> S6750945</t>
  </si>
  <si>
    <t>Dec 02, 2022</t>
  </si>
  <si>
    <t xml:space="preserve"> S9515358</t>
  </si>
  <si>
    <t xml:space="preserve"> S9701233</t>
  </si>
  <si>
    <t xml:space="preserve">  S215758</t>
  </si>
  <si>
    <t>NIP:ADEBOLA MUJIDAT NASIRU-Balance of first term</t>
  </si>
  <si>
    <t>S4694052</t>
  </si>
  <si>
    <t>NIP:CAPRICORN DIGITAL LIMITED STP-BAX_TRSF_167022</t>
  </si>
  <si>
    <t>S6602594</t>
  </si>
  <si>
    <t>TUITION FEE</t>
  </si>
  <si>
    <t xml:space="preserve"> COMPUTER PRACTICAL</t>
  </si>
  <si>
    <t xml:space="preserve"> PREVOCATIONAL PRACTICAL</t>
  </si>
  <si>
    <t>TOTAL FEE</t>
  </si>
  <si>
    <t>TOTAL FEE2</t>
  </si>
  <si>
    <t>TOTAL FEE3</t>
  </si>
  <si>
    <t>GRAND TOTAL FEE</t>
  </si>
  <si>
    <t>50% FEE</t>
  </si>
  <si>
    <t>1ST 50% PAY</t>
  </si>
  <si>
    <t>2ND 50% PAY</t>
  </si>
  <si>
    <t>GRAND TOTAL PAID</t>
  </si>
  <si>
    <t>GRAND TOTAL BALANCE</t>
  </si>
  <si>
    <t>Dec 16, 2022</t>
  </si>
  <si>
    <t>S7402651</t>
  </si>
  <si>
    <t>NIP:DAVID AKINWUMI OLAWALE-TRFJESUTOFUNMI 2nd TER</t>
  </si>
  <si>
    <t>DAVID JESUTOFUNMI DARA</t>
  </si>
  <si>
    <t>Dec 18, 2022</t>
  </si>
  <si>
    <t>S2742207</t>
  </si>
  <si>
    <t>NIP:PAUL SUNDAY ADEDOJA-Adedoja Mojereoluwa Schoo</t>
  </si>
  <si>
    <t>ADEDOJA FAMILY</t>
  </si>
  <si>
    <t>Dec 27, 2022</t>
  </si>
  <si>
    <t>S2536449</t>
  </si>
  <si>
    <t>NIP:PAUL SUNDAY ADEDOJA-Adedoja praise oluwajoba</t>
  </si>
  <si>
    <t>Dec 31, 2022</t>
  </si>
  <si>
    <t>S14563481</t>
  </si>
  <si>
    <t>NIP:POS business kayloy multipurpose 4-oladipupo</t>
  </si>
  <si>
    <t>OLADIPUPO EMMANUEL</t>
  </si>
  <si>
    <t>Jan 06, 2023</t>
  </si>
  <si>
    <t>S25240852</t>
  </si>
  <si>
    <t>NIP:Anuoluwapo Ore-Ofejesu  Oladapo-PART PAYMENT.</t>
  </si>
  <si>
    <t>OLADAPO JASON</t>
  </si>
  <si>
    <t>M22006</t>
  </si>
  <si>
    <t>CASH DEP BY MUTAIRU FAMILY/21290316</t>
  </si>
  <si>
    <t>MUTAIRU FAMILY</t>
  </si>
  <si>
    <t>Jan 08, 2023</t>
  </si>
  <si>
    <t>S29530228</t>
  </si>
  <si>
    <t>OLADIPUPO RODIAT</t>
  </si>
  <si>
    <t>S29762056</t>
  </si>
  <si>
    <t>NIP:ADEWOLE MOSES ADEBOWALE-App2nd Term payment f</t>
  </si>
  <si>
    <t>ADEWOLE TESTIMONY</t>
  </si>
  <si>
    <t>Jan 09, 2023</t>
  </si>
  <si>
    <t>S30814096</t>
  </si>
  <si>
    <t>NIP:POS business kayloy multipurpose 4-yoloye/AT6</t>
  </si>
  <si>
    <t>YOLOYE FAMILY</t>
  </si>
  <si>
    <t>M78126</t>
  </si>
  <si>
    <t>CASH DEP BY HAPPINESS/9123</t>
  </si>
  <si>
    <t>OYEWOLE TEHILLA</t>
  </si>
  <si>
    <t>S31519625</t>
  </si>
  <si>
    <t>NIP:POS business kayloy multipurpose 4-kayloy mul</t>
  </si>
  <si>
    <t>AJAO QUDUS</t>
  </si>
  <si>
    <t>S31652130</t>
  </si>
  <si>
    <t>NIP:EGBEDELE OLUSEGUN ADEOLU-via GTWORLD Egbedele</t>
  </si>
  <si>
    <t>EGBEDELE ZION</t>
  </si>
  <si>
    <t>S31859941</t>
  </si>
  <si>
    <t>NIP:Emmanuel Oyetunde Adegoke-Transfer from to TE</t>
  </si>
  <si>
    <t>ONOJA FAMILY</t>
  </si>
  <si>
    <t>S31878843</t>
  </si>
  <si>
    <t>Jan 10, 2023</t>
  </si>
  <si>
    <t>S32504467</t>
  </si>
  <si>
    <t>ADEDAYO ADESIRE</t>
  </si>
  <si>
    <t>S34089175</t>
  </si>
  <si>
    <t>OLADEJI DANIEL</t>
  </si>
  <si>
    <t>Jan 11, 2023</t>
  </si>
  <si>
    <t>S34458887</t>
  </si>
  <si>
    <t>NIP:DEBORAH OMOTOLA BAKARE-USSD-NIP/To TECHBASE S</t>
  </si>
  <si>
    <t>NIL</t>
  </si>
  <si>
    <t>Registration</t>
  </si>
  <si>
    <t>S34499114</t>
  </si>
  <si>
    <t>NIP:Obaloluwa Oluwafemi-Transfer from Obaloluwa O</t>
  </si>
  <si>
    <t>OLUWAFEMI EMMANUEL</t>
  </si>
  <si>
    <t>Jan 12, 2023</t>
  </si>
  <si>
    <t>S36262759</t>
  </si>
  <si>
    <t>OLAMIDE FAMILY</t>
  </si>
  <si>
    <t>S36898051</t>
  </si>
  <si>
    <t>NIP:Palmpay-deborah Daniel, JSS 3 / RUTH CHINWEND</t>
  </si>
  <si>
    <t>DANIEL DEBORAH</t>
  </si>
  <si>
    <t>Jan 14, 2023</t>
  </si>
  <si>
    <t>S40962790</t>
  </si>
  <si>
    <t>OLUNIYI FAMILY</t>
  </si>
  <si>
    <t>S41519839</t>
  </si>
  <si>
    <t>NIP:OLALEKAN segun EMMANUEL-MOB/TECHBASE CONSUL/U</t>
  </si>
  <si>
    <t>EDEM ZENITH</t>
  </si>
  <si>
    <t>Jan 16, 2023</t>
  </si>
  <si>
    <t>S43518841</t>
  </si>
  <si>
    <t>NIP:ABIDOYE ISMAILA A-via GTWORLD Abidoye Al-amee</t>
  </si>
  <si>
    <t>ABIDOYE AL-AMEER</t>
  </si>
  <si>
    <t>Jan 17, 2023</t>
  </si>
  <si>
    <t>S45287568</t>
  </si>
  <si>
    <t>ADEBAYO ALEXANDER</t>
  </si>
  <si>
    <t>S45754781</t>
  </si>
  <si>
    <t>NIP:damilola Elizabeth john-Transfer from to TECH</t>
  </si>
  <si>
    <t>ADEGBITE FLORENCE</t>
  </si>
  <si>
    <t>Jan 18, 2023</t>
  </si>
  <si>
    <t>S47211010</t>
  </si>
  <si>
    <t>NIP:OLUFAJO MUYIWA M.-TRFPart payment of kolade o</t>
  </si>
  <si>
    <t>OLUFAJO KOLADE</t>
  </si>
  <si>
    <t>S47527173</t>
  </si>
  <si>
    <t>NIP:Sahed  Faida Ibrahim-Transfer from Sahed  Fai</t>
  </si>
  <si>
    <t>SAHEED FAMILY</t>
  </si>
  <si>
    <t>Jan 19, 2023</t>
  </si>
  <si>
    <t>S49408821</t>
  </si>
  <si>
    <t>ADEGOKE FAMILY</t>
  </si>
  <si>
    <t>Jan 20, 2023</t>
  </si>
  <si>
    <t>M33342</t>
  </si>
  <si>
    <t>CASH DEP BY ADELEKE/20012023</t>
  </si>
  <si>
    <t>ADELEKE MUIZ</t>
  </si>
  <si>
    <t>S52567250</t>
  </si>
  <si>
    <t>OKERINDE FAMILY</t>
  </si>
  <si>
    <t>Jan 22, 2023</t>
  </si>
  <si>
    <t>S56080828</t>
  </si>
  <si>
    <t>NIP:OJO EZEKIEL ADEDAYO-MOB/TECHBASE CONSUL/UTO/1</t>
  </si>
  <si>
    <t>Jan 23, 2023</t>
  </si>
  <si>
    <t>S56605915</t>
  </si>
  <si>
    <t>NIP:Timileyin Nathaniel-Transfer from to TECHBASE</t>
  </si>
  <si>
    <t>Jan 24, 2023</t>
  </si>
  <si>
    <t>S58620614</t>
  </si>
  <si>
    <t>ADELOYE FAMILY</t>
  </si>
  <si>
    <t>S58622293</t>
  </si>
  <si>
    <t>Jan 26, 2023</t>
  </si>
  <si>
    <t>S63481857</t>
  </si>
  <si>
    <t>NIP:DAVID AKINWUMI OLAWALE-TRF2nd Term Bal - JESU</t>
  </si>
  <si>
    <t>Jan 27, 2023</t>
  </si>
  <si>
    <t>S64478476</t>
  </si>
  <si>
    <t>NIP:ANNA ABIMBOLA AJALA-TRFFRM ANNA ABIMBOLA AJAL</t>
  </si>
  <si>
    <t>KOLADE OLUWASHINDARA</t>
  </si>
  <si>
    <t>Jan 30, 2023</t>
  </si>
  <si>
    <t>S71028420</t>
  </si>
  <si>
    <t>TEMITOPE FAMILY</t>
  </si>
  <si>
    <t>S73651207</t>
  </si>
  <si>
    <t>Feb 03, 2023</t>
  </si>
  <si>
    <t>S83923659</t>
  </si>
  <si>
    <t>AWONIYI SAMUEL</t>
  </si>
  <si>
    <t>Feb 06, 2023</t>
  </si>
  <si>
    <t>S91709328</t>
  </si>
  <si>
    <t>NIP:ONOJA PATRICK OBEH-Amt includes COMM  VATUSSD</t>
  </si>
  <si>
    <t>Feb 09, 2023</t>
  </si>
  <si>
    <t>S796940</t>
  </si>
  <si>
    <t>NIP:OLADAPO, ORE-OFEJESU ANUOLUWAPO-OLADAPO JASON</t>
  </si>
  <si>
    <t>S1963867</t>
  </si>
  <si>
    <t>NIP:ADEBOLA MUJIDAT NASIRU-Part payment of 2nd te</t>
  </si>
  <si>
    <t>POPOOLA FAMILY</t>
  </si>
  <si>
    <t>Feb 13, 2023</t>
  </si>
  <si>
    <t>S11702094</t>
  </si>
  <si>
    <t>S13251651</t>
  </si>
  <si>
    <t>Feb 26, 2023</t>
  </si>
  <si>
    <t>S50626226</t>
  </si>
  <si>
    <t>NIP:pos transfer business-Transfer from pos trans</t>
  </si>
  <si>
    <t>S52294673</t>
  </si>
  <si>
    <t>Feb 27, 2023</t>
  </si>
  <si>
    <t>S52637837</t>
  </si>
  <si>
    <t>NIP:ONOJA PATRICK OBEH-NIP0127925ONOJA PATRICK OB</t>
  </si>
  <si>
    <t>S52734274</t>
  </si>
  <si>
    <t>S53090486</t>
  </si>
  <si>
    <t>NIP:ADEMOLA OYEBAMIJI-Transfer from to TECHBASE C</t>
  </si>
  <si>
    <t>S53614212</t>
  </si>
  <si>
    <t>NIP:Ajao Qudus-Transfer from Ajao Qudus/AT68_TRF|</t>
  </si>
  <si>
    <t>Feb 28, 2023</t>
  </si>
  <si>
    <t>CASH</t>
  </si>
  <si>
    <t>CASH PAYMENT BY MUTAIRS MUM</t>
  </si>
  <si>
    <t>Mar 01, 2023</t>
  </si>
  <si>
    <t>S59990335</t>
  </si>
  <si>
    <t>S61361541</t>
  </si>
  <si>
    <t>WMB/ETZ/035//QR TRF FRM OLADIPUPO MICHAEL OLAJIDE</t>
  </si>
  <si>
    <t>Mar 02, 2023</t>
  </si>
  <si>
    <t>S63142679</t>
  </si>
  <si>
    <t>NIP:ADEGOKE SAMUEL OLAWALE-FBNMOBILE:TECHBASE CON</t>
  </si>
  <si>
    <t>S64314102</t>
  </si>
  <si>
    <t>NIP:CHARLES ADEOLU OSUNDEYI-117-DIAMOND SAVINGS A</t>
  </si>
  <si>
    <t>S64846872</t>
  </si>
  <si>
    <t>Mar 04, 2023</t>
  </si>
  <si>
    <t>S71078997</t>
  </si>
  <si>
    <t>NIP:ABOSEDE YINKA DANIEL-NIPTECHBASE CONSULTANT S</t>
  </si>
  <si>
    <t>Mar 05, 2023</t>
  </si>
  <si>
    <t>S75740140</t>
  </si>
  <si>
    <t>Mar 06, 2023</t>
  </si>
  <si>
    <t>S76040070</t>
  </si>
  <si>
    <t>NIP:Timilehin Nathaniel-Transfer from to TECHBASE</t>
  </si>
  <si>
    <t>Mar 08, 2023</t>
  </si>
  <si>
    <t>S83050191</t>
  </si>
  <si>
    <t>Mar 07, 2023</t>
  </si>
  <si>
    <t>S81375255</t>
  </si>
  <si>
    <t>NIP:Saheed Bisola-Transfer from Saheed Bisola/AT6</t>
  </si>
  <si>
    <t>S84558462</t>
  </si>
  <si>
    <t>NIP:SAMUEL OLAWALE ADEGOKE-Transfer from to TECHB</t>
  </si>
  <si>
    <t>Mar 09, 2023</t>
  </si>
  <si>
    <t>S85972393</t>
  </si>
  <si>
    <t>Mar 12, 2023</t>
  </si>
  <si>
    <t>S98749525</t>
  </si>
  <si>
    <t>Mar 13, 2023</t>
  </si>
  <si>
    <t>S99751417</t>
  </si>
  <si>
    <t>Mar 14, 2023</t>
  </si>
  <si>
    <t xml:space="preserve"> S6079704</t>
  </si>
  <si>
    <t>WMB/ETZ/035//KUDI COSMIC/DEBORAH OSUNDEYI - NOMBA</t>
  </si>
  <si>
    <t>Mar 17, 2023</t>
  </si>
  <si>
    <t>S14616777</t>
  </si>
  <si>
    <t>Mar 19, 2023</t>
  </si>
  <si>
    <t>S21885278</t>
  </si>
  <si>
    <t>NIP:VICTORIA BUKOLA OLUNIYI-NIPTECHBASE CONSULTAN</t>
  </si>
  <si>
    <t>Mar 24, 2023</t>
  </si>
  <si>
    <t>S36601121</t>
  </si>
  <si>
    <t>NIP:ADEBUNMI SAHEED ADEKUNLE-MOB/TECHBASE CONSUL/</t>
  </si>
  <si>
    <t>ADEOLUWA FAMILY</t>
  </si>
  <si>
    <t>S37008969</t>
  </si>
  <si>
    <t>S37110223</t>
  </si>
  <si>
    <t>NIP:OLUFAJO MUYIWA M.-TRFFRM OLUFAJO MUYIWA M TO</t>
  </si>
  <si>
    <t>Mar 27, 2023</t>
  </si>
  <si>
    <t>S46483727</t>
  </si>
  <si>
    <t>S48422249</t>
  </si>
  <si>
    <t>NIP:SURAJUDEEN ADEMOLA ADEDEJI-faheeda and ibrahi</t>
  </si>
  <si>
    <t>Apr 4, 2023</t>
  </si>
  <si>
    <t>S71404303</t>
  </si>
  <si>
    <t>NIP:ONOJA PATRICK OBEH-NIPTECHBASE CONSULTANT SER</t>
  </si>
  <si>
    <t>Apr 06, 2023</t>
  </si>
  <si>
    <t>S77251334</t>
  </si>
  <si>
    <t>S77759654</t>
  </si>
  <si>
    <t>Apr 08, 2023</t>
  </si>
  <si>
    <t>S83142530</t>
  </si>
  <si>
    <t>PRACTICALS</t>
  </si>
  <si>
    <t>EARLY MORNING LESSON</t>
  </si>
  <si>
    <t>NOTEBOOKS</t>
  </si>
  <si>
    <t>HOLIDAY LESSON</t>
  </si>
  <si>
    <t>TOTAL PAID</t>
  </si>
  <si>
    <t>BALANCE</t>
  </si>
  <si>
    <t>MICHAEL</t>
  </si>
  <si>
    <t>Apr 17, 2023</t>
  </si>
  <si>
    <t>Apr 26, 2023</t>
  </si>
  <si>
    <t>Apr 28, 2023</t>
  </si>
  <si>
    <t>Apr 30, 2023</t>
  </si>
  <si>
    <t>May 02, 2023</t>
  </si>
  <si>
    <t>May 03, 2023</t>
  </si>
  <si>
    <t>May 04, 2023</t>
  </si>
  <si>
    <t>May 05, 2023</t>
  </si>
  <si>
    <t>May 06, 2023</t>
  </si>
  <si>
    <t>May 07, 2023</t>
  </si>
  <si>
    <t>May 08, 2023</t>
  </si>
  <si>
    <t>ADESIRE ADEDAYO</t>
  </si>
  <si>
    <t>May 10, 2023</t>
  </si>
  <si>
    <t>May 14, 2023</t>
  </si>
  <si>
    <t>May 16, 2023</t>
  </si>
  <si>
    <t>May 17, 2023</t>
  </si>
  <si>
    <t>May 18, 2023</t>
  </si>
  <si>
    <t>May 19, 2023</t>
  </si>
  <si>
    <t>SAHEED IBRAHIM</t>
  </si>
  <si>
    <t>SAHEED BISOLA</t>
  </si>
  <si>
    <t>May 20, 2023</t>
  </si>
  <si>
    <t>May 21, 2023</t>
  </si>
  <si>
    <t>May 23, 2023</t>
  </si>
  <si>
    <t>May 24, 2023</t>
  </si>
  <si>
    <t>May 27, 2023</t>
  </si>
  <si>
    <t>May 30, 2023</t>
  </si>
  <si>
    <t>May 31, 2023</t>
  </si>
  <si>
    <t>OLADAPO JASON ANJOLAOLUWA</t>
  </si>
  <si>
    <t>Jun 4, 2023</t>
  </si>
  <si>
    <t>Jun 5, 2023</t>
  </si>
  <si>
    <t>Jun 09, 2023</t>
  </si>
  <si>
    <t>ADEOLA ERISHEUN AYODEJI</t>
  </si>
  <si>
    <t>Jun 11, 2023</t>
  </si>
  <si>
    <t>Jun 14, 2023</t>
  </si>
  <si>
    <t>Jun 18, 2023</t>
  </si>
  <si>
    <t>Jun 19, 2023</t>
  </si>
  <si>
    <t>ADEBUNMI FAMILY</t>
  </si>
  <si>
    <t>Jun 21, 2023</t>
  </si>
  <si>
    <t>Jun 22, 2023</t>
  </si>
  <si>
    <t>Jun 25, 2023</t>
  </si>
  <si>
    <t>Jun 26, 2023</t>
  </si>
  <si>
    <t>Jun 27, 2023</t>
  </si>
  <si>
    <t>Jun 30, 2023</t>
  </si>
  <si>
    <t>Jul 1, 2023</t>
  </si>
  <si>
    <t>Jul 02, 2023</t>
  </si>
  <si>
    <t>Jul 07, 2023</t>
  </si>
  <si>
    <t>Jul 08, 2023</t>
  </si>
  <si>
    <t>Jul 11, 2023</t>
  </si>
  <si>
    <t>Jul 12, 2023</t>
  </si>
  <si>
    <t>Jul 13, 2023</t>
  </si>
  <si>
    <t>Jul 16, 2023</t>
  </si>
  <si>
    <t>Jul 17, 2023</t>
  </si>
  <si>
    <t>Jul 18, 2023</t>
  </si>
  <si>
    <t>Jul 25, 2023</t>
  </si>
  <si>
    <t>Jul 30, 2023</t>
  </si>
  <si>
    <t>Jul 31, 2023</t>
  </si>
  <si>
    <t>Aug 1, 2023</t>
  </si>
  <si>
    <t>Aug 2, 2023</t>
  </si>
  <si>
    <t>AYODELE MICHAEL</t>
  </si>
  <si>
    <t>Aug 7, 2023</t>
  </si>
  <si>
    <t>ADEYEMI</t>
  </si>
  <si>
    <t>OSUNDEYI</t>
  </si>
  <si>
    <t>ABDULMUIZ KAYODE</t>
  </si>
  <si>
    <t>BOLUWATIFE QUDUS</t>
  </si>
  <si>
    <t>ABDULLAHI ANJOLAOLUWA</t>
  </si>
  <si>
    <t>PRECIOUS OGOMIDE</t>
  </si>
  <si>
    <t>NIP:Ayedun PRECIOUS OGOMIDE-Transfer from Ayedun PRECIOUS OGOMIDE</t>
  </si>
  <si>
    <t>Ayedun PRECIOUS OGOMIDE</t>
  </si>
  <si>
    <t>NIP:Palmpay-AYEDUN PRECIOUS OGOMIDE / Ademola  Oyebamiji</t>
  </si>
  <si>
    <t>AYEDUN PRECIOUS OGOMIDE</t>
  </si>
  <si>
    <t>SANDRA OLUWATOBILOBA</t>
  </si>
  <si>
    <t>Blessing &amp; SANDRA OLUWATOBILOBA</t>
  </si>
  <si>
    <t>AYODELE SANDRA OLUWATOBILOBA</t>
  </si>
  <si>
    <t>DEBORAH IYANUOLUWA</t>
  </si>
  <si>
    <t>IBRAHIM GBOLAHAN</t>
  </si>
  <si>
    <t>ABDULAZEEZ AYOMIDE</t>
  </si>
  <si>
    <t>ISMAIL ABIODUN</t>
  </si>
  <si>
    <t>MARIAM OMOSHALEWA</t>
  </si>
  <si>
    <t>JUMAIN BOLUWATIFE</t>
  </si>
  <si>
    <t>QUDUS OLAMILEKAN</t>
  </si>
  <si>
    <t>RODIAT ENIOLA</t>
  </si>
  <si>
    <t>JOANNA AYOMIDE</t>
  </si>
  <si>
    <t>LEONARD DAVID</t>
  </si>
  <si>
    <t>EMMANUEL OBALOLUWA</t>
  </si>
  <si>
    <t>FARIDAT ABISOLA</t>
  </si>
  <si>
    <t>EMMANUEL OLUWASEMILORE</t>
  </si>
  <si>
    <t>OLUWATIMILEYIN GODWIN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</si>
</sst>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[$₦-466]\ #,##0.00"/>
    <numFmt numFmtId="165" formatCode="[$-409]d\-mmm\-yy"/>
    <numFmt numFmtId="166" formatCode="_([$₦-466]\ * #,##0.00_);_([$₦-466]\ * \(#,##0.00\);_([$₦-466]\ * &quot;-&quot;??_);_(@_)"/>
    <numFmt numFmtId="167" formatCode="_-&quot;₦&quot;* #,##0.00_-;\-&quot;₦&quot;* #,##0.00_-;_-&quot;₦&quot;* &quot;-&quot;??_-;_-@"/>
    <numFmt numFmtId="168" formatCode="[$-409]dd\-mmm\-yy"/>
    <numFmt numFmtId="169" formatCode="_ [$₦-46A]* #,##0.00_ ;_ [$₦-46A]* \-#,##0.00_ ;_ [$₦-46A]* &quot;-&quot;??_ ;_ @_ "/>
    <numFmt numFmtId="170" formatCode="&quot;₦&quot;#,##0.00"/>
  </numFmts>
  <fonts count="15" x14ac:knownFonts="1">
    <font>
      <sz val="11"/>
      <color rgb="FF000000"/>
      <name val="Calibri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4473C4"/>
        <bgColor rgb="FF4473C4"/>
      </patternFill>
    </fill>
    <fill>
      <patternFill patternType="solid">
        <fgColor rgb="FF70AD46"/>
        <bgColor rgb="FF70AD46"/>
      </patternFill>
    </fill>
    <fill>
      <patternFill patternType="solid">
        <fgColor rgb="FF6AA84F"/>
        <bgColor rgb="FF6AA84F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166" fontId="4" fillId="6" borderId="5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7" fontId="9" fillId="0" borderId="11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vertical="center"/>
    </xf>
    <xf numFmtId="167" fontId="10" fillId="0" borderId="1" xfId="0" applyNumberFormat="1" applyFont="1" applyBorder="1" applyAlignment="1">
      <alignment horizontal="center" vertical="center" wrapText="1"/>
    </xf>
    <xf numFmtId="167" fontId="2" fillId="7" borderId="12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167" fontId="2" fillId="7" borderId="12" xfId="0" applyNumberFormat="1" applyFont="1" applyFill="1" applyBorder="1" applyAlignment="1">
      <alignment vertical="center"/>
    </xf>
    <xf numFmtId="167" fontId="10" fillId="0" borderId="0" xfId="0" applyNumberFormat="1" applyFont="1" applyAlignment="1">
      <alignment vertical="center"/>
    </xf>
    <xf numFmtId="168" fontId="1" fillId="8" borderId="1" xfId="0" applyNumberFormat="1" applyFont="1" applyFill="1" applyBorder="1" applyAlignment="1">
      <alignment horizontal="center" vertical="center" readingOrder="1"/>
    </xf>
    <xf numFmtId="0" fontId="1" fillId="8" borderId="1" xfId="0" applyFont="1" applyFill="1" applyBorder="1" applyAlignment="1">
      <alignment horizontal="center" vertical="center" readingOrder="1"/>
    </xf>
    <xf numFmtId="167" fontId="1" fillId="8" borderId="1" xfId="0" applyNumberFormat="1" applyFont="1" applyFill="1" applyBorder="1" applyAlignment="1">
      <alignment horizontal="center" vertical="center" readingOrder="1"/>
    </xf>
    <xf numFmtId="44" fontId="1" fillId="8" borderId="1" xfId="0" applyNumberFormat="1" applyFont="1" applyFill="1" applyBorder="1" applyAlignment="1">
      <alignment horizontal="center" vertical="center" readingOrder="1"/>
    </xf>
    <xf numFmtId="0" fontId="2" fillId="8" borderId="1" xfId="0" applyFont="1" applyFill="1" applyBorder="1" applyAlignment="1">
      <alignment horizontal="center" vertical="center"/>
    </xf>
    <xf numFmtId="167" fontId="2" fillId="8" borderId="1" xfId="0" applyNumberFormat="1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44" fontId="2" fillId="0" borderId="1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readingOrder="1"/>
    </xf>
    <xf numFmtId="44" fontId="2" fillId="9" borderId="1" xfId="0" applyNumberFormat="1" applyFont="1" applyFill="1" applyBorder="1" applyAlignment="1">
      <alignment horizontal="center" vertical="center" readingOrder="1"/>
    </xf>
    <xf numFmtId="0" fontId="11" fillId="8" borderId="1" xfId="0" applyFont="1" applyFill="1" applyBorder="1" applyAlignment="1">
      <alignment horizontal="center" vertical="center"/>
    </xf>
    <xf numFmtId="167" fontId="11" fillId="8" borderId="1" xfId="0" applyNumberFormat="1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7" fontId="2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49" fontId="1" fillId="8" borderId="1" xfId="0" applyNumberFormat="1" applyFont="1" applyFill="1" applyBorder="1" applyAlignment="1">
      <alignment horizontal="center" vertical="center" readingOrder="1"/>
    </xf>
    <xf numFmtId="169" fontId="1" fillId="8" borderId="1" xfId="0" applyNumberFormat="1" applyFont="1" applyFill="1" applyBorder="1" applyAlignment="1">
      <alignment horizontal="center" vertical="center" readingOrder="1"/>
    </xf>
    <xf numFmtId="167" fontId="12" fillId="8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readingOrder="1"/>
    </xf>
    <xf numFmtId="169" fontId="2" fillId="0" borderId="1" xfId="0" applyNumberFormat="1" applyFont="1" applyBorder="1" applyAlignment="1">
      <alignment horizontal="center" vertical="center" readingOrder="1"/>
    </xf>
    <xf numFmtId="49" fontId="10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 readingOrder="1"/>
    </xf>
    <xf numFmtId="169" fontId="2" fillId="9" borderId="1" xfId="0" applyNumberFormat="1" applyFont="1" applyFill="1" applyBorder="1" applyAlignment="1">
      <alignment horizontal="center" vertical="center" readingOrder="1"/>
    </xf>
    <xf numFmtId="0" fontId="9" fillId="0" borderId="1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70" fontId="1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0" fontId="1" fillId="8" borderId="1" xfId="0" applyNumberFormat="1" applyFont="1" applyFill="1" applyBorder="1" applyAlignment="1">
      <alignment horizontal="center" vertical="center" readingOrder="1"/>
    </xf>
    <xf numFmtId="49" fontId="10" fillId="0" borderId="1" xfId="0" applyNumberFormat="1" applyFont="1" applyBorder="1" applyAlignment="1">
      <alignment horizontal="center" vertical="center" readingOrder="1"/>
    </xf>
    <xf numFmtId="170" fontId="2" fillId="0" borderId="1" xfId="0" applyNumberFormat="1" applyFont="1" applyBorder="1" applyAlignment="1">
      <alignment horizontal="center" vertical="center" readingOrder="1"/>
    </xf>
    <xf numFmtId="170" fontId="10" fillId="0" borderId="1" xfId="0" applyNumberFormat="1" applyFont="1" applyBorder="1" applyAlignment="1">
      <alignment horizontal="center" vertical="center" readingOrder="1"/>
    </xf>
    <xf numFmtId="170" fontId="2" fillId="0" borderId="1" xfId="0" applyNumberFormat="1" applyFont="1" applyBorder="1" applyAlignment="1">
      <alignment horizontal="center" vertical="center"/>
    </xf>
    <xf numFmtId="170" fontId="2" fillId="9" borderId="1" xfId="0" applyNumberFormat="1" applyFont="1" applyFill="1" applyBorder="1" applyAlignment="1">
      <alignment horizontal="center" vertical="center" readingOrder="1"/>
    </xf>
    <xf numFmtId="3" fontId="2" fillId="0" borderId="0" xfId="0" applyNumberFormat="1" applyFont="1" applyAlignment="1">
      <alignment horizontal="center" vertical="center"/>
    </xf>
    <xf numFmtId="170" fontId="2" fillId="0" borderId="1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66" fontId="2" fillId="0" borderId="2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66" fontId="6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 textRotation="90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A33" workbookViewId="0">
      <selection activeCell="B57" sqref="B57"/>
    </sheetView>
  </sheetViews>
  <sheetFormatPr defaultColWidth="14.42578125" defaultRowHeight="15" customHeight="1" x14ac:dyDescent="0.25"/>
  <cols>
    <col min="1" max="1" width="13.28515625" customWidth="1"/>
    <col min="2" max="2" width="23.5703125" customWidth="1"/>
    <col min="3" max="3" width="13.140625" customWidth="1"/>
    <col min="4" max="4" width="11" customWidth="1"/>
    <col min="5" max="5" width="20.5703125" customWidth="1"/>
    <col min="6" max="6" width="17.5703125" customWidth="1"/>
    <col min="7" max="9" width="13.28515625" customWidth="1"/>
    <col min="10" max="10" width="10" customWidth="1"/>
    <col min="11" max="11" width="14.5703125" customWidth="1"/>
    <col min="12" max="12" width="11" customWidth="1"/>
    <col min="13" max="13" width="4.5703125" customWidth="1"/>
    <col min="14" max="14" width="10" customWidth="1"/>
    <col min="15" max="15" width="21.5703125" customWidth="1"/>
    <col min="16" max="16" width="11.140625" customWidth="1"/>
    <col min="17" max="17" width="19.42578125" customWidth="1"/>
    <col min="18" max="18" width="19.28515625" customWidth="1"/>
    <col min="19" max="19" width="26.5703125" customWidth="1"/>
    <col min="20" max="20" width="9" customWidth="1"/>
    <col min="21" max="21" width="33.42578125" customWidth="1"/>
    <col min="22" max="22" width="15.7109375" customWidth="1"/>
    <col min="23" max="23" width="13.42578125" customWidth="1"/>
    <col min="25" max="25" width="15.140625" customWidth="1"/>
    <col min="26" max="26" width="17.85546875" customWidth="1"/>
    <col min="27" max="27" width="15.7109375" customWidth="1"/>
    <col min="28" max="28" width="17.855468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s="5" t="s">
        <v>805</v>
      </c>
      <c r="B2" s="5" t="s">
        <v>73</v>
      </c>
      <c r="C2" s="5" t="s">
        <v>74</v>
      </c>
      <c r="D2" s="6">
        <f t="shared" ref="D2:D33" si="0">SUM(F2:X2)</f>
        <v>20000</v>
      </c>
      <c r="E2" s="6">
        <f t="shared" ref="E2:E33" si="1">D2-(Y2+Z2+AA2+AB2)</f>
        <v>20000</v>
      </c>
      <c r="F2" s="6"/>
      <c r="G2" s="6">
        <v>18500</v>
      </c>
      <c r="H2" s="6">
        <v>1500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8"/>
      <c r="Z2" s="8"/>
      <c r="AA2" s="8"/>
      <c r="AB2" s="8"/>
    </row>
    <row r="3" spans="1:28" x14ac:dyDescent="0.25">
      <c r="A3" s="5" t="s">
        <v>77</v>
      </c>
      <c r="B3" s="5" t="s">
        <v>78</v>
      </c>
      <c r="C3" s="5" t="s">
        <v>79</v>
      </c>
      <c r="D3" s="6">
        <f t="shared" si="0"/>
        <v>20000</v>
      </c>
      <c r="E3" s="6">
        <f t="shared" si="1"/>
        <v>20000</v>
      </c>
      <c r="F3" s="6"/>
      <c r="G3" s="6">
        <v>18500</v>
      </c>
      <c r="H3" s="6">
        <v>1500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8"/>
      <c r="Z3" s="8"/>
      <c r="AA3" s="8"/>
      <c r="AB3" s="8"/>
    </row>
    <row r="4" spans="1:28" x14ac:dyDescent="0.25">
      <c r="A4" s="5" t="s">
        <v>61</v>
      </c>
      <c r="B4" s="5" t="s">
        <v>62</v>
      </c>
      <c r="C4" s="5" t="s">
        <v>63</v>
      </c>
      <c r="D4" s="6">
        <f t="shared" si="0"/>
        <v>18000</v>
      </c>
      <c r="E4" s="6">
        <f t="shared" si="1"/>
        <v>18000</v>
      </c>
      <c r="F4" s="6"/>
      <c r="G4" s="6">
        <v>16500</v>
      </c>
      <c r="H4" s="6">
        <v>1500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8"/>
      <c r="Z4" s="8"/>
      <c r="AA4" s="8"/>
      <c r="AB4" s="8"/>
    </row>
    <row r="5" spans="1:28" x14ac:dyDescent="0.25">
      <c r="A5" s="5" t="s">
        <v>64</v>
      </c>
      <c r="B5" s="5" t="s">
        <v>65</v>
      </c>
      <c r="C5" s="5" t="s">
        <v>63</v>
      </c>
      <c r="D5" s="6">
        <f t="shared" si="0"/>
        <v>20000</v>
      </c>
      <c r="E5" s="6">
        <f t="shared" si="1"/>
        <v>20000</v>
      </c>
      <c r="F5" s="6"/>
      <c r="G5" s="6">
        <v>18500</v>
      </c>
      <c r="H5" s="6">
        <v>1500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7"/>
      <c r="Y5" s="8"/>
      <c r="Z5" s="8"/>
      <c r="AA5" s="8"/>
      <c r="AB5" s="8"/>
    </row>
    <row r="6" spans="1:28" x14ac:dyDescent="0.25">
      <c r="A6" s="5" t="s">
        <v>38</v>
      </c>
      <c r="B6" s="5" t="s">
        <v>39</v>
      </c>
      <c r="C6" s="5" t="s">
        <v>40</v>
      </c>
      <c r="D6" s="6">
        <f t="shared" si="0"/>
        <v>25000</v>
      </c>
      <c r="E6" s="6">
        <f t="shared" si="1"/>
        <v>25000</v>
      </c>
      <c r="F6" s="6"/>
      <c r="G6" s="6">
        <v>22500</v>
      </c>
      <c r="H6" s="6">
        <v>2500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"/>
      <c r="Y6" s="8"/>
      <c r="Z6" s="8"/>
      <c r="AA6" s="8"/>
      <c r="AB6" s="8"/>
    </row>
    <row r="7" spans="1:28" x14ac:dyDescent="0.25">
      <c r="A7" s="5" t="s">
        <v>38</v>
      </c>
      <c r="B7" s="5" t="s">
        <v>90</v>
      </c>
      <c r="C7" s="5" t="s">
        <v>105</v>
      </c>
      <c r="D7" s="6">
        <f t="shared" si="0"/>
        <v>20500</v>
      </c>
      <c r="E7" s="6">
        <f t="shared" si="1"/>
        <v>20500</v>
      </c>
      <c r="F7" s="6"/>
      <c r="G7" s="6">
        <v>18500</v>
      </c>
      <c r="H7" s="6">
        <v>2000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"/>
      <c r="Y7" s="8"/>
      <c r="Z7" s="8"/>
      <c r="AA7" s="8"/>
      <c r="AB7" s="8"/>
    </row>
    <row r="8" spans="1:28" x14ac:dyDescent="0.25">
      <c r="A8" s="5" t="s">
        <v>47</v>
      </c>
      <c r="B8" s="5" t="s">
        <v>48</v>
      </c>
      <c r="C8" s="5" t="s">
        <v>49</v>
      </c>
      <c r="D8" s="6">
        <f t="shared" si="0"/>
        <v>36250</v>
      </c>
      <c r="E8" s="6">
        <f t="shared" si="1"/>
        <v>36250</v>
      </c>
      <c r="F8" s="6"/>
      <c r="G8" s="6">
        <v>33750</v>
      </c>
      <c r="H8" s="6">
        <v>2500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7"/>
      <c r="Y8" s="8"/>
      <c r="Z8" s="8"/>
      <c r="AA8" s="8"/>
      <c r="AB8" s="8"/>
    </row>
    <row r="9" spans="1:28" x14ac:dyDescent="0.25">
      <c r="A9" s="5" t="s">
        <v>75</v>
      </c>
      <c r="B9" s="5" t="s">
        <v>29</v>
      </c>
      <c r="C9" s="5" t="s">
        <v>74</v>
      </c>
      <c r="D9" s="6">
        <f t="shared" si="0"/>
        <v>12500</v>
      </c>
      <c r="E9" s="6">
        <f t="shared" si="1"/>
        <v>12500</v>
      </c>
      <c r="F9" s="6"/>
      <c r="G9" s="6">
        <v>12500</v>
      </c>
      <c r="H9" s="6"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  <c r="Y9" s="8"/>
      <c r="Z9" s="8"/>
      <c r="AA9" s="8"/>
      <c r="AB9" s="8"/>
    </row>
    <row r="10" spans="1:28" x14ac:dyDescent="0.25">
      <c r="A10" s="5" t="s">
        <v>75</v>
      </c>
      <c r="B10" s="5" t="s">
        <v>42</v>
      </c>
      <c r="C10" s="5" t="s">
        <v>74</v>
      </c>
      <c r="D10" s="6">
        <f t="shared" si="0"/>
        <v>12500</v>
      </c>
      <c r="E10" s="6">
        <f t="shared" si="1"/>
        <v>12500</v>
      </c>
      <c r="F10" s="6"/>
      <c r="G10" s="6">
        <v>12500</v>
      </c>
      <c r="H10" s="6"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"/>
      <c r="Y10" s="8"/>
      <c r="Z10" s="8"/>
      <c r="AA10" s="8"/>
      <c r="AB10" s="8"/>
    </row>
    <row r="11" spans="1:28" x14ac:dyDescent="0.25">
      <c r="A11" s="5" t="s">
        <v>75</v>
      </c>
      <c r="B11" s="5" t="s">
        <v>98</v>
      </c>
      <c r="C11" s="5" t="s">
        <v>99</v>
      </c>
      <c r="D11" s="6">
        <f t="shared" si="0"/>
        <v>20500</v>
      </c>
      <c r="E11" s="6">
        <f t="shared" si="1"/>
        <v>20500</v>
      </c>
      <c r="F11" s="6"/>
      <c r="G11" s="6">
        <v>18500</v>
      </c>
      <c r="H11" s="6">
        <v>2000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7"/>
      <c r="Y11" s="8"/>
      <c r="Z11" s="8"/>
      <c r="AA11" s="8"/>
      <c r="AB11" s="8"/>
    </row>
    <row r="12" spans="1:28" x14ac:dyDescent="0.25">
      <c r="A12" s="5" t="s">
        <v>50</v>
      </c>
      <c r="B12" s="5" t="s">
        <v>51</v>
      </c>
      <c r="C12" s="5" t="s">
        <v>49</v>
      </c>
      <c r="D12" s="6">
        <f t="shared" si="0"/>
        <v>36250</v>
      </c>
      <c r="E12" s="6">
        <f t="shared" si="1"/>
        <v>36250</v>
      </c>
      <c r="F12" s="6"/>
      <c r="G12" s="6">
        <v>33750</v>
      </c>
      <c r="H12" s="6">
        <v>2500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8"/>
      <c r="Z12" s="8"/>
      <c r="AA12" s="8"/>
      <c r="AB12" s="8"/>
    </row>
    <row r="13" spans="1:28" x14ac:dyDescent="0.25">
      <c r="A13" s="5" t="s">
        <v>109</v>
      </c>
      <c r="B13" s="5" t="s">
        <v>110</v>
      </c>
      <c r="C13" s="5" t="s">
        <v>111</v>
      </c>
      <c r="D13" s="6">
        <f t="shared" si="0"/>
        <v>20500</v>
      </c>
      <c r="E13" s="6">
        <f t="shared" si="1"/>
        <v>20500</v>
      </c>
      <c r="F13" s="6"/>
      <c r="G13" s="6">
        <v>18500</v>
      </c>
      <c r="H13" s="6">
        <v>2000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7"/>
      <c r="Y13" s="8"/>
      <c r="Z13" s="8"/>
      <c r="AA13" s="8"/>
      <c r="AB13" s="8"/>
    </row>
    <row r="14" spans="1:28" x14ac:dyDescent="0.25">
      <c r="A14" s="5" t="s">
        <v>81</v>
      </c>
      <c r="B14" s="5" t="s">
        <v>80</v>
      </c>
      <c r="C14" s="5" t="s">
        <v>79</v>
      </c>
      <c r="D14" s="6">
        <f t="shared" si="0"/>
        <v>9000</v>
      </c>
      <c r="E14" s="6">
        <f t="shared" si="1"/>
        <v>9000</v>
      </c>
      <c r="F14" s="6"/>
      <c r="G14" s="6">
        <v>9000</v>
      </c>
      <c r="H14" s="6"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  <c r="Y14" s="8"/>
      <c r="Z14" s="8"/>
      <c r="AA14" s="8"/>
      <c r="AB14" s="8"/>
    </row>
    <row r="15" spans="1:28" x14ac:dyDescent="0.25">
      <c r="A15" s="5" t="s">
        <v>66</v>
      </c>
      <c r="B15" s="5" t="s">
        <v>67</v>
      </c>
      <c r="C15" s="5" t="s">
        <v>63</v>
      </c>
      <c r="D15" s="6">
        <f t="shared" si="0"/>
        <v>18000</v>
      </c>
      <c r="E15" s="6">
        <f t="shared" si="1"/>
        <v>18000</v>
      </c>
      <c r="F15" s="6"/>
      <c r="G15" s="6">
        <v>16500</v>
      </c>
      <c r="H15" s="6">
        <v>1500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8"/>
      <c r="Z15" s="8"/>
      <c r="AA15" s="8"/>
      <c r="AB15" s="8"/>
    </row>
    <row r="16" spans="1:28" x14ac:dyDescent="0.25">
      <c r="A16" s="5" t="s">
        <v>106</v>
      </c>
      <c r="B16" s="5" t="s">
        <v>821</v>
      </c>
      <c r="C16" s="5" t="s">
        <v>105</v>
      </c>
      <c r="D16" s="6">
        <f t="shared" si="0"/>
        <v>20500</v>
      </c>
      <c r="E16" s="6">
        <f t="shared" si="1"/>
        <v>20500</v>
      </c>
      <c r="F16" s="6"/>
      <c r="G16" s="6">
        <v>18500</v>
      </c>
      <c r="H16" s="6">
        <v>2000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/>
      <c r="Y16" s="8"/>
      <c r="Z16" s="8"/>
      <c r="AA16" s="8"/>
      <c r="AB16" s="8"/>
    </row>
    <row r="17" spans="1:28" x14ac:dyDescent="0.25">
      <c r="A17" s="5" t="s">
        <v>52</v>
      </c>
      <c r="B17" s="5" t="s">
        <v>807</v>
      </c>
      <c r="C17" s="5" t="s">
        <v>49</v>
      </c>
      <c r="D17" s="6">
        <f t="shared" si="0"/>
        <v>36250</v>
      </c>
      <c r="E17" s="6">
        <f t="shared" si="1"/>
        <v>36250</v>
      </c>
      <c r="F17" s="6"/>
      <c r="G17" s="6">
        <v>33750</v>
      </c>
      <c r="H17" s="6">
        <v>2500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"/>
      <c r="Y17" s="8"/>
      <c r="Z17" s="8"/>
      <c r="AA17" s="8"/>
      <c r="AB17" s="8"/>
    </row>
    <row r="18" spans="1:28" x14ac:dyDescent="0.25">
      <c r="A18" s="5" t="s">
        <v>112</v>
      </c>
      <c r="B18" s="5" t="s">
        <v>113</v>
      </c>
      <c r="C18" s="5" t="s">
        <v>111</v>
      </c>
      <c r="D18" s="6">
        <f t="shared" si="0"/>
        <v>15000</v>
      </c>
      <c r="E18" s="6">
        <f t="shared" si="1"/>
        <v>15000</v>
      </c>
      <c r="F18" s="6"/>
      <c r="G18" s="6">
        <v>15000</v>
      </c>
      <c r="H18" s="6"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8"/>
      <c r="Z18" s="8"/>
      <c r="AA18" s="8"/>
      <c r="AB18" s="8"/>
    </row>
    <row r="19" spans="1:28" x14ac:dyDescent="0.25">
      <c r="A19" s="5" t="s">
        <v>53</v>
      </c>
      <c r="B19" s="5" t="s">
        <v>54</v>
      </c>
      <c r="C19" s="5" t="s">
        <v>49</v>
      </c>
      <c r="D19" s="6">
        <f t="shared" si="0"/>
        <v>36250</v>
      </c>
      <c r="E19" s="6">
        <f t="shared" si="1"/>
        <v>36250</v>
      </c>
      <c r="F19" s="6"/>
      <c r="G19" s="6">
        <v>33750</v>
      </c>
      <c r="H19" s="6">
        <v>2500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"/>
      <c r="Y19" s="8"/>
      <c r="Z19" s="8"/>
      <c r="AA19" s="8"/>
      <c r="AB19" s="8"/>
    </row>
    <row r="20" spans="1:28" x14ac:dyDescent="0.25">
      <c r="A20" s="5" t="s">
        <v>41</v>
      </c>
      <c r="B20" s="5" t="s">
        <v>809</v>
      </c>
      <c r="C20" s="5" t="s">
        <v>40</v>
      </c>
      <c r="D20" s="6">
        <f t="shared" si="0"/>
        <v>4500</v>
      </c>
      <c r="E20" s="6">
        <f t="shared" si="1"/>
        <v>4500</v>
      </c>
      <c r="F20" s="6"/>
      <c r="G20" s="6">
        <v>3000</v>
      </c>
      <c r="H20" s="6">
        <v>1500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/>
      <c r="Y20" s="8"/>
      <c r="Z20" s="8"/>
      <c r="AA20" s="8"/>
      <c r="AB20" s="8"/>
    </row>
    <row r="21" spans="1:28" ht="15.75" customHeight="1" x14ac:dyDescent="0.25">
      <c r="A21" s="5" t="s">
        <v>117</v>
      </c>
      <c r="B21" s="5" t="s">
        <v>814</v>
      </c>
      <c r="C21" s="5" t="s">
        <v>118</v>
      </c>
      <c r="D21" s="6">
        <f t="shared" si="0"/>
        <v>29750</v>
      </c>
      <c r="E21" s="6">
        <f t="shared" si="1"/>
        <v>29750</v>
      </c>
      <c r="F21" s="6"/>
      <c r="G21" s="6">
        <v>27750</v>
      </c>
      <c r="H21" s="6">
        <v>2000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"/>
      <c r="Y21" s="8"/>
      <c r="Z21" s="8"/>
      <c r="AA21" s="8"/>
      <c r="AB21" s="8"/>
    </row>
    <row r="22" spans="1:28" ht="15.75" customHeight="1" x14ac:dyDescent="0.25">
      <c r="A22" s="5" t="s">
        <v>42</v>
      </c>
      <c r="B22" s="5" t="s">
        <v>817</v>
      </c>
      <c r="C22" s="5" t="s">
        <v>40</v>
      </c>
      <c r="D22" s="6">
        <f t="shared" si="0"/>
        <v>25000</v>
      </c>
      <c r="E22" s="6">
        <f t="shared" si="1"/>
        <v>25000</v>
      </c>
      <c r="F22" s="6"/>
      <c r="G22" s="6">
        <v>22500</v>
      </c>
      <c r="H22" s="6">
        <v>2500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/>
      <c r="Y22" s="8"/>
      <c r="Z22" s="8"/>
      <c r="AA22" s="8"/>
      <c r="AB22" s="8"/>
    </row>
    <row r="23" spans="1:28" ht="15.75" customHeight="1" x14ac:dyDescent="0.25">
      <c r="A23" s="5" t="s">
        <v>82</v>
      </c>
      <c r="B23" s="5" t="s">
        <v>83</v>
      </c>
      <c r="C23" s="5" t="s">
        <v>79</v>
      </c>
      <c r="D23" s="6">
        <f t="shared" si="0"/>
        <v>20000</v>
      </c>
      <c r="E23" s="6">
        <f t="shared" si="1"/>
        <v>20000</v>
      </c>
      <c r="F23" s="6"/>
      <c r="G23" s="6">
        <v>18500</v>
      </c>
      <c r="H23" s="6">
        <v>1500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"/>
      <c r="Y23" s="8"/>
      <c r="Z23" s="8"/>
      <c r="AA23" s="8"/>
      <c r="AB23" s="8"/>
    </row>
    <row r="24" spans="1:28" ht="15.75" customHeight="1" x14ac:dyDescent="0.25">
      <c r="A24" s="5" t="s">
        <v>114</v>
      </c>
      <c r="B24" s="5" t="s">
        <v>90</v>
      </c>
      <c r="C24" s="5" t="s">
        <v>111</v>
      </c>
      <c r="D24" s="6">
        <f t="shared" si="0"/>
        <v>20500</v>
      </c>
      <c r="E24" s="6">
        <f t="shared" si="1"/>
        <v>20500</v>
      </c>
      <c r="F24" s="6"/>
      <c r="G24" s="6">
        <v>18500</v>
      </c>
      <c r="H24" s="6">
        <v>2000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"/>
      <c r="Y24" s="8"/>
      <c r="Z24" s="8"/>
      <c r="AA24" s="8"/>
      <c r="AB24" s="8"/>
    </row>
    <row r="25" spans="1:28" ht="15.75" customHeight="1" x14ac:dyDescent="0.25">
      <c r="A25" s="5" t="s">
        <v>84</v>
      </c>
      <c r="B25" s="5" t="s">
        <v>85</v>
      </c>
      <c r="C25" s="5" t="s">
        <v>79</v>
      </c>
      <c r="D25" s="6">
        <f t="shared" si="0"/>
        <v>20000</v>
      </c>
      <c r="E25" s="6">
        <f t="shared" si="1"/>
        <v>20000</v>
      </c>
      <c r="F25" s="6"/>
      <c r="G25" s="6">
        <v>18500</v>
      </c>
      <c r="H25" s="6">
        <v>1500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"/>
      <c r="Y25" s="8"/>
      <c r="Z25" s="8"/>
      <c r="AA25" s="8"/>
      <c r="AB25" s="8"/>
    </row>
    <row r="26" spans="1:28" ht="15.75" customHeight="1" x14ac:dyDescent="0.25">
      <c r="A26" s="5" t="s">
        <v>84</v>
      </c>
      <c r="B26" s="5" t="s">
        <v>94</v>
      </c>
      <c r="C26" s="5" t="s">
        <v>95</v>
      </c>
      <c r="D26" s="6">
        <f t="shared" si="0"/>
        <v>20500</v>
      </c>
      <c r="E26" s="6">
        <f t="shared" si="1"/>
        <v>20500</v>
      </c>
      <c r="F26" s="6"/>
      <c r="G26" s="6">
        <v>18500</v>
      </c>
      <c r="H26" s="6">
        <v>2000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"/>
      <c r="Y26" s="8"/>
      <c r="Z26" s="8"/>
      <c r="AA26" s="8"/>
      <c r="AB26" s="8"/>
    </row>
    <row r="27" spans="1:28" ht="15.75" customHeight="1" x14ac:dyDescent="0.25">
      <c r="A27" s="5" t="s">
        <v>120</v>
      </c>
      <c r="B27" s="5" t="s">
        <v>121</v>
      </c>
      <c r="C27" s="5" t="s">
        <v>122</v>
      </c>
      <c r="D27" s="6">
        <f t="shared" si="0"/>
        <v>30000</v>
      </c>
      <c r="E27" s="6">
        <f t="shared" si="1"/>
        <v>30000</v>
      </c>
      <c r="F27" s="6"/>
      <c r="G27" s="6">
        <v>27500</v>
      </c>
      <c r="H27" s="6">
        <v>2500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"/>
      <c r="Y27" s="8"/>
      <c r="Z27" s="8"/>
      <c r="AA27" s="8"/>
      <c r="AB27" s="8"/>
    </row>
    <row r="28" spans="1:28" ht="15.75" customHeight="1" x14ac:dyDescent="0.25">
      <c r="A28" s="5" t="s">
        <v>86</v>
      </c>
      <c r="B28" s="5" t="s">
        <v>87</v>
      </c>
      <c r="C28" s="5" t="s">
        <v>79</v>
      </c>
      <c r="D28" s="6">
        <f t="shared" si="0"/>
        <v>9000</v>
      </c>
      <c r="E28" s="6">
        <f t="shared" si="1"/>
        <v>9000</v>
      </c>
      <c r="F28" s="6"/>
      <c r="G28" s="6">
        <v>9000</v>
      </c>
      <c r="H28" s="6"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"/>
      <c r="Y28" s="8"/>
      <c r="Z28" s="8"/>
      <c r="AA28" s="8"/>
      <c r="AB28" s="8"/>
    </row>
    <row r="29" spans="1:28" ht="15.75" customHeight="1" x14ac:dyDescent="0.25">
      <c r="A29" s="5" t="s">
        <v>43</v>
      </c>
      <c r="B29" s="5" t="s">
        <v>44</v>
      </c>
      <c r="C29" s="5" t="s">
        <v>40</v>
      </c>
      <c r="D29" s="6">
        <f t="shared" si="0"/>
        <v>25000</v>
      </c>
      <c r="E29" s="6">
        <f t="shared" si="1"/>
        <v>25000</v>
      </c>
      <c r="F29" s="6"/>
      <c r="G29" s="6">
        <v>22500</v>
      </c>
      <c r="H29" s="6">
        <v>2500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"/>
      <c r="Y29" s="8"/>
      <c r="Z29" s="8"/>
      <c r="AA29" s="8"/>
      <c r="AB29" s="8"/>
    </row>
    <row r="30" spans="1:28" ht="15.75" customHeight="1" x14ac:dyDescent="0.25">
      <c r="A30" s="5" t="s">
        <v>55</v>
      </c>
      <c r="B30" s="5" t="s">
        <v>819</v>
      </c>
      <c r="C30" s="5" t="s">
        <v>49</v>
      </c>
      <c r="D30" s="6">
        <f t="shared" si="0"/>
        <v>36250</v>
      </c>
      <c r="E30" s="6">
        <f t="shared" si="1"/>
        <v>36250</v>
      </c>
      <c r="F30" s="6"/>
      <c r="G30" s="6">
        <v>33750</v>
      </c>
      <c r="H30" s="6">
        <v>2500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"/>
      <c r="Y30" s="8"/>
      <c r="Z30" s="8"/>
      <c r="AA30" s="8"/>
      <c r="AB30" s="8"/>
    </row>
    <row r="31" spans="1:28" ht="15.75" customHeight="1" x14ac:dyDescent="0.25">
      <c r="A31" s="5" t="s">
        <v>55</v>
      </c>
      <c r="B31" s="5" t="s">
        <v>820</v>
      </c>
      <c r="C31" s="5" t="s">
        <v>79</v>
      </c>
      <c r="D31" s="6">
        <f t="shared" si="0"/>
        <v>0</v>
      </c>
      <c r="E31" s="6">
        <f t="shared" si="1"/>
        <v>0</v>
      </c>
      <c r="F31" s="6"/>
      <c r="G31" s="6" t="s">
        <v>46</v>
      </c>
      <c r="H31" s="6" t="s">
        <v>46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"/>
      <c r="Y31" s="8"/>
      <c r="Z31" s="8"/>
      <c r="AA31" s="8"/>
      <c r="AB31" s="8"/>
    </row>
    <row r="32" spans="1:28" ht="15.75" customHeight="1" x14ac:dyDescent="0.25">
      <c r="A32" s="5" t="s">
        <v>55</v>
      </c>
      <c r="B32" s="5" t="s">
        <v>818</v>
      </c>
      <c r="C32" s="5" t="s">
        <v>99</v>
      </c>
      <c r="D32" s="6">
        <f t="shared" si="0"/>
        <v>18500</v>
      </c>
      <c r="E32" s="6">
        <f t="shared" si="1"/>
        <v>18500</v>
      </c>
      <c r="F32" s="6"/>
      <c r="G32" s="6">
        <v>16500</v>
      </c>
      <c r="H32" s="6">
        <v>2000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"/>
      <c r="Y32" s="8"/>
      <c r="Z32" s="8"/>
      <c r="AA32" s="8"/>
      <c r="AB32" s="8"/>
    </row>
    <row r="33" spans="1:28" ht="15.75" customHeight="1" x14ac:dyDescent="0.25">
      <c r="A33" s="5" t="s">
        <v>56</v>
      </c>
      <c r="B33" s="5" t="s">
        <v>57</v>
      </c>
      <c r="C33" s="5" t="s">
        <v>49</v>
      </c>
      <c r="D33" s="6">
        <f t="shared" si="0"/>
        <v>36250</v>
      </c>
      <c r="E33" s="6">
        <f t="shared" si="1"/>
        <v>36250</v>
      </c>
      <c r="F33" s="6"/>
      <c r="G33" s="6">
        <v>33750</v>
      </c>
      <c r="H33" s="6">
        <v>2500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"/>
      <c r="Y33" s="8"/>
      <c r="Z33" s="8"/>
      <c r="AA33" s="8"/>
      <c r="AB33" s="8"/>
    </row>
    <row r="34" spans="1:28" ht="15.75" customHeight="1" x14ac:dyDescent="0.25">
      <c r="A34" s="5" t="s">
        <v>31</v>
      </c>
      <c r="B34" s="5" t="s">
        <v>822</v>
      </c>
      <c r="C34" s="5" t="s">
        <v>32</v>
      </c>
      <c r="D34" s="6">
        <f t="shared" ref="D34:D62" si="2">SUM(F34:X34)</f>
        <v>25000</v>
      </c>
      <c r="E34" s="6">
        <f t="shared" ref="E34:E65" si="3">D34-(Y34+Z34+AA34+AB34)</f>
        <v>25000</v>
      </c>
      <c r="F34" s="6"/>
      <c r="G34" s="6">
        <v>22500</v>
      </c>
      <c r="H34" s="6">
        <v>2500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"/>
      <c r="Y34" s="8"/>
      <c r="Z34" s="8"/>
      <c r="AA34" s="8"/>
      <c r="AB34" s="8"/>
    </row>
    <row r="35" spans="1:28" ht="15.75" customHeight="1" x14ac:dyDescent="0.25">
      <c r="A35" s="5" t="s">
        <v>31</v>
      </c>
      <c r="B35" s="5" t="s">
        <v>823</v>
      </c>
      <c r="C35" s="5" t="s">
        <v>40</v>
      </c>
      <c r="D35" s="6">
        <f t="shared" si="2"/>
        <v>25000</v>
      </c>
      <c r="E35" s="6">
        <f t="shared" si="3"/>
        <v>25000</v>
      </c>
      <c r="F35" s="6"/>
      <c r="G35" s="6">
        <v>22500</v>
      </c>
      <c r="H35" s="6">
        <v>2500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"/>
      <c r="Y35" s="8"/>
      <c r="Z35" s="8"/>
      <c r="AA35" s="8"/>
      <c r="AB35" s="8"/>
    </row>
    <row r="36" spans="1:28" ht="15.75" customHeight="1" x14ac:dyDescent="0.25">
      <c r="A36" s="5" t="s">
        <v>33</v>
      </c>
      <c r="B36" s="5" t="s">
        <v>29</v>
      </c>
      <c r="C36" s="5" t="s">
        <v>32</v>
      </c>
      <c r="D36" s="6">
        <f t="shared" si="2"/>
        <v>25000</v>
      </c>
      <c r="E36" s="6">
        <f t="shared" si="3"/>
        <v>25000</v>
      </c>
      <c r="F36" s="6"/>
      <c r="G36" s="6">
        <v>22500</v>
      </c>
      <c r="H36" s="6">
        <v>2500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"/>
      <c r="Y36" s="8"/>
      <c r="Z36" s="8"/>
      <c r="AA36" s="8"/>
      <c r="AB36" s="8"/>
    </row>
    <row r="37" spans="1:28" ht="15.75" customHeight="1" x14ac:dyDescent="0.25">
      <c r="A37" s="5" t="s">
        <v>33</v>
      </c>
      <c r="B37" s="5" t="s">
        <v>824</v>
      </c>
      <c r="C37" s="5" t="s">
        <v>49</v>
      </c>
      <c r="D37" s="6">
        <f t="shared" si="2"/>
        <v>36250</v>
      </c>
      <c r="E37" s="6">
        <f t="shared" si="3"/>
        <v>36250</v>
      </c>
      <c r="F37" s="6"/>
      <c r="G37" s="6">
        <v>33750</v>
      </c>
      <c r="H37" s="6">
        <v>2500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7"/>
      <c r="Y37" s="8"/>
      <c r="Z37" s="8"/>
      <c r="AA37" s="8"/>
      <c r="AB37" s="8"/>
    </row>
    <row r="38" spans="1:28" ht="15.75" customHeight="1" x14ac:dyDescent="0.25">
      <c r="A38" s="5" t="s">
        <v>126</v>
      </c>
      <c r="B38" s="5" t="s">
        <v>127</v>
      </c>
      <c r="C38" s="5" t="s">
        <v>128</v>
      </c>
      <c r="D38" s="6">
        <f t="shared" si="2"/>
        <v>30000</v>
      </c>
      <c r="E38" s="6">
        <f t="shared" si="3"/>
        <v>30000</v>
      </c>
      <c r="F38" s="6"/>
      <c r="G38" s="6">
        <v>27500</v>
      </c>
      <c r="H38" s="6">
        <v>2500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"/>
      <c r="Y38" s="8"/>
      <c r="Z38" s="8"/>
      <c r="AA38" s="8"/>
      <c r="AB38" s="8"/>
    </row>
    <row r="39" spans="1:28" ht="15.75" customHeight="1" x14ac:dyDescent="0.25">
      <c r="A39" s="5" t="s">
        <v>88</v>
      </c>
      <c r="B39" s="5" t="s">
        <v>809</v>
      </c>
      <c r="C39" s="5" t="s">
        <v>79</v>
      </c>
      <c r="D39" s="6">
        <f t="shared" si="2"/>
        <v>20000</v>
      </c>
      <c r="E39" s="6">
        <f t="shared" si="3"/>
        <v>20000</v>
      </c>
      <c r="F39" s="6"/>
      <c r="G39" s="6">
        <v>18500</v>
      </c>
      <c r="H39" s="6">
        <v>1500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"/>
      <c r="Y39" s="8"/>
      <c r="Z39" s="8"/>
      <c r="AA39" s="8"/>
      <c r="AB39" s="8"/>
    </row>
    <row r="40" spans="1:28" ht="15.75" customHeight="1" x14ac:dyDescent="0.25">
      <c r="A40" s="5" t="s">
        <v>101</v>
      </c>
      <c r="B40" s="5" t="s">
        <v>102</v>
      </c>
      <c r="C40" s="5" t="s">
        <v>99</v>
      </c>
      <c r="D40" s="6">
        <f t="shared" si="2"/>
        <v>20500</v>
      </c>
      <c r="E40" s="6">
        <f t="shared" si="3"/>
        <v>20500</v>
      </c>
      <c r="F40" s="6"/>
      <c r="G40" s="6">
        <v>18500</v>
      </c>
      <c r="H40" s="6">
        <v>2000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7"/>
      <c r="Y40" s="8"/>
      <c r="Z40" s="8"/>
      <c r="AA40" s="8"/>
      <c r="AB40" s="8"/>
    </row>
    <row r="41" spans="1:28" ht="15.75" customHeight="1" x14ac:dyDescent="0.25">
      <c r="A41" s="5" t="s">
        <v>68</v>
      </c>
      <c r="B41" s="5" t="s">
        <v>69</v>
      </c>
      <c r="C41" s="5" t="s">
        <v>63</v>
      </c>
      <c r="D41" s="6">
        <f t="shared" si="2"/>
        <v>18000</v>
      </c>
      <c r="E41" s="6">
        <f t="shared" si="3"/>
        <v>18000</v>
      </c>
      <c r="F41" s="6"/>
      <c r="G41" s="6">
        <v>16500</v>
      </c>
      <c r="H41" s="6">
        <v>1500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7"/>
      <c r="Y41" s="8"/>
      <c r="Z41" s="8"/>
      <c r="AA41" s="8"/>
      <c r="AB41" s="8"/>
    </row>
    <row r="42" spans="1:28" ht="15.75" customHeight="1" x14ac:dyDescent="0.25">
      <c r="A42" s="5" t="s">
        <v>103</v>
      </c>
      <c r="B42" s="5" t="s">
        <v>86</v>
      </c>
      <c r="C42" s="5" t="s">
        <v>99</v>
      </c>
      <c r="D42" s="6">
        <f t="shared" si="2"/>
        <v>20500</v>
      </c>
      <c r="E42" s="6">
        <f t="shared" si="3"/>
        <v>20500</v>
      </c>
      <c r="F42" s="6"/>
      <c r="G42" s="6">
        <v>18500</v>
      </c>
      <c r="H42" s="6">
        <v>2000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8"/>
      <c r="Z42" s="8"/>
      <c r="AA42" s="8"/>
      <c r="AB42" s="8"/>
    </row>
    <row r="43" spans="1:28" ht="15.75" customHeight="1" x14ac:dyDescent="0.25">
      <c r="A43" s="5" t="s">
        <v>45</v>
      </c>
      <c r="B43" s="5" t="s">
        <v>825</v>
      </c>
      <c r="C43" s="5" t="s">
        <v>40</v>
      </c>
      <c r="D43" s="6">
        <f t="shared" si="2"/>
        <v>0</v>
      </c>
      <c r="E43" s="6">
        <f t="shared" si="3"/>
        <v>0</v>
      </c>
      <c r="F43" s="6"/>
      <c r="G43" s="6" t="s">
        <v>46</v>
      </c>
      <c r="H43" s="6" t="s">
        <v>46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7"/>
      <c r="Y43" s="8"/>
      <c r="Z43" s="8"/>
      <c r="AA43" s="8"/>
      <c r="AB43" s="8"/>
    </row>
    <row r="44" spans="1:28" ht="15.75" customHeight="1" x14ac:dyDescent="0.25">
      <c r="A44" s="5" t="s">
        <v>45</v>
      </c>
      <c r="B44" s="5" t="s">
        <v>826</v>
      </c>
      <c r="C44" s="5" t="s">
        <v>59</v>
      </c>
      <c r="D44" s="6">
        <f t="shared" si="2"/>
        <v>14100</v>
      </c>
      <c r="E44" s="6">
        <f t="shared" si="3"/>
        <v>14100</v>
      </c>
      <c r="F44" s="6"/>
      <c r="G44" s="6">
        <v>12600</v>
      </c>
      <c r="H44" s="6">
        <v>1500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7"/>
      <c r="Y44" s="8"/>
      <c r="Z44" s="8"/>
      <c r="AA44" s="8"/>
      <c r="AB44" s="8"/>
    </row>
    <row r="45" spans="1:28" ht="15.75" customHeight="1" x14ac:dyDescent="0.25">
      <c r="A45" s="5" t="s">
        <v>28</v>
      </c>
      <c r="B45" s="5" t="s">
        <v>827</v>
      </c>
      <c r="C45" s="5" t="s">
        <v>30</v>
      </c>
      <c r="D45" s="6">
        <f t="shared" si="2"/>
        <v>46700</v>
      </c>
      <c r="E45" s="6">
        <f t="shared" si="3"/>
        <v>-300</v>
      </c>
      <c r="F45" s="6">
        <v>2000</v>
      </c>
      <c r="G45" s="6">
        <v>16500</v>
      </c>
      <c r="H45" s="6">
        <v>0</v>
      </c>
      <c r="I45" s="6"/>
      <c r="J45" s="6">
        <v>5700</v>
      </c>
      <c r="K45" s="6">
        <v>1500</v>
      </c>
      <c r="L45" s="6">
        <v>10000</v>
      </c>
      <c r="M45" s="6"/>
      <c r="N45" s="6">
        <v>4000</v>
      </c>
      <c r="O45" s="6"/>
      <c r="P45" s="6"/>
      <c r="Q45" s="6">
        <v>7000</v>
      </c>
      <c r="R45" s="6"/>
      <c r="S45" s="6"/>
      <c r="T45" s="6"/>
      <c r="U45" s="6"/>
      <c r="V45" s="6"/>
      <c r="W45" s="6"/>
      <c r="X45" s="7"/>
      <c r="Y45" s="8">
        <v>42000</v>
      </c>
      <c r="Z45" s="8">
        <v>5000</v>
      </c>
      <c r="AA45" s="8"/>
      <c r="AB45" s="8"/>
    </row>
    <row r="46" spans="1:28" ht="15.75" customHeight="1" x14ac:dyDescent="0.25">
      <c r="A46" s="5" t="s">
        <v>60</v>
      </c>
      <c r="B46" s="5" t="s">
        <v>58</v>
      </c>
      <c r="C46" s="5" t="s">
        <v>59</v>
      </c>
      <c r="D46" s="6">
        <f t="shared" si="2"/>
        <v>20000</v>
      </c>
      <c r="E46" s="6">
        <f t="shared" si="3"/>
        <v>20000</v>
      </c>
      <c r="F46" s="6"/>
      <c r="G46" s="6">
        <v>18500</v>
      </c>
      <c r="H46" s="6">
        <v>1500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7"/>
      <c r="Y46" s="8"/>
      <c r="Z46" s="8"/>
      <c r="AA46" s="8"/>
      <c r="AB46" s="8"/>
    </row>
    <row r="47" spans="1:28" ht="15.75" customHeight="1" x14ac:dyDescent="0.25">
      <c r="A47" s="5" t="s">
        <v>34</v>
      </c>
      <c r="B47" s="5" t="s">
        <v>35</v>
      </c>
      <c r="C47" s="5" t="s">
        <v>32</v>
      </c>
      <c r="D47" s="6">
        <f t="shared" si="2"/>
        <v>25000</v>
      </c>
      <c r="E47" s="6">
        <f t="shared" si="3"/>
        <v>25000</v>
      </c>
      <c r="F47" s="6"/>
      <c r="G47" s="6">
        <v>22500</v>
      </c>
      <c r="H47" s="6">
        <v>2500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7"/>
      <c r="Y47" s="8"/>
      <c r="Z47" s="8"/>
      <c r="AA47" s="8"/>
      <c r="AB47" s="8"/>
    </row>
    <row r="48" spans="1:28" ht="15.75" customHeight="1" x14ac:dyDescent="0.25">
      <c r="A48" s="5" t="s">
        <v>34</v>
      </c>
      <c r="B48" s="5" t="s">
        <v>107</v>
      </c>
      <c r="C48" s="5" t="s">
        <v>105</v>
      </c>
      <c r="D48" s="6">
        <f t="shared" si="2"/>
        <v>20500</v>
      </c>
      <c r="E48" s="6">
        <f t="shared" si="3"/>
        <v>20500</v>
      </c>
      <c r="F48" s="6"/>
      <c r="G48" s="6">
        <v>18500</v>
      </c>
      <c r="H48" s="6">
        <v>2000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"/>
      <c r="Y48" s="8"/>
      <c r="Z48" s="8"/>
      <c r="AA48" s="8"/>
      <c r="AB48" s="8"/>
    </row>
    <row r="49" spans="1:28" ht="15.75" customHeight="1" x14ac:dyDescent="0.25">
      <c r="A49" s="5" t="s">
        <v>115</v>
      </c>
      <c r="B49" s="5" t="s">
        <v>116</v>
      </c>
      <c r="C49" s="5" t="s">
        <v>111</v>
      </c>
      <c r="D49" s="6">
        <f t="shared" si="2"/>
        <v>20500</v>
      </c>
      <c r="E49" s="6">
        <f t="shared" si="3"/>
        <v>20500</v>
      </c>
      <c r="F49" s="6"/>
      <c r="G49" s="6">
        <v>18500</v>
      </c>
      <c r="H49" s="6">
        <v>2000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"/>
      <c r="Y49" s="8"/>
      <c r="Z49" s="8"/>
      <c r="AA49" s="8"/>
      <c r="AB49" s="8"/>
    </row>
    <row r="50" spans="1:28" ht="15.75" customHeight="1" x14ac:dyDescent="0.25">
      <c r="A50" s="5" t="s">
        <v>70</v>
      </c>
      <c r="B50" s="5" t="s">
        <v>71</v>
      </c>
      <c r="C50" s="5" t="s">
        <v>63</v>
      </c>
      <c r="D50" s="6">
        <f t="shared" si="2"/>
        <v>13050</v>
      </c>
      <c r="E50" s="6">
        <f t="shared" si="3"/>
        <v>13050</v>
      </c>
      <c r="F50" s="6"/>
      <c r="G50" s="6">
        <v>11550</v>
      </c>
      <c r="H50" s="6">
        <v>1500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7"/>
      <c r="Y50" s="8"/>
      <c r="Z50" s="8"/>
      <c r="AA50" s="8"/>
      <c r="AB50" s="8"/>
    </row>
    <row r="51" spans="1:28" ht="15.75" customHeight="1" x14ac:dyDescent="0.25">
      <c r="A51" s="5" t="s">
        <v>70</v>
      </c>
      <c r="B51" s="5" t="s">
        <v>76</v>
      </c>
      <c r="C51" s="5" t="s">
        <v>74</v>
      </c>
      <c r="D51" s="6">
        <f t="shared" si="2"/>
        <v>13050</v>
      </c>
      <c r="E51" s="6">
        <f t="shared" si="3"/>
        <v>13050</v>
      </c>
      <c r="F51" s="6"/>
      <c r="G51" s="6">
        <v>11550</v>
      </c>
      <c r="H51" s="6">
        <v>1500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7"/>
      <c r="Y51" s="8"/>
      <c r="Z51" s="8"/>
      <c r="AA51" s="8"/>
      <c r="AB51" s="8"/>
    </row>
    <row r="52" spans="1:28" ht="15.75" customHeight="1" x14ac:dyDescent="0.25">
      <c r="A52" s="5" t="s">
        <v>36</v>
      </c>
      <c r="B52" s="5" t="s">
        <v>37</v>
      </c>
      <c r="C52" s="5" t="s">
        <v>32</v>
      </c>
      <c r="D52" s="6">
        <f t="shared" si="2"/>
        <v>25000</v>
      </c>
      <c r="E52" s="6">
        <f t="shared" si="3"/>
        <v>25000</v>
      </c>
      <c r="F52" s="6"/>
      <c r="G52" s="6">
        <v>22500</v>
      </c>
      <c r="H52" s="6">
        <v>2500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  <c r="Y52" s="8"/>
      <c r="Z52" s="8"/>
      <c r="AA52" s="8"/>
      <c r="AB52" s="8"/>
    </row>
    <row r="53" spans="1:28" ht="15.75" customHeight="1" x14ac:dyDescent="0.25">
      <c r="A53" s="5" t="s">
        <v>89</v>
      </c>
      <c r="B53" s="5" t="s">
        <v>90</v>
      </c>
      <c r="C53" s="5" t="s">
        <v>79</v>
      </c>
      <c r="D53" s="6">
        <f t="shared" si="2"/>
        <v>20000</v>
      </c>
      <c r="E53" s="6">
        <f t="shared" si="3"/>
        <v>20000</v>
      </c>
      <c r="F53" s="6"/>
      <c r="G53" s="6">
        <v>18500</v>
      </c>
      <c r="H53" s="6">
        <v>1500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7"/>
      <c r="Y53" s="8"/>
      <c r="Z53" s="8"/>
      <c r="AA53" s="8"/>
      <c r="AB53" s="8"/>
    </row>
    <row r="54" spans="1:28" ht="15.75" customHeight="1" x14ac:dyDescent="0.25">
      <c r="A54" s="5" t="s">
        <v>89</v>
      </c>
      <c r="B54" s="5" t="s">
        <v>91</v>
      </c>
      <c r="C54" s="5" t="s">
        <v>79</v>
      </c>
      <c r="D54" s="6">
        <f t="shared" si="2"/>
        <v>20000</v>
      </c>
      <c r="E54" s="6">
        <f t="shared" si="3"/>
        <v>20000</v>
      </c>
      <c r="F54" s="6"/>
      <c r="G54" s="6">
        <v>18500</v>
      </c>
      <c r="H54" s="6">
        <v>1500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7"/>
      <c r="Y54" s="8"/>
      <c r="Z54" s="8"/>
      <c r="AA54" s="8"/>
      <c r="AB54" s="8"/>
    </row>
    <row r="55" spans="1:28" ht="15.75" customHeight="1" x14ac:dyDescent="0.25">
      <c r="A55" s="5" t="s">
        <v>123</v>
      </c>
      <c r="B55" s="5" t="s">
        <v>124</v>
      </c>
      <c r="C55" s="5" t="s">
        <v>122</v>
      </c>
      <c r="D55" s="6">
        <f t="shared" si="2"/>
        <v>25000</v>
      </c>
      <c r="E55" s="6">
        <f t="shared" si="3"/>
        <v>25000</v>
      </c>
      <c r="F55" s="6"/>
      <c r="G55" s="6">
        <v>22500</v>
      </c>
      <c r="H55" s="6">
        <v>2500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7"/>
      <c r="Y55" s="8"/>
      <c r="Z55" s="8"/>
      <c r="AA55" s="8"/>
      <c r="AB55" s="8"/>
    </row>
    <row r="56" spans="1:28" ht="15.75" customHeight="1" x14ac:dyDescent="0.25">
      <c r="A56" s="5" t="s">
        <v>123</v>
      </c>
      <c r="B56" s="5" t="s">
        <v>125</v>
      </c>
      <c r="C56" s="5" t="s">
        <v>122</v>
      </c>
      <c r="D56" s="6">
        <f t="shared" si="2"/>
        <v>25000</v>
      </c>
      <c r="E56" s="6">
        <f t="shared" si="3"/>
        <v>25000</v>
      </c>
      <c r="F56" s="6"/>
      <c r="G56" s="6">
        <v>22500</v>
      </c>
      <c r="H56" s="6">
        <v>2500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7"/>
      <c r="Y56" s="8"/>
      <c r="Z56" s="8"/>
      <c r="AA56" s="8"/>
      <c r="AB56" s="8"/>
    </row>
    <row r="57" spans="1:28" ht="15.75" customHeight="1" x14ac:dyDescent="0.25">
      <c r="A57" s="5" t="s">
        <v>108</v>
      </c>
      <c r="B57" s="5" t="s">
        <v>830</v>
      </c>
      <c r="C57" s="5" t="s">
        <v>105</v>
      </c>
      <c r="D57" s="6">
        <f t="shared" si="2"/>
        <v>20500</v>
      </c>
      <c r="E57" s="6">
        <f t="shared" si="3"/>
        <v>20500</v>
      </c>
      <c r="F57" s="6"/>
      <c r="G57" s="6">
        <v>18500</v>
      </c>
      <c r="H57" s="6">
        <v>2000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7"/>
      <c r="Y57" s="8"/>
      <c r="Z57" s="8"/>
      <c r="AA57" s="8"/>
      <c r="AB57" s="8"/>
    </row>
    <row r="58" spans="1:28" ht="15.75" customHeight="1" x14ac:dyDescent="0.25">
      <c r="A58" s="5" t="s">
        <v>108</v>
      </c>
      <c r="B58" s="5" t="s">
        <v>829</v>
      </c>
      <c r="C58" s="5" t="s">
        <v>118</v>
      </c>
      <c r="D58" s="6">
        <f t="shared" si="2"/>
        <v>29750</v>
      </c>
      <c r="E58" s="6">
        <f t="shared" si="3"/>
        <v>29750</v>
      </c>
      <c r="F58" s="6"/>
      <c r="G58" s="6">
        <v>27750</v>
      </c>
      <c r="H58" s="6">
        <v>2000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7"/>
      <c r="Y58" s="8"/>
      <c r="Z58" s="8"/>
      <c r="AA58" s="8"/>
      <c r="AB58" s="8"/>
    </row>
    <row r="59" spans="1:28" ht="15.75" customHeight="1" x14ac:dyDescent="0.25">
      <c r="A59" s="5" t="s">
        <v>96</v>
      </c>
      <c r="B59" s="5" t="s">
        <v>97</v>
      </c>
      <c r="C59" s="5" t="s">
        <v>95</v>
      </c>
      <c r="D59" s="6">
        <f t="shared" si="2"/>
        <v>20500</v>
      </c>
      <c r="E59" s="6">
        <f t="shared" si="3"/>
        <v>20500</v>
      </c>
      <c r="F59" s="6"/>
      <c r="G59" s="6">
        <v>18500</v>
      </c>
      <c r="H59" s="6">
        <v>2000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5"/>
      <c r="V59" s="6"/>
      <c r="W59" s="6"/>
      <c r="X59" s="7"/>
      <c r="Y59" s="8"/>
      <c r="Z59" s="8"/>
      <c r="AA59" s="8"/>
      <c r="AB59" s="8"/>
    </row>
    <row r="60" spans="1:28" ht="15.75" customHeight="1" x14ac:dyDescent="0.25">
      <c r="A60" s="5" t="s">
        <v>96</v>
      </c>
      <c r="B60" s="5" t="s">
        <v>119</v>
      </c>
      <c r="C60" s="5" t="s">
        <v>118</v>
      </c>
      <c r="D60" s="6">
        <f t="shared" si="2"/>
        <v>29750</v>
      </c>
      <c r="E60" s="6">
        <f t="shared" si="3"/>
        <v>29750</v>
      </c>
      <c r="F60" s="6"/>
      <c r="G60" s="6">
        <v>27750</v>
      </c>
      <c r="H60" s="6">
        <v>2000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7"/>
      <c r="Y60" s="8"/>
      <c r="Z60" s="8"/>
      <c r="AA60" s="8"/>
      <c r="AB60" s="8"/>
    </row>
    <row r="61" spans="1:28" ht="15.75" customHeight="1" x14ac:dyDescent="0.25">
      <c r="A61" s="5" t="s">
        <v>92</v>
      </c>
      <c r="B61" s="5" t="s">
        <v>93</v>
      </c>
      <c r="C61" s="5" t="s">
        <v>79</v>
      </c>
      <c r="D61" s="6">
        <f t="shared" si="2"/>
        <v>18000</v>
      </c>
      <c r="E61" s="6">
        <f t="shared" si="3"/>
        <v>18000</v>
      </c>
      <c r="F61" s="6"/>
      <c r="G61" s="6">
        <v>16500</v>
      </c>
      <c r="H61" s="6">
        <v>1500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7"/>
      <c r="Y61" s="8"/>
      <c r="Z61" s="8"/>
      <c r="AA61" s="8"/>
      <c r="AB61" s="8"/>
    </row>
    <row r="62" spans="1:28" ht="15.75" customHeight="1" x14ac:dyDescent="0.25">
      <c r="A62" s="5" t="s">
        <v>92</v>
      </c>
      <c r="B62" s="5" t="s">
        <v>104</v>
      </c>
      <c r="C62" s="5" t="s">
        <v>99</v>
      </c>
      <c r="D62" s="6">
        <f t="shared" si="2"/>
        <v>20500</v>
      </c>
      <c r="E62" s="6">
        <f t="shared" si="3"/>
        <v>20500</v>
      </c>
      <c r="F62" s="6"/>
      <c r="G62" s="6">
        <v>18500</v>
      </c>
      <c r="H62" s="6">
        <v>2000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7"/>
      <c r="Y62" s="8"/>
      <c r="Z62" s="8"/>
      <c r="AA62" s="8"/>
      <c r="AB62" s="8"/>
    </row>
    <row r="63" spans="1:28" ht="15.75" customHeight="1" x14ac:dyDescent="0.25">
      <c r="A63" s="5"/>
      <c r="B63" s="5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7"/>
      <c r="Y63" s="8"/>
      <c r="Z63" s="8"/>
      <c r="AA63" s="8"/>
      <c r="AB63" s="8"/>
    </row>
    <row r="64" spans="1:28" ht="15.75" customHeight="1" x14ac:dyDescent="0.25">
      <c r="A64" s="5"/>
      <c r="B64" s="5"/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7"/>
      <c r="Y64" s="8"/>
      <c r="Z64" s="8"/>
      <c r="AA64" s="8"/>
      <c r="AB64" s="8"/>
    </row>
    <row r="65" spans="1:28" ht="15.75" customHeight="1" x14ac:dyDescent="0.25">
      <c r="A65" s="5"/>
      <c r="B65" s="5"/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7"/>
      <c r="Y65" s="8"/>
      <c r="Z65" s="8"/>
      <c r="AA65" s="8"/>
      <c r="AB65" s="8"/>
    </row>
    <row r="66" spans="1:28" ht="15.75" customHeight="1" x14ac:dyDescent="0.25">
      <c r="A66" s="5"/>
      <c r="B66" s="5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7"/>
      <c r="Y66" s="8"/>
      <c r="Z66" s="8"/>
      <c r="AA66" s="8"/>
      <c r="AB66" s="8"/>
    </row>
    <row r="67" spans="1:28" ht="15.75" customHeight="1" x14ac:dyDescent="0.25">
      <c r="A67" s="5"/>
      <c r="B67" s="5"/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7"/>
      <c r="Y67" s="8"/>
      <c r="Z67" s="8"/>
      <c r="AA67" s="8"/>
      <c r="AB67" s="8"/>
    </row>
    <row r="68" spans="1:28" ht="15.75" customHeight="1" x14ac:dyDescent="0.25">
      <c r="A68" s="5"/>
      <c r="B68" s="5"/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7"/>
      <c r="Y68" s="8"/>
      <c r="Z68" s="8"/>
      <c r="AA68" s="8"/>
      <c r="AB68" s="8"/>
    </row>
    <row r="69" spans="1:28" ht="15.75" customHeight="1" x14ac:dyDescent="0.25">
      <c r="A69" s="5"/>
      <c r="B69" s="5"/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7"/>
      <c r="Y69" s="8"/>
      <c r="Z69" s="8"/>
      <c r="AA69" s="8"/>
      <c r="AB69" s="8"/>
    </row>
    <row r="70" spans="1:28" ht="15.75" customHeight="1" x14ac:dyDescent="0.25">
      <c r="A70" s="5"/>
      <c r="B70" s="5"/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7"/>
      <c r="Y70" s="8"/>
      <c r="Z70" s="8"/>
      <c r="AA70" s="8"/>
      <c r="AB70" s="8"/>
    </row>
    <row r="71" spans="1:28" ht="15.75" customHeight="1" x14ac:dyDescent="0.25">
      <c r="A71" s="5"/>
      <c r="B71" s="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7"/>
      <c r="Y71" s="8"/>
      <c r="Z71" s="8"/>
      <c r="AA71" s="8"/>
      <c r="AB71" s="8"/>
    </row>
    <row r="72" spans="1:28" ht="15.75" customHeight="1" x14ac:dyDescent="0.25">
      <c r="A72" s="5"/>
      <c r="B72" s="5"/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7"/>
      <c r="Y72" s="8"/>
      <c r="Z72" s="8"/>
      <c r="AA72" s="8"/>
      <c r="AB72" s="8"/>
    </row>
    <row r="73" spans="1:28" ht="15.75" customHeight="1" x14ac:dyDescent="0.25">
      <c r="A73" s="5"/>
      <c r="B73" s="5"/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7"/>
      <c r="Y73" s="8"/>
      <c r="Z73" s="8"/>
      <c r="AA73" s="8"/>
      <c r="AB73" s="8"/>
    </row>
    <row r="74" spans="1:28" ht="15.75" customHeight="1" x14ac:dyDescent="0.25">
      <c r="A74" s="5"/>
      <c r="B74" s="5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7"/>
      <c r="Y74" s="8"/>
      <c r="Z74" s="8"/>
      <c r="AA74" s="8"/>
      <c r="AB74" s="8"/>
    </row>
    <row r="75" spans="1:28" ht="15.75" customHeight="1" x14ac:dyDescent="0.25">
      <c r="A75" s="5"/>
      <c r="B75" s="5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7"/>
      <c r="Y75" s="8"/>
      <c r="Z75" s="8"/>
      <c r="AA75" s="8"/>
      <c r="AB75" s="8"/>
    </row>
    <row r="76" spans="1:28" ht="15.75" customHeight="1" x14ac:dyDescent="0.25">
      <c r="A76" s="5"/>
      <c r="B76" s="5"/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7"/>
      <c r="Y76" s="8"/>
      <c r="Z76" s="8"/>
      <c r="AA76" s="8"/>
      <c r="AB76" s="8"/>
    </row>
    <row r="77" spans="1:28" ht="15.75" customHeight="1" x14ac:dyDescent="0.25">
      <c r="A77" s="5"/>
      <c r="B77" s="5"/>
      <c r="C77" s="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7"/>
      <c r="Y77" s="8"/>
      <c r="Z77" s="8"/>
      <c r="AA77" s="8"/>
      <c r="AB77" s="8"/>
    </row>
    <row r="78" spans="1:28" ht="15.75" customHeight="1" x14ac:dyDescent="0.25">
      <c r="A78" s="5"/>
      <c r="B78" s="5"/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7"/>
      <c r="Y78" s="8"/>
      <c r="Z78" s="8"/>
      <c r="AA78" s="8"/>
      <c r="AB78" s="8"/>
    </row>
    <row r="79" spans="1:28" ht="15.75" customHeight="1" x14ac:dyDescent="0.25">
      <c r="A79" s="5"/>
      <c r="B79" s="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7"/>
      <c r="Y79" s="8"/>
      <c r="Z79" s="8"/>
      <c r="AA79" s="8"/>
      <c r="AB79" s="8"/>
    </row>
    <row r="80" spans="1:28" ht="15.75" customHeight="1" x14ac:dyDescent="0.25">
      <c r="A80" s="5"/>
      <c r="B80" s="5"/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7"/>
      <c r="Y80" s="8"/>
      <c r="Z80" s="8"/>
      <c r="AA80" s="8"/>
      <c r="AB80" s="8"/>
    </row>
    <row r="81" spans="1:28" ht="15.75" customHeight="1" x14ac:dyDescent="0.25">
      <c r="A81" s="5"/>
      <c r="B81" s="5"/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7"/>
      <c r="Y81" s="8"/>
      <c r="Z81" s="8"/>
      <c r="AA81" s="8"/>
      <c r="AB81" s="8"/>
    </row>
    <row r="82" spans="1:28" ht="15.75" customHeight="1" x14ac:dyDescent="0.25">
      <c r="A82" s="5"/>
      <c r="B82" s="5"/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7"/>
      <c r="Y82" s="8"/>
      <c r="Z82" s="8"/>
      <c r="AA82" s="8"/>
      <c r="AB82" s="8"/>
    </row>
    <row r="83" spans="1:28" ht="15.75" customHeight="1" x14ac:dyDescent="0.25">
      <c r="A83" s="5"/>
      <c r="B83" s="5"/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7"/>
      <c r="Y83" s="8"/>
      <c r="Z83" s="8"/>
      <c r="AA83" s="8"/>
      <c r="AB83" s="8"/>
    </row>
    <row r="84" spans="1:28" ht="15.75" customHeight="1" x14ac:dyDescent="0.25">
      <c r="A84" s="5"/>
      <c r="B84" s="5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7"/>
      <c r="Y84" s="8"/>
      <c r="Z84" s="8"/>
      <c r="AA84" s="8"/>
      <c r="AB84" s="8"/>
    </row>
    <row r="85" spans="1:28" ht="15.75" customHeight="1" x14ac:dyDescent="0.25">
      <c r="A85" s="5"/>
      <c r="B85" s="5"/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7"/>
      <c r="Y85" s="8"/>
      <c r="Z85" s="8"/>
      <c r="AA85" s="8"/>
      <c r="AB85" s="8"/>
    </row>
    <row r="86" spans="1:28" ht="15.75" customHeight="1" x14ac:dyDescent="0.25">
      <c r="A86" s="5"/>
      <c r="B86" s="5"/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7"/>
      <c r="Y86" s="8"/>
      <c r="Z86" s="8"/>
      <c r="AA86" s="8"/>
      <c r="AB86" s="8"/>
    </row>
    <row r="87" spans="1:28" ht="15.75" customHeight="1" x14ac:dyDescent="0.25">
      <c r="A87" s="5"/>
      <c r="B87" s="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7"/>
      <c r="Y87" s="8"/>
      <c r="Z87" s="8"/>
      <c r="AA87" s="8"/>
      <c r="AB87" s="8"/>
    </row>
    <row r="88" spans="1:28" ht="15.75" customHeight="1" x14ac:dyDescent="0.25">
      <c r="A88" s="5"/>
      <c r="B88" s="5"/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7"/>
      <c r="Y88" s="8"/>
      <c r="Z88" s="8"/>
      <c r="AA88" s="8"/>
      <c r="AB88" s="8"/>
    </row>
    <row r="89" spans="1:28" ht="15.75" customHeight="1" x14ac:dyDescent="0.25">
      <c r="A89" s="5"/>
      <c r="B89" s="5"/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7"/>
      <c r="Y89" s="8"/>
      <c r="Z89" s="8"/>
      <c r="AA89" s="8"/>
      <c r="AB89" s="8"/>
    </row>
    <row r="90" spans="1:28" ht="15.75" customHeight="1" x14ac:dyDescent="0.25">
      <c r="A90" s="5"/>
      <c r="B90" s="5"/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7"/>
      <c r="Y90" s="8"/>
      <c r="Z90" s="8"/>
      <c r="AA90" s="8"/>
      <c r="AB90" s="8"/>
    </row>
    <row r="91" spans="1:28" ht="15.75" customHeight="1" x14ac:dyDescent="0.25">
      <c r="A91" s="5"/>
      <c r="B91" s="5"/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7"/>
      <c r="Y91" s="8"/>
      <c r="Z91" s="8"/>
      <c r="AA91" s="8"/>
      <c r="AB91" s="8"/>
    </row>
    <row r="92" spans="1:28" ht="15.75" customHeight="1" x14ac:dyDescent="0.25">
      <c r="A92" s="5"/>
      <c r="B92" s="5"/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7"/>
      <c r="Y92" s="8"/>
      <c r="Z92" s="8"/>
      <c r="AA92" s="8"/>
      <c r="AB92" s="8"/>
    </row>
    <row r="93" spans="1:28" ht="15.75" customHeight="1" x14ac:dyDescent="0.25">
      <c r="A93" s="5"/>
      <c r="B93" s="5"/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7"/>
      <c r="Y93" s="8"/>
      <c r="Z93" s="8"/>
      <c r="AA93" s="8"/>
      <c r="AB93" s="8"/>
    </row>
    <row r="94" spans="1:28" ht="15.75" customHeight="1" x14ac:dyDescent="0.25">
      <c r="A94" s="5"/>
      <c r="B94" s="5"/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7"/>
      <c r="Y94" s="8"/>
      <c r="Z94" s="8"/>
      <c r="AA94" s="8"/>
      <c r="AB94" s="8"/>
    </row>
    <row r="95" spans="1:28" ht="15.75" customHeight="1" x14ac:dyDescent="0.25">
      <c r="A95" s="5"/>
      <c r="B95" s="5"/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7"/>
      <c r="Y95" s="8"/>
      <c r="Z95" s="8"/>
      <c r="AA95" s="8"/>
      <c r="AB95" s="8"/>
    </row>
    <row r="96" spans="1:28" ht="15.75" customHeight="1" x14ac:dyDescent="0.25">
      <c r="A96" s="5"/>
      <c r="B96" s="5"/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7"/>
      <c r="Y96" s="8"/>
      <c r="Z96" s="8"/>
      <c r="AA96" s="8"/>
      <c r="AB96" s="8"/>
    </row>
    <row r="97" spans="1:28" ht="15.75" customHeight="1" x14ac:dyDescent="0.25">
      <c r="A97" s="5"/>
      <c r="B97" s="5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7"/>
      <c r="Y97" s="8"/>
      <c r="Z97" s="8"/>
      <c r="AA97" s="8"/>
      <c r="AB97" s="8"/>
    </row>
    <row r="98" spans="1:28" ht="15.75" customHeight="1" x14ac:dyDescent="0.25">
      <c r="A98" s="5"/>
      <c r="B98" s="5"/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7"/>
      <c r="Y98" s="8"/>
      <c r="Z98" s="8"/>
      <c r="AA98" s="8"/>
      <c r="AB98" s="8"/>
    </row>
    <row r="99" spans="1:28" ht="15.75" customHeight="1" x14ac:dyDescent="0.25">
      <c r="A99" s="5"/>
      <c r="B99" s="5"/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7"/>
      <c r="Y99" s="8"/>
      <c r="Z99" s="8"/>
      <c r="AA99" s="8"/>
      <c r="AB99" s="8"/>
    </row>
    <row r="100" spans="1:28" ht="15.75" customHeight="1" x14ac:dyDescent="0.25">
      <c r="A100" s="5"/>
      <c r="B100" s="5"/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7"/>
      <c r="Y100" s="8"/>
      <c r="Z100" s="8"/>
      <c r="AA100" s="8"/>
      <c r="AB100" s="8"/>
    </row>
    <row r="101" spans="1:28" ht="15.75" customHeight="1" x14ac:dyDescent="0.25">
      <c r="A101" s="5"/>
      <c r="B101" s="5"/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7"/>
      <c r="Y101" s="8"/>
      <c r="Z101" s="8"/>
      <c r="AA101" s="8"/>
      <c r="AB101" s="8"/>
    </row>
    <row r="102" spans="1:28" ht="15.75" customHeight="1" x14ac:dyDescent="0.25">
      <c r="A102" s="5"/>
      <c r="B102" s="5"/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7"/>
      <c r="Y102" s="8"/>
      <c r="Z102" s="8"/>
      <c r="AA102" s="8"/>
      <c r="AB102" s="8"/>
    </row>
    <row r="103" spans="1:28" ht="15.75" customHeight="1" x14ac:dyDescent="0.25">
      <c r="A103" s="5"/>
      <c r="B103" s="5"/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7"/>
      <c r="Y103" s="8"/>
      <c r="Z103" s="8"/>
      <c r="AA103" s="8"/>
      <c r="AB103" s="8"/>
    </row>
    <row r="104" spans="1:28" ht="15.75" customHeight="1" x14ac:dyDescent="0.25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7"/>
      <c r="Y104" s="8"/>
      <c r="Z104" s="8"/>
      <c r="AA104" s="8"/>
      <c r="AB104" s="8"/>
    </row>
    <row r="105" spans="1:28" ht="15.75" customHeight="1" x14ac:dyDescent="0.25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7"/>
      <c r="Y105" s="8"/>
      <c r="Z105" s="8"/>
      <c r="AA105" s="8"/>
      <c r="AB105" s="8"/>
    </row>
    <row r="106" spans="1:28" ht="15.75" customHeight="1" x14ac:dyDescent="0.25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7"/>
      <c r="Y106" s="8"/>
      <c r="Z106" s="8"/>
      <c r="AA106" s="8"/>
      <c r="AB106" s="8"/>
    </row>
    <row r="107" spans="1:28" ht="15.75" customHeight="1" x14ac:dyDescent="0.25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7"/>
      <c r="Y107" s="8"/>
      <c r="Z107" s="8"/>
      <c r="AA107" s="8"/>
      <c r="AB107" s="8"/>
    </row>
    <row r="108" spans="1:28" ht="15.75" customHeight="1" x14ac:dyDescent="0.25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7"/>
      <c r="Y108" s="8"/>
      <c r="Z108" s="8"/>
      <c r="AA108" s="8"/>
      <c r="AB108" s="8"/>
    </row>
    <row r="109" spans="1:28" ht="15.75" customHeight="1" x14ac:dyDescent="0.25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7"/>
      <c r="Y109" s="8"/>
      <c r="Z109" s="8"/>
      <c r="AA109" s="8"/>
      <c r="AB109" s="8"/>
    </row>
    <row r="110" spans="1:28" ht="15.75" customHeight="1" x14ac:dyDescent="0.25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7"/>
      <c r="Y110" s="8"/>
      <c r="Z110" s="8"/>
      <c r="AA110" s="8"/>
      <c r="AB110" s="8"/>
    </row>
    <row r="111" spans="1:28" ht="15.75" customHeight="1" x14ac:dyDescent="0.25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7"/>
      <c r="Y111" s="8"/>
      <c r="Z111" s="8"/>
      <c r="AA111" s="8"/>
      <c r="AB111" s="8"/>
    </row>
    <row r="112" spans="1:28" ht="15.75" customHeight="1" x14ac:dyDescent="0.25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7"/>
      <c r="Y112" s="8"/>
      <c r="Z112" s="8"/>
      <c r="AA112" s="8"/>
      <c r="AB112" s="8"/>
    </row>
    <row r="113" spans="1:28" ht="15.75" customHeight="1" x14ac:dyDescent="0.25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7"/>
      <c r="Y113" s="8"/>
      <c r="Z113" s="8"/>
      <c r="AA113" s="8"/>
      <c r="AB113" s="8"/>
    </row>
    <row r="114" spans="1:28" ht="15.75" customHeight="1" x14ac:dyDescent="0.25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7"/>
      <c r="Y114" s="8"/>
      <c r="Z114" s="8"/>
      <c r="AA114" s="8"/>
      <c r="AB114" s="8"/>
    </row>
    <row r="115" spans="1:28" ht="15.75" customHeight="1" x14ac:dyDescent="0.25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7"/>
      <c r="Y115" s="8"/>
      <c r="Z115" s="8"/>
      <c r="AA115" s="8"/>
      <c r="AB115" s="8"/>
    </row>
    <row r="116" spans="1:28" ht="15.75" customHeight="1" x14ac:dyDescent="0.25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7"/>
      <c r="Y116" s="8"/>
      <c r="Z116" s="8"/>
      <c r="AA116" s="8"/>
      <c r="AB116" s="8"/>
    </row>
    <row r="117" spans="1:28" ht="15.75" customHeight="1" x14ac:dyDescent="0.25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7"/>
      <c r="Y117" s="8"/>
      <c r="Z117" s="8"/>
      <c r="AA117" s="8"/>
      <c r="AB117" s="8"/>
    </row>
    <row r="118" spans="1:28" ht="15.75" customHeight="1" x14ac:dyDescent="0.25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7"/>
      <c r="Y118" s="8"/>
      <c r="Z118" s="8"/>
      <c r="AA118" s="8"/>
      <c r="AB118" s="8"/>
    </row>
    <row r="119" spans="1:28" ht="15.75" customHeight="1" x14ac:dyDescent="0.25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7"/>
      <c r="Y119" s="8"/>
      <c r="Z119" s="8"/>
      <c r="AA119" s="8"/>
      <c r="AB119" s="8"/>
    </row>
    <row r="120" spans="1:28" ht="15.75" customHeight="1" x14ac:dyDescent="0.25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7"/>
      <c r="Y120" s="8"/>
      <c r="Z120" s="8"/>
      <c r="AA120" s="8"/>
      <c r="AB120" s="8"/>
    </row>
    <row r="121" spans="1:28" ht="15.75" customHeight="1" x14ac:dyDescent="0.25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7"/>
      <c r="Y121" s="8"/>
      <c r="Z121" s="8"/>
      <c r="AA121" s="8"/>
      <c r="AB121" s="8"/>
    </row>
    <row r="122" spans="1:28" ht="15.75" customHeight="1" x14ac:dyDescent="0.25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7"/>
      <c r="Y122" s="8"/>
      <c r="Z122" s="8"/>
      <c r="AA122" s="8"/>
      <c r="AB122" s="8"/>
    </row>
    <row r="123" spans="1:28" ht="15.75" customHeight="1" x14ac:dyDescent="0.25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7"/>
      <c r="Y123" s="8"/>
      <c r="Z123" s="8"/>
      <c r="AA123" s="8"/>
      <c r="AB123" s="8"/>
    </row>
    <row r="124" spans="1:28" ht="15.75" customHeight="1" x14ac:dyDescent="0.25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7"/>
      <c r="Y124" s="8"/>
      <c r="Z124" s="8"/>
      <c r="AA124" s="8"/>
      <c r="AB124" s="8"/>
    </row>
    <row r="125" spans="1:28" ht="15.75" customHeight="1" x14ac:dyDescent="0.25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7"/>
      <c r="Y125" s="8"/>
      <c r="Z125" s="8"/>
      <c r="AA125" s="8"/>
      <c r="AB125" s="8"/>
    </row>
    <row r="126" spans="1:28" ht="15.75" customHeight="1" x14ac:dyDescent="0.25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7"/>
      <c r="Y126" s="8"/>
      <c r="Z126" s="8"/>
      <c r="AA126" s="8"/>
      <c r="AB126" s="8"/>
    </row>
    <row r="127" spans="1:28" ht="15.75" customHeight="1" x14ac:dyDescent="0.25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7"/>
      <c r="Y127" s="8"/>
      <c r="Z127" s="8"/>
      <c r="AA127" s="8"/>
      <c r="AB127" s="8"/>
    </row>
    <row r="128" spans="1:28" ht="15.75" customHeight="1" x14ac:dyDescent="0.25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7"/>
      <c r="Y128" s="8"/>
      <c r="Z128" s="8"/>
      <c r="AA128" s="8"/>
      <c r="AB128" s="8"/>
    </row>
    <row r="129" spans="1:28" ht="15.75" customHeight="1" x14ac:dyDescent="0.25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7"/>
      <c r="Y129" s="8"/>
      <c r="Z129" s="8"/>
      <c r="AA129" s="8"/>
      <c r="AB129" s="8"/>
    </row>
    <row r="130" spans="1:28" ht="15.75" customHeight="1" x14ac:dyDescent="0.25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7"/>
      <c r="Y130" s="8"/>
      <c r="Z130" s="8"/>
      <c r="AA130" s="8"/>
      <c r="AB130" s="8"/>
    </row>
    <row r="131" spans="1:28" ht="15.75" customHeight="1" x14ac:dyDescent="0.25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7"/>
      <c r="Y131" s="8"/>
      <c r="Z131" s="8"/>
      <c r="AA131" s="8"/>
      <c r="AB131" s="8"/>
    </row>
    <row r="132" spans="1:28" ht="15.75" customHeight="1" x14ac:dyDescent="0.25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7"/>
      <c r="Y132" s="8"/>
      <c r="Z132" s="8"/>
      <c r="AA132" s="8"/>
      <c r="AB132" s="8"/>
    </row>
    <row r="133" spans="1:28" ht="15.75" customHeight="1" x14ac:dyDescent="0.25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7"/>
      <c r="Y133" s="8"/>
      <c r="Z133" s="8"/>
      <c r="AA133" s="8"/>
      <c r="AB133" s="8"/>
    </row>
    <row r="134" spans="1:28" ht="15.75" customHeight="1" x14ac:dyDescent="0.25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7"/>
      <c r="Y134" s="8"/>
      <c r="Z134" s="8"/>
      <c r="AA134" s="8"/>
      <c r="AB134" s="8"/>
    </row>
    <row r="135" spans="1:28" ht="15.75" customHeight="1" x14ac:dyDescent="0.25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7"/>
      <c r="Y135" s="8"/>
      <c r="Z135" s="8"/>
      <c r="AA135" s="8"/>
      <c r="AB135" s="8"/>
    </row>
    <row r="136" spans="1:28" ht="15.75" customHeight="1" x14ac:dyDescent="0.25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7"/>
      <c r="Y136" s="8"/>
      <c r="Z136" s="8"/>
      <c r="AA136" s="8"/>
      <c r="AB136" s="8"/>
    </row>
    <row r="137" spans="1:28" ht="15.75" customHeight="1" x14ac:dyDescent="0.25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7"/>
      <c r="Y137" s="8"/>
      <c r="Z137" s="8"/>
      <c r="AA137" s="8"/>
      <c r="AB137" s="8"/>
    </row>
    <row r="138" spans="1:28" ht="15.75" customHeight="1" x14ac:dyDescent="0.25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7"/>
      <c r="Y138" s="8"/>
      <c r="Z138" s="8"/>
      <c r="AA138" s="8"/>
      <c r="AB138" s="8"/>
    </row>
    <row r="139" spans="1:28" ht="15.75" customHeight="1" x14ac:dyDescent="0.25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7"/>
      <c r="Y139" s="8"/>
      <c r="Z139" s="8"/>
      <c r="AA139" s="8"/>
      <c r="AB139" s="8"/>
    </row>
    <row r="140" spans="1:28" ht="15.75" customHeight="1" x14ac:dyDescent="0.25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7"/>
      <c r="Y140" s="8"/>
      <c r="Z140" s="8"/>
      <c r="AA140" s="8"/>
      <c r="AB140" s="8"/>
    </row>
    <row r="141" spans="1:28" ht="15.75" customHeight="1" x14ac:dyDescent="0.25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7"/>
      <c r="Y141" s="8"/>
      <c r="Z141" s="8"/>
      <c r="AA141" s="8"/>
      <c r="AB141" s="8"/>
    </row>
    <row r="142" spans="1:28" ht="15.75" customHeight="1" x14ac:dyDescent="0.25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7"/>
      <c r="Y142" s="8"/>
      <c r="Z142" s="8"/>
      <c r="AA142" s="8"/>
      <c r="AB142" s="8"/>
    </row>
    <row r="143" spans="1:28" ht="15.75" customHeight="1" x14ac:dyDescent="0.25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7"/>
      <c r="Y143" s="8"/>
      <c r="Z143" s="8"/>
      <c r="AA143" s="8"/>
      <c r="AB143" s="8"/>
    </row>
    <row r="144" spans="1:28" ht="15.75" customHeight="1" x14ac:dyDescent="0.25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7"/>
      <c r="Y144" s="8"/>
      <c r="Z144" s="8"/>
      <c r="AA144" s="8"/>
      <c r="AB144" s="8"/>
    </row>
    <row r="145" spans="1:28" ht="15.75" customHeight="1" x14ac:dyDescent="0.25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7"/>
      <c r="Y145" s="8"/>
      <c r="Z145" s="8"/>
      <c r="AA145" s="8"/>
      <c r="AB145" s="8"/>
    </row>
    <row r="146" spans="1:28" ht="15.75" customHeight="1" x14ac:dyDescent="0.25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7"/>
      <c r="Y146" s="8"/>
      <c r="Z146" s="8"/>
      <c r="AA146" s="8"/>
      <c r="AB146" s="8"/>
    </row>
    <row r="147" spans="1:28" ht="15.75" customHeight="1" x14ac:dyDescent="0.25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7"/>
      <c r="Y147" s="8"/>
      <c r="Z147" s="8"/>
      <c r="AA147" s="8"/>
      <c r="AB147" s="8"/>
    </row>
    <row r="148" spans="1:28" ht="15.75" customHeight="1" x14ac:dyDescent="0.25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7"/>
      <c r="Y148" s="8"/>
      <c r="Z148" s="8"/>
      <c r="AA148" s="8"/>
      <c r="AB148" s="8"/>
    </row>
    <row r="149" spans="1:28" ht="15.75" customHeight="1" x14ac:dyDescent="0.25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7"/>
      <c r="Y149" s="8"/>
      <c r="Z149" s="8"/>
      <c r="AA149" s="8"/>
      <c r="AB149" s="8"/>
    </row>
    <row r="150" spans="1:28" ht="15.75" customHeight="1" x14ac:dyDescent="0.25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7"/>
      <c r="Y150" s="8"/>
      <c r="Z150" s="8"/>
      <c r="AA150" s="8"/>
      <c r="AB150" s="8"/>
    </row>
    <row r="151" spans="1:28" ht="15.75" customHeight="1" x14ac:dyDescent="0.25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7"/>
      <c r="Y151" s="8"/>
      <c r="Z151" s="8"/>
      <c r="AA151" s="8"/>
      <c r="AB151" s="8"/>
    </row>
    <row r="152" spans="1:28" ht="15.75" customHeight="1" x14ac:dyDescent="0.25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7"/>
      <c r="Y152" s="8"/>
      <c r="Z152" s="8"/>
      <c r="AA152" s="8"/>
      <c r="AB152" s="8"/>
    </row>
    <row r="153" spans="1:28" ht="15.75" customHeight="1" x14ac:dyDescent="0.25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7"/>
      <c r="Y153" s="8"/>
      <c r="Z153" s="8"/>
      <c r="AA153" s="8"/>
      <c r="AB153" s="8"/>
    </row>
    <row r="154" spans="1:28" ht="15.75" customHeight="1" x14ac:dyDescent="0.25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7"/>
      <c r="Y154" s="8"/>
      <c r="Z154" s="8"/>
      <c r="AA154" s="8"/>
      <c r="AB154" s="8"/>
    </row>
    <row r="155" spans="1:28" ht="15.75" customHeight="1" x14ac:dyDescent="0.25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7"/>
      <c r="Y155" s="8"/>
      <c r="Z155" s="8"/>
      <c r="AA155" s="8"/>
      <c r="AB155" s="8"/>
    </row>
    <row r="156" spans="1:28" ht="15.75" customHeight="1" x14ac:dyDescent="0.25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7"/>
      <c r="Y156" s="8"/>
      <c r="Z156" s="8"/>
      <c r="AA156" s="8"/>
      <c r="AB156" s="8"/>
    </row>
    <row r="157" spans="1:28" ht="15.75" customHeight="1" x14ac:dyDescent="0.25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7"/>
      <c r="Y157" s="8"/>
      <c r="Z157" s="8"/>
      <c r="AA157" s="8"/>
      <c r="AB157" s="8"/>
    </row>
    <row r="158" spans="1:28" ht="15.75" customHeight="1" x14ac:dyDescent="0.25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7"/>
      <c r="Y158" s="8"/>
      <c r="Z158" s="8"/>
      <c r="AA158" s="8"/>
      <c r="AB158" s="8"/>
    </row>
    <row r="159" spans="1:28" ht="15.75" customHeight="1" x14ac:dyDescent="0.25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7"/>
      <c r="Y159" s="8"/>
      <c r="Z159" s="8"/>
      <c r="AA159" s="8"/>
      <c r="AB159" s="8"/>
    </row>
    <row r="160" spans="1:28" ht="15.75" customHeight="1" x14ac:dyDescent="0.25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7"/>
      <c r="Y160" s="8"/>
      <c r="Z160" s="8"/>
      <c r="AA160" s="8"/>
      <c r="AB160" s="8"/>
    </row>
    <row r="161" spans="1:28" ht="15.75" customHeight="1" x14ac:dyDescent="0.25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7"/>
      <c r="Y161" s="8"/>
      <c r="Z161" s="8"/>
      <c r="AA161" s="8"/>
      <c r="AB161" s="8"/>
    </row>
    <row r="162" spans="1:28" ht="15.75" customHeight="1" x14ac:dyDescent="0.25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7"/>
      <c r="Y162" s="8"/>
      <c r="Z162" s="8"/>
      <c r="AA162" s="8"/>
      <c r="AB162" s="8"/>
    </row>
    <row r="163" spans="1:28" ht="15.75" customHeight="1" x14ac:dyDescent="0.25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7"/>
      <c r="Y163" s="8"/>
      <c r="Z163" s="8"/>
      <c r="AA163" s="8"/>
      <c r="AB163" s="8"/>
    </row>
    <row r="164" spans="1:28" ht="15.75" customHeight="1" x14ac:dyDescent="0.25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7"/>
      <c r="Y164" s="8"/>
      <c r="Z164" s="8"/>
      <c r="AA164" s="8"/>
      <c r="AB164" s="8"/>
    </row>
    <row r="165" spans="1:28" ht="15.75" customHeight="1" x14ac:dyDescent="0.25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7"/>
      <c r="Y165" s="8"/>
      <c r="Z165" s="8"/>
      <c r="AA165" s="8"/>
      <c r="AB165" s="8"/>
    </row>
    <row r="166" spans="1:28" ht="15.75" customHeight="1" x14ac:dyDescent="0.25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7"/>
      <c r="Y166" s="8"/>
      <c r="Z166" s="8"/>
      <c r="AA166" s="8"/>
      <c r="AB166" s="8"/>
    </row>
    <row r="167" spans="1:28" ht="15.75" customHeight="1" x14ac:dyDescent="0.25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7"/>
      <c r="Y167" s="8"/>
      <c r="Z167" s="8"/>
      <c r="AA167" s="8"/>
      <c r="AB167" s="8"/>
    </row>
    <row r="168" spans="1:28" ht="15.75" customHeight="1" x14ac:dyDescent="0.25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7"/>
      <c r="Y168" s="8"/>
      <c r="Z168" s="8"/>
      <c r="AA168" s="8"/>
      <c r="AB168" s="8"/>
    </row>
    <row r="169" spans="1:28" ht="15.75" customHeight="1" x14ac:dyDescent="0.25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7"/>
      <c r="Y169" s="8"/>
      <c r="Z169" s="8"/>
      <c r="AA169" s="8"/>
      <c r="AB169" s="8"/>
    </row>
    <row r="170" spans="1:28" ht="15.75" customHeight="1" x14ac:dyDescent="0.25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7"/>
      <c r="Y170" s="8"/>
      <c r="Z170" s="8"/>
      <c r="AA170" s="8"/>
      <c r="AB170" s="8"/>
    </row>
    <row r="171" spans="1:28" ht="15.75" customHeight="1" x14ac:dyDescent="0.25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7"/>
      <c r="Y171" s="8"/>
      <c r="Z171" s="8"/>
      <c r="AA171" s="8"/>
      <c r="AB171" s="8"/>
    </row>
    <row r="172" spans="1:28" ht="15.75" customHeight="1" x14ac:dyDescent="0.25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7"/>
      <c r="Y172" s="8"/>
      <c r="Z172" s="8"/>
      <c r="AA172" s="8"/>
      <c r="AB172" s="8"/>
    </row>
    <row r="173" spans="1:28" ht="15.75" customHeight="1" x14ac:dyDescent="0.25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7"/>
      <c r="Y173" s="8"/>
      <c r="Z173" s="8"/>
      <c r="AA173" s="8"/>
      <c r="AB173" s="8"/>
    </row>
    <row r="174" spans="1:28" ht="15.75" customHeight="1" x14ac:dyDescent="0.25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7"/>
      <c r="Y174" s="8"/>
      <c r="Z174" s="8"/>
      <c r="AA174" s="8"/>
      <c r="AB174" s="8"/>
    </row>
    <row r="175" spans="1:28" ht="15.75" customHeight="1" x14ac:dyDescent="0.25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7"/>
      <c r="Y175" s="8"/>
      <c r="Z175" s="8"/>
      <c r="AA175" s="8"/>
      <c r="AB175" s="8"/>
    </row>
    <row r="176" spans="1:28" ht="15.75" customHeight="1" x14ac:dyDescent="0.25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7"/>
      <c r="Y176" s="8"/>
      <c r="Z176" s="8"/>
      <c r="AA176" s="8"/>
      <c r="AB176" s="8"/>
    </row>
    <row r="177" spans="1:28" ht="15.75" customHeight="1" x14ac:dyDescent="0.25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7"/>
      <c r="Y177" s="8"/>
      <c r="Z177" s="8"/>
      <c r="AA177" s="8"/>
      <c r="AB177" s="8"/>
    </row>
    <row r="178" spans="1:28" ht="15.75" customHeight="1" x14ac:dyDescent="0.25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7"/>
      <c r="Y178" s="8"/>
      <c r="Z178" s="8"/>
      <c r="AA178" s="8"/>
      <c r="AB178" s="8"/>
    </row>
    <row r="179" spans="1:28" ht="15.75" customHeight="1" x14ac:dyDescent="0.25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7"/>
      <c r="Y179" s="8"/>
      <c r="Z179" s="8"/>
      <c r="AA179" s="8"/>
      <c r="AB179" s="8"/>
    </row>
    <row r="180" spans="1:28" ht="15.75" customHeight="1" x14ac:dyDescent="0.25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7"/>
      <c r="Y180" s="8"/>
      <c r="Z180" s="8"/>
      <c r="AA180" s="8"/>
      <c r="AB180" s="8"/>
    </row>
    <row r="181" spans="1:28" ht="15.75" customHeight="1" x14ac:dyDescent="0.25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7"/>
      <c r="Y181" s="8"/>
      <c r="Z181" s="8"/>
      <c r="AA181" s="8"/>
      <c r="AB181" s="8"/>
    </row>
    <row r="182" spans="1:28" ht="15.75" customHeight="1" x14ac:dyDescent="0.25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7"/>
      <c r="Y182" s="8"/>
      <c r="Z182" s="8"/>
      <c r="AA182" s="8"/>
      <c r="AB182" s="8"/>
    </row>
    <row r="183" spans="1:28" ht="15.75" customHeight="1" x14ac:dyDescent="0.25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7"/>
      <c r="Y183" s="8"/>
      <c r="Z183" s="8"/>
      <c r="AA183" s="8"/>
      <c r="AB183" s="8"/>
    </row>
    <row r="184" spans="1:28" ht="15.75" customHeight="1" x14ac:dyDescent="0.25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7"/>
      <c r="Y184" s="8"/>
      <c r="Z184" s="8"/>
      <c r="AA184" s="8"/>
      <c r="AB184" s="8"/>
    </row>
    <row r="185" spans="1:28" ht="15.75" customHeight="1" x14ac:dyDescent="0.25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7"/>
      <c r="Y185" s="8"/>
      <c r="Z185" s="8"/>
      <c r="AA185" s="8"/>
      <c r="AB185" s="8"/>
    </row>
    <row r="186" spans="1:28" ht="15.75" customHeight="1" x14ac:dyDescent="0.25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7"/>
      <c r="Y186" s="8"/>
      <c r="Z186" s="8"/>
      <c r="AA186" s="8"/>
      <c r="AB186" s="8"/>
    </row>
    <row r="187" spans="1:28" ht="15.75" customHeight="1" x14ac:dyDescent="0.25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7"/>
      <c r="Y187" s="8"/>
      <c r="Z187" s="8"/>
      <c r="AA187" s="8"/>
      <c r="AB187" s="8"/>
    </row>
    <row r="188" spans="1:28" ht="15.75" customHeight="1" x14ac:dyDescent="0.25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7"/>
      <c r="Y188" s="8"/>
      <c r="Z188" s="8"/>
      <c r="AA188" s="8"/>
      <c r="AB188" s="8"/>
    </row>
    <row r="189" spans="1:28" ht="15.75" customHeight="1" x14ac:dyDescent="0.25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7"/>
      <c r="Y189" s="8"/>
      <c r="Z189" s="8"/>
      <c r="AA189" s="8"/>
      <c r="AB189" s="8"/>
    </row>
    <row r="190" spans="1:28" ht="15.75" customHeight="1" x14ac:dyDescent="0.25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7"/>
      <c r="Y190" s="8"/>
      <c r="Z190" s="8"/>
      <c r="AA190" s="8"/>
      <c r="AB190" s="8"/>
    </row>
    <row r="191" spans="1:28" ht="15.75" customHeight="1" x14ac:dyDescent="0.25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7"/>
      <c r="Y191" s="8"/>
      <c r="Z191" s="8"/>
      <c r="AA191" s="8"/>
      <c r="AB191" s="8"/>
    </row>
    <row r="192" spans="1:28" ht="15.75" customHeight="1" x14ac:dyDescent="0.25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7"/>
      <c r="Y192" s="8"/>
      <c r="Z192" s="8"/>
      <c r="AA192" s="8"/>
      <c r="AB192" s="8"/>
    </row>
    <row r="193" spans="1:28" ht="15.75" customHeight="1" x14ac:dyDescent="0.25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7"/>
      <c r="Y193" s="8"/>
      <c r="Z193" s="8"/>
      <c r="AA193" s="8"/>
      <c r="AB193" s="8"/>
    </row>
    <row r="194" spans="1:28" ht="15.75" customHeight="1" x14ac:dyDescent="0.25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7"/>
      <c r="Y194" s="8"/>
      <c r="Z194" s="8"/>
      <c r="AA194" s="8"/>
      <c r="AB194" s="8"/>
    </row>
    <row r="195" spans="1:28" ht="15.75" customHeight="1" x14ac:dyDescent="0.25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7"/>
      <c r="Y195" s="8"/>
      <c r="Z195" s="8"/>
      <c r="AA195" s="8"/>
      <c r="AB195" s="8"/>
    </row>
    <row r="196" spans="1:28" ht="15.75" customHeight="1" x14ac:dyDescent="0.25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7"/>
      <c r="Y196" s="8"/>
      <c r="Z196" s="8"/>
      <c r="AA196" s="8"/>
      <c r="AB196" s="8"/>
    </row>
    <row r="197" spans="1:28" ht="15.75" customHeight="1" x14ac:dyDescent="0.25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7"/>
      <c r="Y197" s="8"/>
      <c r="Z197" s="8"/>
      <c r="AA197" s="8"/>
      <c r="AB197" s="8"/>
    </row>
    <row r="198" spans="1:28" ht="15.75" customHeight="1" x14ac:dyDescent="0.25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7"/>
      <c r="Y198" s="8"/>
      <c r="Z198" s="8"/>
      <c r="AA198" s="8"/>
      <c r="AB198" s="8"/>
    </row>
    <row r="199" spans="1:28" ht="15.75" customHeight="1" x14ac:dyDescent="0.25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7"/>
      <c r="Y199" s="8"/>
      <c r="Z199" s="8"/>
      <c r="AA199" s="8"/>
      <c r="AB199" s="8"/>
    </row>
    <row r="200" spans="1:28" ht="15.75" customHeight="1" x14ac:dyDescent="0.25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7"/>
      <c r="Y200" s="8"/>
      <c r="Z200" s="8"/>
      <c r="AA200" s="8"/>
      <c r="AB200" s="8"/>
    </row>
    <row r="201" spans="1:28" ht="15.75" customHeight="1" x14ac:dyDescent="0.25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7"/>
      <c r="Y201" s="8"/>
      <c r="Z201" s="8"/>
      <c r="AA201" s="8"/>
      <c r="AB201" s="8"/>
    </row>
    <row r="202" spans="1:28" ht="15.75" customHeight="1" x14ac:dyDescent="0.25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7"/>
      <c r="Y202" s="8"/>
      <c r="Z202" s="8"/>
      <c r="AA202" s="8"/>
      <c r="AB202" s="8"/>
    </row>
    <row r="203" spans="1:28" ht="15.75" customHeight="1" x14ac:dyDescent="0.25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7"/>
      <c r="Y203" s="8"/>
      <c r="Z203" s="8"/>
      <c r="AA203" s="8"/>
      <c r="AB203" s="8"/>
    </row>
    <row r="204" spans="1:28" ht="15.75" customHeight="1" x14ac:dyDescent="0.25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7"/>
      <c r="Y204" s="8"/>
      <c r="Z204" s="8"/>
      <c r="AA204" s="8"/>
      <c r="AB204" s="8"/>
    </row>
    <row r="205" spans="1:28" ht="15.75" customHeight="1" x14ac:dyDescent="0.25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7"/>
      <c r="Y205" s="8"/>
      <c r="Z205" s="8"/>
      <c r="AA205" s="8"/>
      <c r="AB205" s="8"/>
    </row>
    <row r="206" spans="1:28" ht="15.75" customHeight="1" x14ac:dyDescent="0.25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7"/>
      <c r="Y206" s="8"/>
      <c r="Z206" s="8"/>
      <c r="AA206" s="8"/>
      <c r="AB206" s="8"/>
    </row>
    <row r="207" spans="1:28" ht="15.75" customHeight="1" x14ac:dyDescent="0.25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7"/>
      <c r="Y207" s="8"/>
      <c r="Z207" s="8"/>
      <c r="AA207" s="8"/>
      <c r="AB207" s="8"/>
    </row>
    <row r="208" spans="1:28" ht="15.75" customHeight="1" x14ac:dyDescent="0.25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7"/>
      <c r="Y208" s="8"/>
      <c r="Z208" s="8"/>
      <c r="AA208" s="8"/>
      <c r="AB208" s="8"/>
    </row>
    <row r="209" spans="1:28" ht="15.75" customHeight="1" x14ac:dyDescent="0.25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7"/>
      <c r="Y209" s="8"/>
      <c r="Z209" s="8"/>
      <c r="AA209" s="8"/>
      <c r="AB209" s="8"/>
    </row>
    <row r="210" spans="1:28" ht="15.75" customHeight="1" x14ac:dyDescent="0.25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7"/>
      <c r="Y210" s="8"/>
      <c r="Z210" s="8"/>
      <c r="AA210" s="8"/>
      <c r="AB210" s="8"/>
    </row>
    <row r="211" spans="1:28" ht="15.75" customHeight="1" x14ac:dyDescent="0.25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7"/>
      <c r="Y211" s="8"/>
      <c r="Z211" s="8"/>
      <c r="AA211" s="8"/>
      <c r="AB211" s="8"/>
    </row>
    <row r="212" spans="1:28" ht="15.75" customHeight="1" x14ac:dyDescent="0.25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7"/>
      <c r="Y212" s="8"/>
      <c r="Z212" s="8"/>
      <c r="AA212" s="8"/>
      <c r="AB212" s="8"/>
    </row>
    <row r="213" spans="1:28" ht="15.75" customHeight="1" x14ac:dyDescent="0.25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7"/>
      <c r="Y213" s="8"/>
      <c r="Z213" s="8"/>
      <c r="AA213" s="8"/>
      <c r="AB213" s="8"/>
    </row>
    <row r="214" spans="1:28" ht="15.75" customHeight="1" x14ac:dyDescent="0.25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7"/>
      <c r="Y214" s="8"/>
      <c r="Z214" s="8"/>
      <c r="AA214" s="8"/>
      <c r="AB214" s="8"/>
    </row>
    <row r="215" spans="1:28" ht="15.75" customHeight="1" x14ac:dyDescent="0.25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7"/>
      <c r="Y215" s="8"/>
      <c r="Z215" s="8"/>
      <c r="AA215" s="8"/>
      <c r="AB215" s="8"/>
    </row>
    <row r="216" spans="1:28" ht="15.75" customHeight="1" x14ac:dyDescent="0.25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7"/>
      <c r="Y216" s="8"/>
      <c r="Z216" s="8"/>
      <c r="AA216" s="8"/>
      <c r="AB216" s="8"/>
    </row>
    <row r="217" spans="1:28" ht="15.75" customHeight="1" x14ac:dyDescent="0.25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7"/>
      <c r="Y217" s="8"/>
      <c r="Z217" s="8"/>
      <c r="AA217" s="8"/>
      <c r="AB217" s="8"/>
    </row>
    <row r="218" spans="1:28" ht="15.75" customHeight="1" x14ac:dyDescent="0.25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7"/>
      <c r="Y218" s="8"/>
      <c r="Z218" s="8"/>
      <c r="AA218" s="8"/>
      <c r="AB218" s="8"/>
    </row>
    <row r="219" spans="1:28" ht="15.75" customHeight="1" x14ac:dyDescent="0.25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7"/>
      <c r="Y219" s="8"/>
      <c r="Z219" s="8"/>
      <c r="AA219" s="8"/>
      <c r="AB219" s="8"/>
    </row>
    <row r="220" spans="1:28" ht="15.75" customHeight="1" x14ac:dyDescent="0.25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7"/>
      <c r="Y220" s="8"/>
      <c r="Z220" s="8"/>
      <c r="AA220" s="8"/>
      <c r="AB220" s="8"/>
    </row>
    <row r="221" spans="1:28" ht="15.75" customHeight="1" x14ac:dyDescent="0.25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7"/>
      <c r="Y221" s="8"/>
      <c r="Z221" s="8"/>
      <c r="AA221" s="8"/>
      <c r="AB221" s="8"/>
    </row>
    <row r="222" spans="1:28" ht="15.75" customHeight="1" x14ac:dyDescent="0.25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7"/>
      <c r="Y222" s="8"/>
      <c r="Z222" s="8"/>
      <c r="AA222" s="8"/>
      <c r="AB222" s="8"/>
    </row>
    <row r="223" spans="1:28" ht="15.75" customHeight="1" x14ac:dyDescent="0.25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7"/>
      <c r="Y223" s="8"/>
      <c r="Z223" s="8"/>
      <c r="AA223" s="8"/>
      <c r="AB223" s="8"/>
    </row>
    <row r="224" spans="1:28" ht="15.75" customHeight="1" x14ac:dyDescent="0.25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7"/>
      <c r="Y224" s="8"/>
      <c r="Z224" s="8"/>
      <c r="AA224" s="8"/>
      <c r="AB224" s="8"/>
    </row>
    <row r="225" spans="1:28" ht="15.75" customHeight="1" x14ac:dyDescent="0.25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7"/>
      <c r="Y225" s="8"/>
      <c r="Z225" s="8"/>
      <c r="AA225" s="8"/>
      <c r="AB225" s="8"/>
    </row>
    <row r="226" spans="1:28" ht="15.75" customHeight="1" x14ac:dyDescent="0.25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7"/>
      <c r="Y226" s="8"/>
      <c r="Z226" s="8"/>
      <c r="AA226" s="8"/>
      <c r="AB226" s="8"/>
    </row>
    <row r="227" spans="1:28" ht="15.75" customHeight="1" x14ac:dyDescent="0.25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7"/>
      <c r="Y227" s="8"/>
      <c r="Z227" s="8"/>
      <c r="AA227" s="8"/>
      <c r="AB227" s="8"/>
    </row>
    <row r="228" spans="1:28" ht="15.75" customHeight="1" x14ac:dyDescent="0.25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7"/>
      <c r="Y228" s="8"/>
      <c r="Z228" s="8"/>
      <c r="AA228" s="8"/>
      <c r="AB228" s="8"/>
    </row>
    <row r="229" spans="1:28" ht="15.75" customHeight="1" x14ac:dyDescent="0.25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7"/>
      <c r="Y229" s="8"/>
      <c r="Z229" s="8"/>
      <c r="AA229" s="8"/>
      <c r="AB229" s="8"/>
    </row>
    <row r="230" spans="1:28" ht="15.75" customHeight="1" x14ac:dyDescent="0.25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7"/>
      <c r="Y230" s="8"/>
      <c r="Z230" s="8"/>
      <c r="AA230" s="8"/>
      <c r="AB230" s="8"/>
    </row>
    <row r="231" spans="1:28" ht="15.75" customHeight="1" x14ac:dyDescent="0.25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7"/>
      <c r="Y231" s="8"/>
      <c r="Z231" s="8"/>
      <c r="AA231" s="8"/>
      <c r="AB231" s="8"/>
    </row>
    <row r="232" spans="1:28" ht="15.75" customHeight="1" x14ac:dyDescent="0.25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7"/>
      <c r="Y232" s="8"/>
      <c r="Z232" s="8"/>
      <c r="AA232" s="8"/>
      <c r="AB232" s="8"/>
    </row>
    <row r="233" spans="1:28" ht="15.75" customHeight="1" x14ac:dyDescent="0.25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7"/>
      <c r="Y233" s="8"/>
      <c r="Z233" s="8"/>
      <c r="AA233" s="8"/>
      <c r="AB233" s="8"/>
    </row>
    <row r="234" spans="1:28" ht="15.75" customHeight="1" x14ac:dyDescent="0.25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7"/>
      <c r="Y234" s="8"/>
      <c r="Z234" s="8"/>
      <c r="AA234" s="8"/>
      <c r="AB234" s="8"/>
    </row>
    <row r="235" spans="1:28" ht="15.75" customHeight="1" x14ac:dyDescent="0.25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7"/>
      <c r="Y235" s="8"/>
      <c r="Z235" s="8"/>
      <c r="AA235" s="8"/>
      <c r="AB235" s="8"/>
    </row>
    <row r="236" spans="1:28" ht="15.75" customHeight="1" x14ac:dyDescent="0.25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7"/>
      <c r="Y236" s="8"/>
      <c r="Z236" s="8"/>
      <c r="AA236" s="8"/>
      <c r="AB236" s="8"/>
    </row>
    <row r="237" spans="1:28" ht="15.75" customHeight="1" x14ac:dyDescent="0.25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7"/>
      <c r="Y237" s="8"/>
      <c r="Z237" s="8"/>
      <c r="AA237" s="8"/>
      <c r="AB237" s="8"/>
    </row>
    <row r="238" spans="1:28" ht="15.75" customHeight="1" x14ac:dyDescent="0.25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7"/>
      <c r="Y238" s="8"/>
      <c r="Z238" s="8"/>
      <c r="AA238" s="8"/>
      <c r="AB238" s="8"/>
    </row>
    <row r="239" spans="1:28" ht="15.75" customHeight="1" x14ac:dyDescent="0.25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7"/>
      <c r="Y239" s="8"/>
      <c r="Z239" s="8"/>
      <c r="AA239" s="8"/>
      <c r="AB239" s="8"/>
    </row>
    <row r="240" spans="1:28" ht="15.75" customHeight="1" x14ac:dyDescent="0.25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7"/>
      <c r="Y240" s="8"/>
      <c r="Z240" s="8"/>
      <c r="AA240" s="8"/>
      <c r="AB240" s="8"/>
    </row>
    <row r="241" spans="1:28" ht="15.75" customHeight="1" x14ac:dyDescent="0.25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7"/>
      <c r="Y241" s="8"/>
      <c r="Z241" s="8"/>
      <c r="AA241" s="8"/>
      <c r="AB241" s="8"/>
    </row>
    <row r="242" spans="1:28" ht="15.75" customHeight="1" x14ac:dyDescent="0.25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7"/>
      <c r="Y242" s="8"/>
      <c r="Z242" s="8"/>
      <c r="AA242" s="8"/>
      <c r="AB242" s="8"/>
    </row>
    <row r="243" spans="1:28" ht="15.75" customHeight="1" x14ac:dyDescent="0.25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7"/>
      <c r="Y243" s="8"/>
      <c r="Z243" s="8"/>
      <c r="AA243" s="8"/>
      <c r="AB243" s="8"/>
    </row>
    <row r="244" spans="1:28" ht="15.75" customHeight="1" x14ac:dyDescent="0.25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7"/>
      <c r="Y244" s="8"/>
      <c r="Z244" s="8"/>
      <c r="AA244" s="8"/>
      <c r="AB244" s="8"/>
    </row>
    <row r="245" spans="1:28" ht="15.75" customHeight="1" x14ac:dyDescent="0.25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7"/>
      <c r="Y245" s="8"/>
      <c r="Z245" s="8"/>
      <c r="AA245" s="8"/>
      <c r="AB245" s="8"/>
    </row>
    <row r="246" spans="1:28" ht="15.75" customHeight="1" x14ac:dyDescent="0.25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7"/>
      <c r="Y246" s="8"/>
      <c r="Z246" s="8"/>
      <c r="AA246" s="8"/>
      <c r="AB246" s="8"/>
    </row>
    <row r="247" spans="1:28" ht="15.75" customHeight="1" x14ac:dyDescent="0.25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7"/>
      <c r="Y247" s="8"/>
      <c r="Z247" s="8"/>
      <c r="AA247" s="8"/>
      <c r="AB247" s="8"/>
    </row>
    <row r="248" spans="1:28" ht="15.75" customHeight="1" x14ac:dyDescent="0.25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7"/>
      <c r="Y248" s="8"/>
      <c r="Z248" s="8"/>
      <c r="AA248" s="8"/>
      <c r="AB248" s="8"/>
    </row>
    <row r="249" spans="1:28" ht="15.75" customHeight="1" x14ac:dyDescent="0.25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7"/>
      <c r="Y249" s="8"/>
      <c r="Z249" s="8"/>
      <c r="AA249" s="8"/>
      <c r="AB249" s="8"/>
    </row>
    <row r="250" spans="1:28" ht="15.75" customHeight="1" x14ac:dyDescent="0.25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7"/>
      <c r="Y250" s="8"/>
      <c r="Z250" s="8"/>
      <c r="AA250" s="8"/>
      <c r="AB250" s="8"/>
    </row>
    <row r="251" spans="1:28" ht="15.75" customHeight="1" x14ac:dyDescent="0.25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7"/>
      <c r="Y251" s="8"/>
      <c r="Z251" s="8"/>
      <c r="AA251" s="8"/>
      <c r="AB251" s="8"/>
    </row>
    <row r="252" spans="1:28" ht="15.75" customHeight="1" x14ac:dyDescent="0.25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7"/>
      <c r="Y252" s="8"/>
      <c r="Z252" s="8"/>
      <c r="AA252" s="8"/>
      <c r="AB252" s="8"/>
    </row>
    <row r="253" spans="1:28" ht="15.75" customHeight="1" x14ac:dyDescent="0.25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7"/>
      <c r="Y253" s="8"/>
      <c r="Z253" s="8"/>
      <c r="AA253" s="8"/>
      <c r="AB253" s="8"/>
    </row>
    <row r="254" spans="1:28" ht="15.75" customHeight="1" x14ac:dyDescent="0.25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7"/>
      <c r="Y254" s="8"/>
      <c r="Z254" s="8"/>
      <c r="AA254" s="8"/>
      <c r="AB254" s="8"/>
    </row>
    <row r="255" spans="1:28" ht="15.75" customHeight="1" x14ac:dyDescent="0.25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7"/>
      <c r="Y255" s="8"/>
      <c r="Z255" s="8"/>
      <c r="AA255" s="8"/>
      <c r="AB255" s="8"/>
    </row>
    <row r="256" spans="1:28" ht="15.75" customHeight="1" x14ac:dyDescent="0.25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7"/>
      <c r="Y256" s="8"/>
      <c r="Z256" s="8"/>
      <c r="AA256" s="8"/>
      <c r="AB256" s="8"/>
    </row>
    <row r="257" spans="1:28" ht="15.75" customHeight="1" x14ac:dyDescent="0.25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7"/>
      <c r="Y257" s="8"/>
      <c r="Z257" s="8"/>
      <c r="AA257" s="8"/>
      <c r="AB257" s="8"/>
    </row>
    <row r="258" spans="1:28" ht="15.75" customHeight="1" x14ac:dyDescent="0.25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7"/>
      <c r="Y258" s="8"/>
      <c r="Z258" s="8"/>
      <c r="AA258" s="8"/>
      <c r="AB258" s="8"/>
    </row>
    <row r="259" spans="1:28" ht="15.75" customHeight="1" x14ac:dyDescent="0.25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7"/>
      <c r="Y259" s="8"/>
      <c r="Z259" s="8"/>
      <c r="AA259" s="8"/>
      <c r="AB259" s="8"/>
    </row>
    <row r="260" spans="1:28" ht="15.75" customHeight="1" x14ac:dyDescent="0.25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7"/>
      <c r="Y260" s="8"/>
      <c r="Z260" s="8"/>
      <c r="AA260" s="8"/>
      <c r="AB260" s="8"/>
    </row>
    <row r="261" spans="1:28" ht="15.75" customHeight="1" x14ac:dyDescent="0.25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7"/>
      <c r="Y261" s="8"/>
      <c r="Z261" s="8"/>
      <c r="AA261" s="8"/>
      <c r="AB261" s="8"/>
    </row>
    <row r="262" spans="1:28" ht="15.75" customHeight="1" x14ac:dyDescent="0.25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7"/>
      <c r="Y262" s="8"/>
      <c r="Z262" s="8"/>
      <c r="AA262" s="8"/>
      <c r="AB262" s="8"/>
    </row>
    <row r="263" spans="1:28" ht="15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5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5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5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5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5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5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5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5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5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5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5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5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5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5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5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5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5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5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5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5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5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5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5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5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5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5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5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5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5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5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5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5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5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5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5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5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5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5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5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5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5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5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5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5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5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5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5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5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5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5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5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5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5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5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5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5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5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5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5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5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5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5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5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5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5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5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5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5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5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5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5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5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5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5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5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5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5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5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5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5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5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5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5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5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5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5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5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5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5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5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5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5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5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5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5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5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5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5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5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5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5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5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5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5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5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5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5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5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5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5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5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5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5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5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5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5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5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5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5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5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5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5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5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5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5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5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5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5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5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5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5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5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5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5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5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5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5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5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5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5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5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5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5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5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5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5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5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5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5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5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5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5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5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5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5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5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5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5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5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5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5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5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5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5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5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5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5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5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5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5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5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5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5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5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5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5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5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5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5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5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5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5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5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5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5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5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5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5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5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5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5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5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5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5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5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5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5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5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5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5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5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5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5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5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5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5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5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5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5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5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5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5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5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5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5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5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5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5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5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5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5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5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5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5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5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5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5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5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5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5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5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5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5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5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5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5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5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5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5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5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5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5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5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5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5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5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5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5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5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5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5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5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5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5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5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5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5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5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5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5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5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5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5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5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5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5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5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5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5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5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5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5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5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5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5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5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5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5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5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5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5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5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5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5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5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5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5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5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5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5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5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5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5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5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5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5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5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5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5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5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5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5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5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5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5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5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5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5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5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5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5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5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5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5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5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5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5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5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5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5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5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5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5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5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5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5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5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5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5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5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5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5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5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5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5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5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5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5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5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5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5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5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5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5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5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5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5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5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5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5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5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5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5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5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5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5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5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5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5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5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5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5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5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5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5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5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5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5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5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5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5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5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5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5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5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5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5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5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5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5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5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5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5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5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5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5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5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5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5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5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5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5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5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5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5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5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5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5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5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5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5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5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5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5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5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5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5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5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5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5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5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5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5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5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5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5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5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5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5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5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5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5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5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5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5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5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5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5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5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5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5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5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5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5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5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5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5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5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5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5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5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5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5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5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5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5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5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5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5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5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5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5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5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5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5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5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5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5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5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5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5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5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5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5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5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5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5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5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5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5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5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5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5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5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5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5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5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5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5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5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5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5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5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5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5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5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5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5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5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5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5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5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5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5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5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5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5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5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5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5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5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5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5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5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5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5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5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5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5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5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5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5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5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5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5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5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5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5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5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5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5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5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5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5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5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5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5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5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5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5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5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5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5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5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5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5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5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5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5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5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5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5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5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5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5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5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5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5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5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5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5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5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5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5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5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5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5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5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5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5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5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5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5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5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5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5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5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5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5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5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5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5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5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5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5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5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5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5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5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5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5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5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5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5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5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5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5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5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5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5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5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5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5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5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5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5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5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5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5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5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5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5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5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5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5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5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5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5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5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5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5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5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5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5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5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5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5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5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5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5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5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5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5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5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5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5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5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5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5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5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5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5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5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5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5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5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5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5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5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5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5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5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5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5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5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5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5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5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5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5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5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5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5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5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5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5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5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5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5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5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5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5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5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5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5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5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5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5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5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5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5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5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5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5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5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5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5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5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5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5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5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5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5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5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5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5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5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5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5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5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5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5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5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5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5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5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5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5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5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5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5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5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5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5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5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5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5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5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5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5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5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5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5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5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5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5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5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5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5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5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5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5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5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5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5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5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5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5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5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5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5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sortState xmlns:xlrd2="http://schemas.microsoft.com/office/spreadsheetml/2017/richdata2" ref="A2:AB62">
    <sortCondition ref="A2:A62"/>
  </sortState>
  <printOptions horizontalCentered="1"/>
  <pageMargins left="0.25" right="0.25" top="0.75" bottom="0.75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B58" sqref="B58"/>
    </sheetView>
  </sheetViews>
  <sheetFormatPr defaultColWidth="14.42578125" defaultRowHeight="15" customHeight="1" x14ac:dyDescent="0.25"/>
  <cols>
    <col min="1" max="1" width="13.28515625" customWidth="1"/>
    <col min="2" max="2" width="23.5703125" customWidth="1"/>
    <col min="3" max="3" width="13.140625" customWidth="1"/>
    <col min="4" max="4" width="11" customWidth="1"/>
    <col min="5" max="5" width="20.5703125" customWidth="1"/>
    <col min="6" max="6" width="17.5703125" customWidth="1"/>
    <col min="7" max="9" width="13.28515625" customWidth="1"/>
    <col min="10" max="10" width="10" customWidth="1"/>
    <col min="11" max="11" width="14.5703125" customWidth="1"/>
    <col min="12" max="12" width="11" customWidth="1"/>
    <col min="13" max="14" width="10" customWidth="1"/>
    <col min="15" max="15" width="21.5703125" customWidth="1"/>
    <col min="16" max="16" width="11.140625" customWidth="1"/>
    <col min="17" max="17" width="19.42578125" customWidth="1"/>
    <col min="18" max="18" width="19.28515625" customWidth="1"/>
    <col min="19" max="19" width="26.5703125" customWidth="1"/>
    <col min="20" max="20" width="10" customWidth="1"/>
    <col min="21" max="21" width="33.42578125" customWidth="1"/>
    <col min="22" max="22" width="15.7109375" customWidth="1"/>
    <col min="23" max="23" width="11.28515625" customWidth="1"/>
    <col min="24" max="24" width="13.42578125" customWidth="1"/>
    <col min="25" max="25" width="19" customWidth="1"/>
    <col min="27" max="27" width="10.28515625" customWidth="1"/>
    <col min="28" max="28" width="15.140625" customWidth="1"/>
    <col min="29" max="29" width="10.28515625" customWidth="1"/>
    <col min="30" max="30" width="17.85546875" customWidth="1"/>
    <col min="31" max="31" width="10.28515625" customWidth="1"/>
    <col min="32" max="32" width="15.7109375" customWidth="1"/>
    <col min="33" max="33" width="10.28515625" customWidth="1"/>
    <col min="34" max="34" width="17.855468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129</v>
      </c>
      <c r="X1" s="2" t="s">
        <v>22</v>
      </c>
      <c r="Y1" s="2" t="s">
        <v>130</v>
      </c>
      <c r="Z1" s="2" t="s">
        <v>23</v>
      </c>
      <c r="AA1" s="10" t="s">
        <v>131</v>
      </c>
      <c r="AB1" s="4" t="s">
        <v>24</v>
      </c>
      <c r="AC1" s="10" t="s">
        <v>131</v>
      </c>
      <c r="AD1" s="4" t="s">
        <v>25</v>
      </c>
      <c r="AE1" s="10" t="s">
        <v>131</v>
      </c>
      <c r="AF1" s="4" t="s">
        <v>26</v>
      </c>
      <c r="AG1" s="10" t="s">
        <v>131</v>
      </c>
      <c r="AH1" s="4" t="s">
        <v>27</v>
      </c>
    </row>
    <row r="2" spans="1:34" x14ac:dyDescent="0.25">
      <c r="A2" s="5" t="s">
        <v>805</v>
      </c>
      <c r="B2" s="5" t="s">
        <v>73</v>
      </c>
      <c r="C2" s="5" t="s">
        <v>74</v>
      </c>
      <c r="D2" s="6">
        <f t="shared" ref="D2:D33" si="0">SUM(F2:Z2)</f>
        <v>24500</v>
      </c>
      <c r="E2" s="6">
        <f t="shared" ref="E2:E33" si="1">D2-(AB2+AD2+AF2+AH2)</f>
        <v>0</v>
      </c>
      <c r="F2" s="6">
        <v>0</v>
      </c>
      <c r="G2" s="6">
        <v>18500</v>
      </c>
      <c r="H2" s="6">
        <v>1500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4500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7"/>
      <c r="AA2" s="11">
        <v>44581</v>
      </c>
      <c r="AB2" s="8">
        <v>10000</v>
      </c>
      <c r="AC2" s="11">
        <v>44617</v>
      </c>
      <c r="AD2" s="8">
        <v>14500</v>
      </c>
      <c r="AE2" s="11"/>
      <c r="AF2" s="8"/>
      <c r="AG2" s="11"/>
      <c r="AH2" s="8"/>
    </row>
    <row r="3" spans="1:34" x14ac:dyDescent="0.25">
      <c r="A3" s="5" t="s">
        <v>77</v>
      </c>
      <c r="B3" s="5" t="s">
        <v>78</v>
      </c>
      <c r="C3" s="5" t="s">
        <v>79</v>
      </c>
      <c r="D3" s="6">
        <f t="shared" si="0"/>
        <v>20000</v>
      </c>
      <c r="E3" s="6">
        <f t="shared" si="1"/>
        <v>0</v>
      </c>
      <c r="F3" s="6">
        <v>0</v>
      </c>
      <c r="G3" s="6">
        <v>18500</v>
      </c>
      <c r="H3" s="6">
        <v>1500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7"/>
      <c r="AA3" s="11">
        <v>44578</v>
      </c>
      <c r="AB3" s="8">
        <v>10000</v>
      </c>
      <c r="AC3" s="11">
        <v>44619</v>
      </c>
      <c r="AD3" s="8">
        <v>10000</v>
      </c>
      <c r="AE3" s="11"/>
      <c r="AF3" s="8"/>
      <c r="AG3" s="11"/>
      <c r="AH3" s="8"/>
    </row>
    <row r="4" spans="1:34" x14ac:dyDescent="0.25">
      <c r="A4" s="5" t="s">
        <v>61</v>
      </c>
      <c r="B4" s="5" t="s">
        <v>62</v>
      </c>
      <c r="C4" s="5" t="s">
        <v>63</v>
      </c>
      <c r="D4" s="6">
        <f t="shared" si="0"/>
        <v>19000</v>
      </c>
      <c r="E4" s="6">
        <f t="shared" si="1"/>
        <v>0</v>
      </c>
      <c r="F4" s="6">
        <v>0</v>
      </c>
      <c r="G4" s="6">
        <v>16500</v>
      </c>
      <c r="H4" s="6">
        <v>1500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500</v>
      </c>
      <c r="T4" s="6">
        <v>500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7"/>
      <c r="AA4" s="11">
        <v>44562</v>
      </c>
      <c r="AB4" s="8">
        <v>10000</v>
      </c>
      <c r="AC4" s="11">
        <v>44596</v>
      </c>
      <c r="AD4" s="8">
        <v>5000</v>
      </c>
      <c r="AE4" s="11">
        <v>44614</v>
      </c>
      <c r="AF4" s="8">
        <v>4000</v>
      </c>
      <c r="AG4" s="11"/>
      <c r="AH4" s="8"/>
    </row>
    <row r="5" spans="1:34" x14ac:dyDescent="0.25">
      <c r="A5" s="5" t="s">
        <v>64</v>
      </c>
      <c r="B5" s="5" t="s">
        <v>65</v>
      </c>
      <c r="C5" s="5" t="s">
        <v>63</v>
      </c>
      <c r="D5" s="6">
        <f t="shared" si="0"/>
        <v>25500</v>
      </c>
      <c r="E5" s="6">
        <f t="shared" si="1"/>
        <v>0</v>
      </c>
      <c r="F5" s="6">
        <v>0</v>
      </c>
      <c r="G5" s="6">
        <v>18500</v>
      </c>
      <c r="H5" s="6">
        <v>1500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4500</v>
      </c>
      <c r="S5" s="6">
        <v>500</v>
      </c>
      <c r="T5" s="6">
        <v>500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7"/>
      <c r="AA5" s="11">
        <v>44580</v>
      </c>
      <c r="AB5" s="8">
        <v>25500</v>
      </c>
      <c r="AC5" s="11"/>
      <c r="AD5" s="8"/>
      <c r="AE5" s="11"/>
      <c r="AF5" s="8"/>
      <c r="AG5" s="11"/>
      <c r="AH5" s="8"/>
    </row>
    <row r="6" spans="1:34" x14ac:dyDescent="0.25">
      <c r="A6" s="5" t="s">
        <v>38</v>
      </c>
      <c r="B6" s="5" t="s">
        <v>39</v>
      </c>
      <c r="C6" s="5" t="s">
        <v>40</v>
      </c>
      <c r="D6" s="6">
        <f t="shared" si="0"/>
        <v>31000</v>
      </c>
      <c r="E6" s="6">
        <f t="shared" si="1"/>
        <v>100</v>
      </c>
      <c r="F6" s="6">
        <v>0</v>
      </c>
      <c r="G6" s="6">
        <v>22500</v>
      </c>
      <c r="H6" s="6">
        <v>2500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2000</v>
      </c>
      <c r="P6" s="6">
        <v>0</v>
      </c>
      <c r="Q6" s="6">
        <v>0</v>
      </c>
      <c r="R6" s="6">
        <v>0</v>
      </c>
      <c r="S6" s="6">
        <v>2500</v>
      </c>
      <c r="T6" s="6">
        <v>1500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7"/>
      <c r="AA6" s="11">
        <v>44568</v>
      </c>
      <c r="AB6" s="8">
        <v>9900</v>
      </c>
      <c r="AC6" s="11">
        <v>44618</v>
      </c>
      <c r="AD6" s="8">
        <v>11000</v>
      </c>
      <c r="AE6" s="11">
        <v>44618</v>
      </c>
      <c r="AF6" s="8">
        <v>10000</v>
      </c>
      <c r="AG6" s="11"/>
      <c r="AH6" s="8"/>
    </row>
    <row r="7" spans="1:34" x14ac:dyDescent="0.25">
      <c r="A7" s="5" t="s">
        <v>38</v>
      </c>
      <c r="B7" s="5" t="s">
        <v>90</v>
      </c>
      <c r="C7" s="5" t="s">
        <v>105</v>
      </c>
      <c r="D7" s="6">
        <f t="shared" si="0"/>
        <v>24000</v>
      </c>
      <c r="E7" s="6">
        <f t="shared" si="1"/>
        <v>0</v>
      </c>
      <c r="F7" s="6">
        <v>0</v>
      </c>
      <c r="G7" s="6">
        <v>18500</v>
      </c>
      <c r="H7" s="6">
        <v>2000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1500</v>
      </c>
      <c r="P7" s="6">
        <v>0</v>
      </c>
      <c r="Q7" s="6">
        <v>0</v>
      </c>
      <c r="R7" s="6">
        <v>0</v>
      </c>
      <c r="S7" s="6">
        <v>1000</v>
      </c>
      <c r="T7" s="6">
        <v>1000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7"/>
      <c r="AA7" s="11">
        <v>44568</v>
      </c>
      <c r="AB7" s="8">
        <v>24000</v>
      </c>
      <c r="AC7" s="11">
        <v>44618</v>
      </c>
      <c r="AD7" s="8">
        <v>0</v>
      </c>
      <c r="AE7" s="11">
        <v>44618</v>
      </c>
      <c r="AF7" s="8">
        <v>0</v>
      </c>
      <c r="AG7" s="11"/>
      <c r="AH7" s="8"/>
    </row>
    <row r="8" spans="1:34" x14ac:dyDescent="0.25">
      <c r="A8" s="5" t="s">
        <v>47</v>
      </c>
      <c r="B8" s="5" t="s">
        <v>48</v>
      </c>
      <c r="C8" s="5" t="s">
        <v>49</v>
      </c>
      <c r="D8" s="6">
        <f t="shared" si="0"/>
        <v>52150</v>
      </c>
      <c r="E8" s="6">
        <f t="shared" si="1"/>
        <v>150</v>
      </c>
      <c r="F8" s="6">
        <v>0</v>
      </c>
      <c r="G8" s="6">
        <v>33750</v>
      </c>
      <c r="H8" s="6">
        <v>2500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2000</v>
      </c>
      <c r="P8" s="6">
        <v>0</v>
      </c>
      <c r="Q8" s="6">
        <v>0</v>
      </c>
      <c r="R8" s="6">
        <v>0</v>
      </c>
      <c r="S8" s="6">
        <v>2500</v>
      </c>
      <c r="T8" s="6">
        <v>1500</v>
      </c>
      <c r="U8" s="6">
        <v>3500</v>
      </c>
      <c r="V8" s="6">
        <v>0</v>
      </c>
      <c r="W8" s="6">
        <v>0</v>
      </c>
      <c r="X8" s="6">
        <v>0</v>
      </c>
      <c r="Y8" s="6">
        <v>0</v>
      </c>
      <c r="Z8" s="7">
        <v>6400</v>
      </c>
      <c r="AA8" s="11">
        <v>44571</v>
      </c>
      <c r="AB8" s="8">
        <v>6000</v>
      </c>
      <c r="AC8" s="11">
        <v>44586</v>
      </c>
      <c r="AD8" s="8">
        <v>30000</v>
      </c>
      <c r="AE8" s="11">
        <v>44620</v>
      </c>
      <c r="AF8" s="8">
        <v>12000</v>
      </c>
      <c r="AG8" s="11">
        <v>44645</v>
      </c>
      <c r="AH8" s="8">
        <v>4000</v>
      </c>
    </row>
    <row r="9" spans="1:34" x14ac:dyDescent="0.25">
      <c r="A9" s="5" t="s">
        <v>75</v>
      </c>
      <c r="B9" s="5" t="s">
        <v>29</v>
      </c>
      <c r="C9" s="5" t="s">
        <v>74</v>
      </c>
      <c r="D9" s="6">
        <f t="shared" si="0"/>
        <v>58700</v>
      </c>
      <c r="E9" s="6">
        <f t="shared" si="1"/>
        <v>8700</v>
      </c>
      <c r="F9" s="6">
        <v>0</v>
      </c>
      <c r="G9" s="6">
        <v>12500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7">
        <v>46200</v>
      </c>
      <c r="AA9" s="11">
        <v>44620</v>
      </c>
      <c r="AB9" s="8">
        <v>50000</v>
      </c>
      <c r="AC9" s="11"/>
      <c r="AD9" s="8"/>
      <c r="AE9" s="11"/>
      <c r="AF9" s="8"/>
      <c r="AG9" s="11"/>
      <c r="AH9" s="8"/>
    </row>
    <row r="10" spans="1:34" x14ac:dyDescent="0.25">
      <c r="A10" s="5" t="s">
        <v>75</v>
      </c>
      <c r="B10" s="5" t="s">
        <v>42</v>
      </c>
      <c r="C10" s="5" t="s">
        <v>74</v>
      </c>
      <c r="D10" s="6">
        <f t="shared" si="0"/>
        <v>12500</v>
      </c>
      <c r="E10" s="6">
        <f t="shared" si="1"/>
        <v>12500</v>
      </c>
      <c r="F10" s="6">
        <v>0</v>
      </c>
      <c r="G10" s="6">
        <v>12500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7"/>
      <c r="AA10" s="11">
        <v>44620</v>
      </c>
      <c r="AB10" s="8">
        <v>0</v>
      </c>
      <c r="AC10" s="11"/>
      <c r="AD10" s="8"/>
      <c r="AE10" s="11"/>
      <c r="AF10" s="8"/>
      <c r="AG10" s="11"/>
      <c r="AH10" s="8"/>
    </row>
    <row r="11" spans="1:34" x14ac:dyDescent="0.25">
      <c r="A11" s="5" t="s">
        <v>75</v>
      </c>
      <c r="B11" s="5" t="s">
        <v>98</v>
      </c>
      <c r="C11" s="5" t="s">
        <v>99</v>
      </c>
      <c r="D11" s="6">
        <f t="shared" si="0"/>
        <v>23500</v>
      </c>
      <c r="E11" s="6">
        <f t="shared" si="1"/>
        <v>23500</v>
      </c>
      <c r="F11" s="6">
        <v>0</v>
      </c>
      <c r="G11" s="6">
        <v>18500</v>
      </c>
      <c r="H11" s="6">
        <v>2000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1000</v>
      </c>
      <c r="P11" s="6">
        <v>0</v>
      </c>
      <c r="Q11" s="6">
        <v>0</v>
      </c>
      <c r="R11" s="6">
        <v>0</v>
      </c>
      <c r="S11" s="6">
        <v>1000</v>
      </c>
      <c r="T11" s="6">
        <v>1000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7"/>
      <c r="AA11" s="11">
        <v>44620</v>
      </c>
      <c r="AB11" s="8">
        <v>0</v>
      </c>
      <c r="AC11" s="11"/>
      <c r="AD11" s="8"/>
      <c r="AE11" s="11"/>
      <c r="AF11" s="8"/>
      <c r="AG11" s="11"/>
      <c r="AH11" s="8"/>
    </row>
    <row r="12" spans="1:34" x14ac:dyDescent="0.25">
      <c r="A12" s="5" t="s">
        <v>50</v>
      </c>
      <c r="B12" s="5" t="s">
        <v>51</v>
      </c>
      <c r="C12" s="5" t="s">
        <v>49</v>
      </c>
      <c r="D12" s="6">
        <f t="shared" si="0"/>
        <v>59150</v>
      </c>
      <c r="E12" s="6">
        <f t="shared" si="1"/>
        <v>150</v>
      </c>
      <c r="F12" s="6">
        <v>0</v>
      </c>
      <c r="G12" s="6">
        <v>33750</v>
      </c>
      <c r="H12" s="6">
        <v>2500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2000</v>
      </c>
      <c r="P12" s="6">
        <v>0</v>
      </c>
      <c r="Q12" s="6">
        <v>0</v>
      </c>
      <c r="R12" s="6">
        <v>5000</v>
      </c>
      <c r="S12" s="6">
        <v>2500</v>
      </c>
      <c r="T12" s="6">
        <v>1500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7">
        <v>11900</v>
      </c>
      <c r="AA12" s="11">
        <v>44576</v>
      </c>
      <c r="AB12" s="8">
        <v>40000</v>
      </c>
      <c r="AC12" s="11">
        <v>44627</v>
      </c>
      <c r="AD12" s="8">
        <v>19000</v>
      </c>
      <c r="AE12" s="11"/>
      <c r="AF12" s="8"/>
      <c r="AG12" s="11"/>
      <c r="AH12" s="8"/>
    </row>
    <row r="13" spans="1:34" x14ac:dyDescent="0.25">
      <c r="A13" s="5" t="s">
        <v>109</v>
      </c>
      <c r="B13" s="5" t="s">
        <v>110</v>
      </c>
      <c r="C13" s="5" t="s">
        <v>111</v>
      </c>
      <c r="D13" s="6">
        <f t="shared" si="0"/>
        <v>24000</v>
      </c>
      <c r="E13" s="6">
        <f t="shared" si="1"/>
        <v>0</v>
      </c>
      <c r="F13" s="6">
        <v>0</v>
      </c>
      <c r="G13" s="6">
        <v>18500</v>
      </c>
      <c r="H13" s="6">
        <v>2000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1500</v>
      </c>
      <c r="P13" s="6">
        <v>0</v>
      </c>
      <c r="Q13" s="6">
        <v>0</v>
      </c>
      <c r="R13" s="6">
        <v>0</v>
      </c>
      <c r="S13" s="6">
        <v>1000</v>
      </c>
      <c r="T13" s="6">
        <v>1000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7"/>
      <c r="AA13" s="11">
        <v>44593</v>
      </c>
      <c r="AB13" s="8">
        <v>10000</v>
      </c>
      <c r="AC13" s="11">
        <v>44626</v>
      </c>
      <c r="AD13" s="8">
        <v>14000</v>
      </c>
      <c r="AE13" s="11"/>
      <c r="AF13" s="8"/>
      <c r="AG13" s="11"/>
      <c r="AH13" s="8"/>
    </row>
    <row r="14" spans="1:34" x14ac:dyDescent="0.25">
      <c r="A14" s="5" t="s">
        <v>81</v>
      </c>
      <c r="B14" s="5" t="s">
        <v>80</v>
      </c>
      <c r="C14" s="5" t="s">
        <v>79</v>
      </c>
      <c r="D14" s="6">
        <f t="shared" si="0"/>
        <v>24900</v>
      </c>
      <c r="E14" s="6">
        <f t="shared" si="1"/>
        <v>0</v>
      </c>
      <c r="F14" s="6">
        <v>0</v>
      </c>
      <c r="G14" s="6">
        <v>9000</v>
      </c>
      <c r="H14" s="6">
        <v>0</v>
      </c>
      <c r="I14" s="6">
        <v>0</v>
      </c>
      <c r="J14" s="6">
        <v>8400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7000</v>
      </c>
      <c r="R14" s="6">
        <v>0</v>
      </c>
      <c r="S14" s="6">
        <v>0</v>
      </c>
      <c r="T14" s="6">
        <v>500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7"/>
      <c r="AA14" s="11">
        <v>44573</v>
      </c>
      <c r="AB14" s="8">
        <v>17400</v>
      </c>
      <c r="AC14" s="11">
        <v>44588</v>
      </c>
      <c r="AD14" s="8">
        <v>7500</v>
      </c>
      <c r="AE14" s="11"/>
      <c r="AF14" s="8"/>
      <c r="AG14" s="11"/>
      <c r="AH14" s="8"/>
    </row>
    <row r="15" spans="1:34" x14ac:dyDescent="0.25">
      <c r="A15" s="5" t="s">
        <v>66</v>
      </c>
      <c r="B15" s="5" t="s">
        <v>67</v>
      </c>
      <c r="C15" s="5" t="s">
        <v>63</v>
      </c>
      <c r="D15" s="6">
        <f t="shared" si="0"/>
        <v>23500</v>
      </c>
      <c r="E15" s="6">
        <f t="shared" si="1"/>
        <v>0</v>
      </c>
      <c r="F15" s="6">
        <v>0</v>
      </c>
      <c r="G15" s="6">
        <v>16500</v>
      </c>
      <c r="H15" s="6">
        <v>1500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4500</v>
      </c>
      <c r="S15" s="6">
        <v>500</v>
      </c>
      <c r="T15" s="6">
        <v>500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7"/>
      <c r="AA15" s="11">
        <v>44571</v>
      </c>
      <c r="AB15" s="8">
        <v>23500</v>
      </c>
      <c r="AC15" s="11"/>
      <c r="AD15" s="8"/>
      <c r="AE15" s="11"/>
      <c r="AF15" s="8"/>
      <c r="AG15" s="11"/>
      <c r="AH15" s="8"/>
    </row>
    <row r="16" spans="1:34" x14ac:dyDescent="0.25">
      <c r="A16" s="5" t="s">
        <v>106</v>
      </c>
      <c r="B16" s="5" t="s">
        <v>821</v>
      </c>
      <c r="C16" s="5" t="s">
        <v>105</v>
      </c>
      <c r="D16" s="6">
        <f t="shared" si="0"/>
        <v>28500</v>
      </c>
      <c r="E16" s="6">
        <f t="shared" si="1"/>
        <v>0</v>
      </c>
      <c r="F16" s="6">
        <v>0</v>
      </c>
      <c r="G16" s="6">
        <v>18500</v>
      </c>
      <c r="H16" s="6">
        <v>2000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1500</v>
      </c>
      <c r="P16" s="6">
        <v>0</v>
      </c>
      <c r="Q16" s="6">
        <v>0</v>
      </c>
      <c r="R16" s="6">
        <v>4500</v>
      </c>
      <c r="S16" s="6">
        <v>1000</v>
      </c>
      <c r="T16" s="6">
        <v>1000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7"/>
      <c r="AA16" s="11">
        <v>44579</v>
      </c>
      <c r="AB16" s="8">
        <v>28500</v>
      </c>
      <c r="AC16" s="11"/>
      <c r="AD16" s="8"/>
      <c r="AE16" s="11"/>
      <c r="AF16" s="8"/>
      <c r="AG16" s="11"/>
      <c r="AH16" s="8"/>
    </row>
    <row r="17" spans="1:34" x14ac:dyDescent="0.25">
      <c r="A17" s="5" t="s">
        <v>52</v>
      </c>
      <c r="B17" s="5" t="s">
        <v>807</v>
      </c>
      <c r="C17" s="5" t="s">
        <v>49</v>
      </c>
      <c r="D17" s="6">
        <f t="shared" si="0"/>
        <v>50750</v>
      </c>
      <c r="E17" s="6">
        <f t="shared" si="1"/>
        <v>0</v>
      </c>
      <c r="F17" s="6">
        <v>0</v>
      </c>
      <c r="G17" s="6">
        <v>33750</v>
      </c>
      <c r="H17" s="6">
        <v>2500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2000</v>
      </c>
      <c r="P17" s="6">
        <v>0</v>
      </c>
      <c r="Q17" s="6">
        <v>0</v>
      </c>
      <c r="R17" s="6">
        <v>5000</v>
      </c>
      <c r="S17" s="6">
        <v>2500</v>
      </c>
      <c r="T17" s="6">
        <v>1500</v>
      </c>
      <c r="U17" s="6">
        <v>3500</v>
      </c>
      <c r="V17" s="6">
        <v>0</v>
      </c>
      <c r="W17" s="6">
        <v>0</v>
      </c>
      <c r="X17" s="6">
        <v>0</v>
      </c>
      <c r="Y17" s="6">
        <v>0</v>
      </c>
      <c r="Z17" s="7"/>
      <c r="AA17" s="11">
        <v>44536</v>
      </c>
      <c r="AB17" s="8">
        <v>4500</v>
      </c>
      <c r="AC17" s="11">
        <v>44579</v>
      </c>
      <c r="AD17" s="8">
        <v>30000</v>
      </c>
      <c r="AE17" s="11">
        <v>44621</v>
      </c>
      <c r="AF17" s="8">
        <v>16250</v>
      </c>
      <c r="AG17" s="11"/>
      <c r="AH17" s="8"/>
    </row>
    <row r="18" spans="1:34" x14ac:dyDescent="0.25">
      <c r="A18" s="5" t="s">
        <v>112</v>
      </c>
      <c r="B18" s="5" t="s">
        <v>113</v>
      </c>
      <c r="C18" s="5" t="s">
        <v>111</v>
      </c>
      <c r="D18" s="6">
        <f t="shared" si="0"/>
        <v>17500</v>
      </c>
      <c r="E18" s="6">
        <f t="shared" si="1"/>
        <v>0</v>
      </c>
      <c r="F18" s="6">
        <v>0</v>
      </c>
      <c r="G18" s="6">
        <v>15000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1500</v>
      </c>
      <c r="P18" s="6">
        <v>0</v>
      </c>
      <c r="Q18" s="6">
        <v>0</v>
      </c>
      <c r="R18" s="6">
        <v>0</v>
      </c>
      <c r="S18" s="6">
        <v>1000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7"/>
      <c r="AA18" s="11">
        <v>44591</v>
      </c>
      <c r="AB18" s="8">
        <v>17500</v>
      </c>
      <c r="AC18" s="11"/>
      <c r="AD18" s="8"/>
      <c r="AE18" s="11"/>
      <c r="AF18" s="8"/>
      <c r="AG18" s="11"/>
      <c r="AH18" s="8"/>
    </row>
    <row r="19" spans="1:34" x14ac:dyDescent="0.25">
      <c r="A19" s="5" t="s">
        <v>53</v>
      </c>
      <c r="B19" s="5" t="s">
        <v>54</v>
      </c>
      <c r="C19" s="5" t="s">
        <v>49</v>
      </c>
      <c r="D19" s="6">
        <f t="shared" si="0"/>
        <v>41250</v>
      </c>
      <c r="E19" s="6">
        <f t="shared" si="1"/>
        <v>0</v>
      </c>
      <c r="F19" s="6">
        <v>0</v>
      </c>
      <c r="G19" s="6">
        <v>33750</v>
      </c>
      <c r="H19" s="6">
        <v>2500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2000</v>
      </c>
      <c r="P19" s="6">
        <v>0</v>
      </c>
      <c r="Q19" s="6">
        <v>0</v>
      </c>
      <c r="R19" s="6">
        <v>0</v>
      </c>
      <c r="S19" s="6">
        <v>2500</v>
      </c>
      <c r="T19" s="6">
        <v>1500</v>
      </c>
      <c r="U19" s="6">
        <v>3500</v>
      </c>
      <c r="V19" s="6">
        <v>0</v>
      </c>
      <c r="W19" s="6">
        <v>0</v>
      </c>
      <c r="X19" s="6">
        <v>0</v>
      </c>
      <c r="Y19" s="6">
        <v>0</v>
      </c>
      <c r="Z19" s="7">
        <v>-4500</v>
      </c>
      <c r="AA19" s="11">
        <v>44578</v>
      </c>
      <c r="AB19" s="8">
        <v>20000</v>
      </c>
      <c r="AC19" s="11">
        <v>44621</v>
      </c>
      <c r="AD19" s="8">
        <v>21250</v>
      </c>
      <c r="AE19" s="11"/>
      <c r="AF19" s="8"/>
      <c r="AG19" s="11"/>
      <c r="AH19" s="8"/>
    </row>
    <row r="20" spans="1:34" x14ac:dyDescent="0.25">
      <c r="A20" s="5" t="s">
        <v>41</v>
      </c>
      <c r="B20" s="5" t="s">
        <v>809</v>
      </c>
      <c r="C20" s="5" t="s">
        <v>40</v>
      </c>
      <c r="D20" s="6">
        <f t="shared" si="0"/>
        <v>20150</v>
      </c>
      <c r="E20" s="6">
        <f t="shared" si="1"/>
        <v>0</v>
      </c>
      <c r="F20" s="6">
        <v>0</v>
      </c>
      <c r="G20" s="6">
        <v>3000</v>
      </c>
      <c r="H20" s="6">
        <v>1500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1000</v>
      </c>
      <c r="P20" s="6">
        <v>0</v>
      </c>
      <c r="Q20" s="6">
        <v>0</v>
      </c>
      <c r="R20" s="6">
        <v>0</v>
      </c>
      <c r="S20" s="6">
        <v>0</v>
      </c>
      <c r="T20" s="6">
        <v>1500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7">
        <v>13150</v>
      </c>
      <c r="AA20" s="11">
        <v>44571</v>
      </c>
      <c r="AB20" s="8">
        <v>13150</v>
      </c>
      <c r="AC20" s="11">
        <v>44579</v>
      </c>
      <c r="AD20" s="8">
        <v>6000</v>
      </c>
      <c r="AE20" s="11">
        <v>44620</v>
      </c>
      <c r="AF20" s="8">
        <v>1000</v>
      </c>
      <c r="AG20" s="11"/>
      <c r="AH20" s="8"/>
    </row>
    <row r="21" spans="1:34" ht="15.75" customHeight="1" x14ac:dyDescent="0.25">
      <c r="A21" s="5" t="s">
        <v>117</v>
      </c>
      <c r="B21" s="5" t="s">
        <v>814</v>
      </c>
      <c r="C21" s="5" t="s">
        <v>118</v>
      </c>
      <c r="D21" s="6">
        <f t="shared" si="0"/>
        <v>42250</v>
      </c>
      <c r="E21" s="6">
        <f t="shared" si="1"/>
        <v>5700</v>
      </c>
      <c r="F21" s="6">
        <v>0</v>
      </c>
      <c r="G21" s="6">
        <v>27750</v>
      </c>
      <c r="H21" s="6">
        <v>2000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1500</v>
      </c>
      <c r="P21" s="6">
        <v>0</v>
      </c>
      <c r="Q21" s="6">
        <v>0</v>
      </c>
      <c r="R21" s="6">
        <v>5000</v>
      </c>
      <c r="S21" s="6">
        <v>1500</v>
      </c>
      <c r="T21" s="6">
        <v>1000</v>
      </c>
      <c r="U21" s="6">
        <v>3500</v>
      </c>
      <c r="V21" s="6">
        <v>0</v>
      </c>
      <c r="W21" s="6">
        <v>0</v>
      </c>
      <c r="X21" s="6">
        <v>0</v>
      </c>
      <c r="Y21" s="6">
        <v>0</v>
      </c>
      <c r="Z21" s="7"/>
      <c r="AA21" s="11">
        <v>44570</v>
      </c>
      <c r="AB21" s="8">
        <v>27000</v>
      </c>
      <c r="AC21" s="11">
        <v>44600</v>
      </c>
      <c r="AD21" s="8">
        <v>0</v>
      </c>
      <c r="AE21" s="11">
        <v>44628</v>
      </c>
      <c r="AF21" s="8">
        <v>9550</v>
      </c>
      <c r="AG21" s="11"/>
      <c r="AH21" s="8"/>
    </row>
    <row r="22" spans="1:34" ht="15.75" customHeight="1" x14ac:dyDescent="0.25">
      <c r="A22" s="5" t="s">
        <v>42</v>
      </c>
      <c r="B22" s="5" t="s">
        <v>817</v>
      </c>
      <c r="C22" s="5" t="s">
        <v>40</v>
      </c>
      <c r="D22" s="6">
        <f t="shared" si="0"/>
        <v>37650</v>
      </c>
      <c r="E22" s="6">
        <f t="shared" si="1"/>
        <v>650</v>
      </c>
      <c r="F22" s="6">
        <v>0</v>
      </c>
      <c r="G22" s="6">
        <v>22500</v>
      </c>
      <c r="H22" s="6">
        <v>2500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2000</v>
      </c>
      <c r="P22" s="6">
        <v>0</v>
      </c>
      <c r="Q22" s="6">
        <v>0</v>
      </c>
      <c r="R22" s="6">
        <v>0</v>
      </c>
      <c r="S22" s="6">
        <v>2500</v>
      </c>
      <c r="T22" s="6">
        <v>1500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7">
        <v>6650</v>
      </c>
      <c r="AA22" s="11">
        <v>44576</v>
      </c>
      <c r="AB22" s="8">
        <v>15000</v>
      </c>
      <c r="AC22" s="11">
        <v>44594</v>
      </c>
      <c r="AD22" s="8">
        <v>15000</v>
      </c>
      <c r="AE22" s="11">
        <v>44622</v>
      </c>
      <c r="AF22" s="8">
        <v>7000</v>
      </c>
      <c r="AG22" s="11"/>
      <c r="AH22" s="8"/>
    </row>
    <row r="23" spans="1:34" ht="15.75" customHeight="1" x14ac:dyDescent="0.25">
      <c r="A23" s="5" t="s">
        <v>132</v>
      </c>
      <c r="B23" s="5" t="s">
        <v>133</v>
      </c>
      <c r="C23" s="5" t="s">
        <v>30</v>
      </c>
      <c r="D23" s="6">
        <f t="shared" si="0"/>
        <v>26560</v>
      </c>
      <c r="E23" s="6">
        <f t="shared" si="1"/>
        <v>-40</v>
      </c>
      <c r="F23" s="6">
        <v>1500</v>
      </c>
      <c r="G23" s="6">
        <v>16500</v>
      </c>
      <c r="H23" s="6">
        <v>1500</v>
      </c>
      <c r="I23" s="6">
        <v>0</v>
      </c>
      <c r="J23" s="6">
        <v>5560</v>
      </c>
      <c r="K23" s="6">
        <v>1500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7"/>
      <c r="AA23" s="11">
        <v>44607</v>
      </c>
      <c r="AB23" s="8">
        <v>1500</v>
      </c>
      <c r="AC23" s="11">
        <v>44613</v>
      </c>
      <c r="AD23" s="8">
        <v>25100</v>
      </c>
      <c r="AE23" s="11"/>
      <c r="AF23" s="8"/>
      <c r="AG23" s="11"/>
      <c r="AH23" s="8"/>
    </row>
    <row r="24" spans="1:34" ht="15.75" customHeight="1" x14ac:dyDescent="0.25">
      <c r="A24" s="5" t="s">
        <v>82</v>
      </c>
      <c r="B24" s="5" t="s">
        <v>83</v>
      </c>
      <c r="C24" s="5" t="s">
        <v>79</v>
      </c>
      <c r="D24" s="6">
        <f t="shared" si="0"/>
        <v>20000</v>
      </c>
      <c r="E24" s="6">
        <f t="shared" si="1"/>
        <v>0</v>
      </c>
      <c r="F24" s="6">
        <v>0</v>
      </c>
      <c r="G24" s="6">
        <v>18500</v>
      </c>
      <c r="H24" s="6">
        <v>1500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7"/>
      <c r="AA24" s="11">
        <v>44571</v>
      </c>
      <c r="AB24" s="8">
        <v>20000</v>
      </c>
      <c r="AC24" s="11"/>
      <c r="AD24" s="8"/>
      <c r="AE24" s="11"/>
      <c r="AF24" s="8"/>
      <c r="AG24" s="11"/>
      <c r="AH24" s="8"/>
    </row>
    <row r="25" spans="1:34" ht="15.75" customHeight="1" x14ac:dyDescent="0.25">
      <c r="A25" s="5" t="s">
        <v>114</v>
      </c>
      <c r="B25" s="5" t="s">
        <v>90</v>
      </c>
      <c r="C25" s="5" t="s">
        <v>111</v>
      </c>
      <c r="D25" s="6">
        <f t="shared" si="0"/>
        <v>46600</v>
      </c>
      <c r="E25" s="6">
        <f t="shared" si="1"/>
        <v>-400</v>
      </c>
      <c r="F25" s="6">
        <v>0</v>
      </c>
      <c r="G25" s="6">
        <v>18500</v>
      </c>
      <c r="H25" s="6">
        <v>2000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1500</v>
      </c>
      <c r="P25" s="6">
        <v>0</v>
      </c>
      <c r="Q25" s="6">
        <v>0</v>
      </c>
      <c r="R25" s="6">
        <v>4500</v>
      </c>
      <c r="S25" s="6">
        <v>1000</v>
      </c>
      <c r="T25" s="6">
        <v>1000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7">
        <v>18100</v>
      </c>
      <c r="AA25" s="11">
        <v>44589</v>
      </c>
      <c r="AB25" s="8">
        <v>24000</v>
      </c>
      <c r="AC25" s="11">
        <v>44620</v>
      </c>
      <c r="AD25" s="8">
        <v>11500</v>
      </c>
      <c r="AE25" s="11">
        <v>44648</v>
      </c>
      <c r="AF25" s="8">
        <v>11500</v>
      </c>
      <c r="AG25" s="11"/>
      <c r="AH25" s="8"/>
    </row>
    <row r="26" spans="1:34" ht="15.75" customHeight="1" x14ac:dyDescent="0.25">
      <c r="A26" s="5" t="s">
        <v>84</v>
      </c>
      <c r="B26" s="5" t="s">
        <v>85</v>
      </c>
      <c r="C26" s="5" t="s">
        <v>79</v>
      </c>
      <c r="D26" s="6">
        <f t="shared" si="0"/>
        <v>24500</v>
      </c>
      <c r="E26" s="6">
        <f t="shared" si="1"/>
        <v>0</v>
      </c>
      <c r="F26" s="6">
        <v>0</v>
      </c>
      <c r="G26" s="6">
        <v>18500</v>
      </c>
      <c r="H26" s="6">
        <v>1500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4500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7"/>
      <c r="AA26" s="11">
        <v>44571</v>
      </c>
      <c r="AB26" s="8">
        <v>24500</v>
      </c>
      <c r="AC26" s="11"/>
      <c r="AD26" s="8"/>
      <c r="AE26" s="11"/>
      <c r="AF26" s="8"/>
      <c r="AG26" s="11"/>
      <c r="AH26" s="8"/>
    </row>
    <row r="27" spans="1:34" ht="15.75" customHeight="1" x14ac:dyDescent="0.25">
      <c r="A27" s="5" t="s">
        <v>84</v>
      </c>
      <c r="B27" s="5" t="s">
        <v>94</v>
      </c>
      <c r="C27" s="5" t="s">
        <v>95</v>
      </c>
      <c r="D27" s="6">
        <f t="shared" si="0"/>
        <v>28500</v>
      </c>
      <c r="E27" s="6">
        <f t="shared" si="1"/>
        <v>0</v>
      </c>
      <c r="F27" s="6">
        <v>0</v>
      </c>
      <c r="G27" s="6">
        <v>18500</v>
      </c>
      <c r="H27" s="6">
        <v>2000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1500</v>
      </c>
      <c r="P27" s="6">
        <v>0</v>
      </c>
      <c r="Q27" s="6">
        <v>0</v>
      </c>
      <c r="R27" s="6">
        <v>4500</v>
      </c>
      <c r="S27" s="6">
        <v>1000</v>
      </c>
      <c r="T27" s="6">
        <v>1000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7"/>
      <c r="AA27" s="11">
        <v>44571</v>
      </c>
      <c r="AB27" s="8">
        <v>28500</v>
      </c>
      <c r="AC27" s="11"/>
      <c r="AD27" s="8"/>
      <c r="AE27" s="11"/>
      <c r="AF27" s="8"/>
      <c r="AG27" s="11"/>
      <c r="AH27" s="8"/>
    </row>
    <row r="28" spans="1:34" ht="15.75" customHeight="1" x14ac:dyDescent="0.25">
      <c r="A28" s="5" t="s">
        <v>120</v>
      </c>
      <c r="B28" s="5" t="s">
        <v>121</v>
      </c>
      <c r="C28" s="5" t="s">
        <v>122</v>
      </c>
      <c r="D28" s="6">
        <f t="shared" si="0"/>
        <v>65450</v>
      </c>
      <c r="E28" s="6">
        <f t="shared" si="1"/>
        <v>0</v>
      </c>
      <c r="F28" s="6">
        <v>0</v>
      </c>
      <c r="G28" s="6">
        <v>27500</v>
      </c>
      <c r="H28" s="6">
        <v>2500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2000</v>
      </c>
      <c r="P28" s="6">
        <v>0</v>
      </c>
      <c r="Q28" s="6">
        <v>0</v>
      </c>
      <c r="R28" s="6">
        <v>5000</v>
      </c>
      <c r="S28" s="6">
        <v>3000</v>
      </c>
      <c r="T28" s="6">
        <v>2000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7">
        <v>23450</v>
      </c>
      <c r="AA28" s="11">
        <v>44570</v>
      </c>
      <c r="AB28" s="8">
        <v>0</v>
      </c>
      <c r="AC28" s="11">
        <v>44600</v>
      </c>
      <c r="AD28" s="8">
        <v>45000</v>
      </c>
      <c r="AE28" s="11">
        <v>44628</v>
      </c>
      <c r="AF28" s="8">
        <v>20450</v>
      </c>
      <c r="AG28" s="11"/>
      <c r="AH28" s="8"/>
    </row>
    <row r="29" spans="1:34" ht="15.75" customHeight="1" x14ac:dyDescent="0.25">
      <c r="A29" s="5" t="s">
        <v>86</v>
      </c>
      <c r="B29" s="5" t="s">
        <v>87</v>
      </c>
      <c r="C29" s="5" t="s">
        <v>79</v>
      </c>
      <c r="D29" s="6">
        <f t="shared" si="0"/>
        <v>40550</v>
      </c>
      <c r="E29" s="6">
        <f t="shared" si="1"/>
        <v>15000</v>
      </c>
      <c r="F29" s="6">
        <v>0</v>
      </c>
      <c r="G29" s="6">
        <v>9000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7">
        <v>31550</v>
      </c>
      <c r="AA29" s="11">
        <v>44583</v>
      </c>
      <c r="AB29" s="8">
        <v>25550</v>
      </c>
      <c r="AC29" s="11"/>
      <c r="AD29" s="8"/>
      <c r="AE29" s="11"/>
      <c r="AF29" s="8"/>
      <c r="AG29" s="11"/>
      <c r="AH29" s="8"/>
    </row>
    <row r="30" spans="1:34" ht="15.75" customHeight="1" x14ac:dyDescent="0.25">
      <c r="A30" s="5" t="s">
        <v>43</v>
      </c>
      <c r="B30" s="5" t="s">
        <v>44</v>
      </c>
      <c r="C30" s="5" t="s">
        <v>40</v>
      </c>
      <c r="D30" s="6">
        <f t="shared" si="0"/>
        <v>38650</v>
      </c>
      <c r="E30" s="6">
        <f t="shared" si="1"/>
        <v>11150</v>
      </c>
      <c r="F30" s="6">
        <v>0</v>
      </c>
      <c r="G30" s="6">
        <v>22500</v>
      </c>
      <c r="H30" s="6">
        <v>2500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2000</v>
      </c>
      <c r="P30" s="6">
        <v>0</v>
      </c>
      <c r="Q30" s="6">
        <v>0</v>
      </c>
      <c r="R30" s="6">
        <v>0</v>
      </c>
      <c r="S30" s="6">
        <v>2500</v>
      </c>
      <c r="T30" s="6">
        <v>1500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7">
        <v>7650</v>
      </c>
      <c r="AA30" s="11">
        <v>44573</v>
      </c>
      <c r="AB30" s="8">
        <v>7500</v>
      </c>
      <c r="AC30" s="11">
        <v>44584</v>
      </c>
      <c r="AD30" s="8">
        <v>10000</v>
      </c>
      <c r="AE30" s="11">
        <v>44633</v>
      </c>
      <c r="AF30" s="8">
        <v>10000</v>
      </c>
      <c r="AG30" s="11"/>
      <c r="AH30" s="8"/>
    </row>
    <row r="31" spans="1:34" ht="15.75" customHeight="1" x14ac:dyDescent="0.25">
      <c r="A31" s="5" t="s">
        <v>55</v>
      </c>
      <c r="B31" s="5" t="s">
        <v>819</v>
      </c>
      <c r="C31" s="5" t="s">
        <v>49</v>
      </c>
      <c r="D31" s="6">
        <f t="shared" si="0"/>
        <v>83700</v>
      </c>
      <c r="E31" s="6">
        <f t="shared" si="1"/>
        <v>0</v>
      </c>
      <c r="F31" s="6">
        <v>0</v>
      </c>
      <c r="G31" s="6">
        <v>33750</v>
      </c>
      <c r="H31" s="6">
        <v>2500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1500</v>
      </c>
      <c r="P31" s="6">
        <v>0</v>
      </c>
      <c r="Q31" s="6">
        <v>0</v>
      </c>
      <c r="R31" s="6">
        <v>5000</v>
      </c>
      <c r="S31" s="6">
        <v>2500</v>
      </c>
      <c r="T31" s="6">
        <v>1500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7">
        <v>36950</v>
      </c>
      <c r="AA31" s="11">
        <v>44565</v>
      </c>
      <c r="AB31" s="8">
        <v>36950</v>
      </c>
      <c r="AC31" s="11">
        <v>44572</v>
      </c>
      <c r="AD31" s="8">
        <v>30000</v>
      </c>
      <c r="AE31" s="11">
        <v>44606</v>
      </c>
      <c r="AF31" s="8">
        <v>0</v>
      </c>
      <c r="AG31" s="11">
        <v>44627</v>
      </c>
      <c r="AH31" s="8">
        <v>16750</v>
      </c>
    </row>
    <row r="32" spans="1:34" ht="15.75" customHeight="1" x14ac:dyDescent="0.25">
      <c r="A32" s="5" t="s">
        <v>55</v>
      </c>
      <c r="B32" s="5" t="s">
        <v>820</v>
      </c>
      <c r="C32" s="5" t="s">
        <v>79</v>
      </c>
      <c r="D32" s="6">
        <f t="shared" si="0"/>
        <v>0</v>
      </c>
      <c r="E32" s="6">
        <f t="shared" si="1"/>
        <v>0</v>
      </c>
      <c r="F32" s="6">
        <v>0</v>
      </c>
      <c r="G32" s="6" t="s">
        <v>46</v>
      </c>
      <c r="H32" s="6" t="s">
        <v>46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7"/>
      <c r="AA32" s="11">
        <v>44565</v>
      </c>
      <c r="AB32" s="8">
        <v>0</v>
      </c>
      <c r="AC32" s="11">
        <v>44572</v>
      </c>
      <c r="AD32" s="8">
        <v>0</v>
      </c>
      <c r="AE32" s="11">
        <v>44606</v>
      </c>
      <c r="AF32" s="8">
        <v>0</v>
      </c>
      <c r="AG32" s="11">
        <v>44627</v>
      </c>
      <c r="AH32" s="8">
        <v>0</v>
      </c>
    </row>
    <row r="33" spans="1:34" ht="15.75" customHeight="1" x14ac:dyDescent="0.25">
      <c r="A33" s="5" t="s">
        <v>55</v>
      </c>
      <c r="B33" s="5" t="s">
        <v>818</v>
      </c>
      <c r="C33" s="5" t="s">
        <v>99</v>
      </c>
      <c r="D33" s="6">
        <f t="shared" si="0"/>
        <v>22000</v>
      </c>
      <c r="E33" s="6">
        <f t="shared" si="1"/>
        <v>0</v>
      </c>
      <c r="F33" s="6">
        <v>0</v>
      </c>
      <c r="G33" s="6">
        <v>16500</v>
      </c>
      <c r="H33" s="6">
        <v>2000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1500</v>
      </c>
      <c r="P33" s="6">
        <v>0</v>
      </c>
      <c r="Q33" s="6">
        <v>0</v>
      </c>
      <c r="R33" s="6">
        <v>0</v>
      </c>
      <c r="S33" s="6">
        <v>1000</v>
      </c>
      <c r="T33" s="6">
        <v>1000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7"/>
      <c r="AA33" s="11">
        <v>44565</v>
      </c>
      <c r="AB33" s="8">
        <v>0</v>
      </c>
      <c r="AC33" s="11">
        <v>44572</v>
      </c>
      <c r="AD33" s="8">
        <v>0</v>
      </c>
      <c r="AE33" s="11">
        <v>44606</v>
      </c>
      <c r="AF33" s="8">
        <v>20000</v>
      </c>
      <c r="AG33" s="11">
        <v>44627</v>
      </c>
      <c r="AH33" s="8">
        <v>2000</v>
      </c>
    </row>
    <row r="34" spans="1:34" ht="15.75" customHeight="1" x14ac:dyDescent="0.25">
      <c r="A34" s="5" t="s">
        <v>56</v>
      </c>
      <c r="B34" s="5" t="s">
        <v>57</v>
      </c>
      <c r="C34" s="5" t="s">
        <v>49</v>
      </c>
      <c r="D34" s="6">
        <f t="shared" ref="D34:D63" si="2">SUM(F34:Z34)</f>
        <v>50750</v>
      </c>
      <c r="E34" s="6">
        <f t="shared" ref="E34:E65" si="3">D34-(AB34+AD34+AF34+AH34)</f>
        <v>0</v>
      </c>
      <c r="F34" s="6">
        <v>0</v>
      </c>
      <c r="G34" s="6">
        <v>33750</v>
      </c>
      <c r="H34" s="6">
        <v>2500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2000</v>
      </c>
      <c r="P34" s="6">
        <v>0</v>
      </c>
      <c r="Q34" s="6">
        <v>0</v>
      </c>
      <c r="R34" s="6">
        <v>5000</v>
      </c>
      <c r="S34" s="6">
        <v>2500</v>
      </c>
      <c r="T34" s="6">
        <v>1500</v>
      </c>
      <c r="U34" s="6">
        <v>3500</v>
      </c>
      <c r="V34" s="6">
        <v>0</v>
      </c>
      <c r="W34" s="6">
        <v>0</v>
      </c>
      <c r="X34" s="6">
        <v>0</v>
      </c>
      <c r="Y34" s="6">
        <v>0</v>
      </c>
      <c r="Z34" s="7"/>
      <c r="AA34" s="11">
        <v>44578</v>
      </c>
      <c r="AB34" s="8">
        <v>25000</v>
      </c>
      <c r="AC34" s="11">
        <v>44617</v>
      </c>
      <c r="AD34" s="8">
        <v>25750</v>
      </c>
      <c r="AE34" s="11"/>
      <c r="AF34" s="8"/>
      <c r="AG34" s="11"/>
      <c r="AH34" s="8"/>
    </row>
    <row r="35" spans="1:34" ht="15.75" customHeight="1" x14ac:dyDescent="0.25">
      <c r="A35" s="5" t="s">
        <v>31</v>
      </c>
      <c r="B35" s="5" t="s">
        <v>822</v>
      </c>
      <c r="C35" s="5" t="s">
        <v>32</v>
      </c>
      <c r="D35" s="6">
        <f t="shared" si="2"/>
        <v>90250</v>
      </c>
      <c r="E35" s="6">
        <f t="shared" si="3"/>
        <v>16250</v>
      </c>
      <c r="F35" s="6">
        <v>0</v>
      </c>
      <c r="G35" s="6">
        <v>22500</v>
      </c>
      <c r="H35" s="6">
        <v>2500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2000</v>
      </c>
      <c r="P35" s="6">
        <v>0</v>
      </c>
      <c r="Q35" s="6">
        <v>0</v>
      </c>
      <c r="R35" s="6">
        <v>5000</v>
      </c>
      <c r="S35" s="6">
        <v>2000</v>
      </c>
      <c r="T35" s="6">
        <v>1500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7">
        <v>54750</v>
      </c>
      <c r="AA35" s="11">
        <v>44572</v>
      </c>
      <c r="AB35" s="8">
        <v>14000</v>
      </c>
      <c r="AC35" s="11">
        <v>44581</v>
      </c>
      <c r="AD35" s="8">
        <v>44000</v>
      </c>
      <c r="AE35" s="11">
        <v>44626</v>
      </c>
      <c r="AF35" s="8">
        <v>16000</v>
      </c>
      <c r="AG35" s="11">
        <v>44639</v>
      </c>
      <c r="AH35" s="8">
        <v>0</v>
      </c>
    </row>
    <row r="36" spans="1:34" ht="15.75" customHeight="1" x14ac:dyDescent="0.25">
      <c r="A36" s="5" t="s">
        <v>31</v>
      </c>
      <c r="B36" s="5" t="s">
        <v>823</v>
      </c>
      <c r="C36" s="5" t="s">
        <v>40</v>
      </c>
      <c r="D36" s="6">
        <f t="shared" si="2"/>
        <v>35500</v>
      </c>
      <c r="E36" s="6">
        <f t="shared" si="3"/>
        <v>15500</v>
      </c>
      <c r="F36" s="6">
        <v>0</v>
      </c>
      <c r="G36" s="6">
        <v>22500</v>
      </c>
      <c r="H36" s="6">
        <v>2500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2000</v>
      </c>
      <c r="P36" s="6">
        <v>0</v>
      </c>
      <c r="Q36" s="6">
        <v>0</v>
      </c>
      <c r="R36" s="6">
        <v>5000</v>
      </c>
      <c r="S36" s="6">
        <v>2000</v>
      </c>
      <c r="T36" s="6">
        <v>1500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7"/>
      <c r="AA36" s="11">
        <v>44572</v>
      </c>
      <c r="AB36" s="8">
        <v>0</v>
      </c>
      <c r="AC36" s="11">
        <v>44581</v>
      </c>
      <c r="AD36" s="8">
        <v>0</v>
      </c>
      <c r="AE36" s="11">
        <v>44626</v>
      </c>
      <c r="AF36" s="8">
        <v>0</v>
      </c>
      <c r="AG36" s="11">
        <v>44639</v>
      </c>
      <c r="AH36" s="8">
        <v>20000</v>
      </c>
    </row>
    <row r="37" spans="1:34" ht="15.75" customHeight="1" x14ac:dyDescent="0.25">
      <c r="A37" s="5" t="s">
        <v>33</v>
      </c>
      <c r="B37" s="5" t="s">
        <v>29</v>
      </c>
      <c r="C37" s="5" t="s">
        <v>32</v>
      </c>
      <c r="D37" s="6">
        <f t="shared" si="2"/>
        <v>35500</v>
      </c>
      <c r="E37" s="6">
        <f t="shared" si="3"/>
        <v>0</v>
      </c>
      <c r="F37" s="6">
        <v>0</v>
      </c>
      <c r="G37" s="6">
        <v>22500</v>
      </c>
      <c r="H37" s="6">
        <v>2500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2000</v>
      </c>
      <c r="P37" s="6">
        <v>0</v>
      </c>
      <c r="Q37" s="6">
        <v>0</v>
      </c>
      <c r="R37" s="6">
        <v>5000</v>
      </c>
      <c r="S37" s="6">
        <v>2000</v>
      </c>
      <c r="T37" s="6">
        <v>1500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7"/>
      <c r="AA37" s="11">
        <v>44566</v>
      </c>
      <c r="AB37" s="8">
        <v>25000</v>
      </c>
      <c r="AC37" s="11">
        <v>44588</v>
      </c>
      <c r="AD37" s="8">
        <v>10500</v>
      </c>
      <c r="AE37" s="11"/>
      <c r="AF37" s="8"/>
      <c r="AG37" s="11"/>
      <c r="AH37" s="8"/>
    </row>
    <row r="38" spans="1:34" ht="15.75" customHeight="1" x14ac:dyDescent="0.25">
      <c r="A38" s="5" t="s">
        <v>33</v>
      </c>
      <c r="B38" s="5" t="s">
        <v>824</v>
      </c>
      <c r="C38" s="5" t="s">
        <v>49</v>
      </c>
      <c r="D38" s="6">
        <f t="shared" si="2"/>
        <v>50750</v>
      </c>
      <c r="E38" s="6">
        <f t="shared" si="3"/>
        <v>3500</v>
      </c>
      <c r="F38" s="6">
        <v>0</v>
      </c>
      <c r="G38" s="6">
        <v>33750</v>
      </c>
      <c r="H38" s="6">
        <v>2500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2000</v>
      </c>
      <c r="P38" s="6">
        <v>0</v>
      </c>
      <c r="Q38" s="6">
        <v>0</v>
      </c>
      <c r="R38" s="6">
        <v>5000</v>
      </c>
      <c r="S38" s="6">
        <v>2500</v>
      </c>
      <c r="T38" s="6">
        <v>1500</v>
      </c>
      <c r="U38" s="6">
        <v>3500</v>
      </c>
      <c r="V38" s="6">
        <v>0</v>
      </c>
      <c r="W38" s="6">
        <v>0</v>
      </c>
      <c r="X38" s="6">
        <v>0</v>
      </c>
      <c r="Y38" s="6">
        <v>0</v>
      </c>
      <c r="Z38" s="7"/>
      <c r="AA38" s="11">
        <v>44564</v>
      </c>
      <c r="AB38" s="8">
        <v>20000</v>
      </c>
      <c r="AC38" s="11">
        <v>44591</v>
      </c>
      <c r="AD38" s="8">
        <v>20000</v>
      </c>
      <c r="AE38" s="11">
        <v>44643</v>
      </c>
      <c r="AF38" s="8">
        <v>7250</v>
      </c>
      <c r="AG38" s="11"/>
      <c r="AH38" s="8"/>
    </row>
    <row r="39" spans="1:34" ht="15.75" customHeight="1" x14ac:dyDescent="0.25">
      <c r="A39" s="5" t="s">
        <v>126</v>
      </c>
      <c r="B39" s="5" t="s">
        <v>127</v>
      </c>
      <c r="C39" s="5" t="s">
        <v>128</v>
      </c>
      <c r="D39" s="6">
        <f t="shared" si="2"/>
        <v>55250</v>
      </c>
      <c r="E39" s="6">
        <f t="shared" si="3"/>
        <v>0</v>
      </c>
      <c r="F39" s="6">
        <v>0</v>
      </c>
      <c r="G39" s="6">
        <v>27500</v>
      </c>
      <c r="H39" s="6">
        <v>2500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3000</v>
      </c>
      <c r="P39" s="6">
        <v>0</v>
      </c>
      <c r="Q39" s="6">
        <v>0</v>
      </c>
      <c r="R39" s="6">
        <v>5000</v>
      </c>
      <c r="S39" s="6">
        <v>2500</v>
      </c>
      <c r="T39" s="6">
        <v>2000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7">
        <v>12750</v>
      </c>
      <c r="AA39" s="11">
        <v>44594</v>
      </c>
      <c r="AB39" s="8">
        <v>30000</v>
      </c>
      <c r="AC39" s="11">
        <v>44620</v>
      </c>
      <c r="AD39" s="8">
        <v>15000</v>
      </c>
      <c r="AE39" s="11">
        <v>44635</v>
      </c>
      <c r="AF39" s="8">
        <v>10250</v>
      </c>
      <c r="AG39" s="11"/>
      <c r="AH39" s="8"/>
    </row>
    <row r="40" spans="1:34" ht="15.75" customHeight="1" x14ac:dyDescent="0.25">
      <c r="A40" s="5" t="s">
        <v>88</v>
      </c>
      <c r="B40" s="5" t="s">
        <v>809</v>
      </c>
      <c r="C40" s="5" t="s">
        <v>79</v>
      </c>
      <c r="D40" s="6">
        <f t="shared" si="2"/>
        <v>21050</v>
      </c>
      <c r="E40" s="6">
        <f t="shared" si="3"/>
        <v>1050</v>
      </c>
      <c r="F40" s="6">
        <v>0</v>
      </c>
      <c r="G40" s="6">
        <v>18500</v>
      </c>
      <c r="H40" s="6">
        <v>1500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7">
        <v>1050</v>
      </c>
      <c r="AA40" s="11">
        <v>44579</v>
      </c>
      <c r="AB40" s="8">
        <v>10000</v>
      </c>
      <c r="AC40" s="11">
        <v>44621</v>
      </c>
      <c r="AD40" s="8">
        <v>10000</v>
      </c>
      <c r="AE40" s="11"/>
      <c r="AF40" s="8"/>
      <c r="AG40" s="11"/>
      <c r="AH40" s="8"/>
    </row>
    <row r="41" spans="1:34" ht="15.75" customHeight="1" x14ac:dyDescent="0.25">
      <c r="A41" s="5" t="s">
        <v>101</v>
      </c>
      <c r="B41" s="5" t="s">
        <v>102</v>
      </c>
      <c r="C41" s="5" t="s">
        <v>99</v>
      </c>
      <c r="D41" s="6">
        <f t="shared" si="2"/>
        <v>29300</v>
      </c>
      <c r="E41" s="6">
        <f t="shared" si="3"/>
        <v>0</v>
      </c>
      <c r="F41" s="6">
        <v>0</v>
      </c>
      <c r="G41" s="6">
        <v>18500</v>
      </c>
      <c r="H41" s="6">
        <v>2000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1500</v>
      </c>
      <c r="P41" s="6">
        <v>0</v>
      </c>
      <c r="Q41" s="6">
        <v>0</v>
      </c>
      <c r="R41" s="6">
        <v>4500</v>
      </c>
      <c r="S41" s="6">
        <v>1000</v>
      </c>
      <c r="T41" s="6">
        <v>1000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7">
        <v>800</v>
      </c>
      <c r="AA41" s="11">
        <v>44579</v>
      </c>
      <c r="AB41" s="8">
        <v>10000</v>
      </c>
      <c r="AC41" s="11">
        <v>44620</v>
      </c>
      <c r="AD41" s="8">
        <v>10000</v>
      </c>
      <c r="AE41" s="11">
        <v>44636</v>
      </c>
      <c r="AF41" s="8">
        <v>9300</v>
      </c>
      <c r="AG41" s="11"/>
      <c r="AH41" s="8"/>
    </row>
    <row r="42" spans="1:34" ht="15.75" customHeight="1" x14ac:dyDescent="0.25">
      <c r="A42" s="5" t="s">
        <v>68</v>
      </c>
      <c r="B42" s="5" t="s">
        <v>69</v>
      </c>
      <c r="C42" s="5" t="s">
        <v>63</v>
      </c>
      <c r="D42" s="6">
        <f t="shared" si="2"/>
        <v>49750</v>
      </c>
      <c r="E42" s="6">
        <f t="shared" si="3"/>
        <v>250</v>
      </c>
      <c r="F42" s="6">
        <v>1500</v>
      </c>
      <c r="G42" s="6">
        <v>16500</v>
      </c>
      <c r="H42" s="6">
        <v>1500</v>
      </c>
      <c r="I42" s="6">
        <v>1000</v>
      </c>
      <c r="J42" s="6">
        <v>9250</v>
      </c>
      <c r="K42" s="6">
        <v>1500</v>
      </c>
      <c r="L42" s="6">
        <v>5000</v>
      </c>
      <c r="M42" s="6">
        <v>0</v>
      </c>
      <c r="N42" s="6">
        <v>4000</v>
      </c>
      <c r="O42" s="6">
        <v>0</v>
      </c>
      <c r="P42" s="6">
        <v>0</v>
      </c>
      <c r="Q42" s="6">
        <v>4000</v>
      </c>
      <c r="R42" s="6">
        <v>4500</v>
      </c>
      <c r="S42" s="6">
        <v>500</v>
      </c>
      <c r="T42" s="6">
        <v>500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7"/>
      <c r="AA42" s="11">
        <v>44587</v>
      </c>
      <c r="AB42" s="8">
        <v>1500</v>
      </c>
      <c r="AC42" s="11">
        <v>44592</v>
      </c>
      <c r="AD42" s="8">
        <v>30000</v>
      </c>
      <c r="AE42" s="11">
        <v>44620</v>
      </c>
      <c r="AF42" s="8">
        <v>18000</v>
      </c>
      <c r="AG42" s="11"/>
      <c r="AH42" s="8"/>
    </row>
    <row r="43" spans="1:34" ht="15.75" customHeight="1" x14ac:dyDescent="0.25">
      <c r="A43" s="5" t="s">
        <v>103</v>
      </c>
      <c r="B43" s="5" t="s">
        <v>86</v>
      </c>
      <c r="C43" s="5" t="s">
        <v>99</v>
      </c>
      <c r="D43" s="6">
        <f t="shared" si="2"/>
        <v>33000</v>
      </c>
      <c r="E43" s="6">
        <f t="shared" si="3"/>
        <v>0</v>
      </c>
      <c r="F43" s="6">
        <v>0</v>
      </c>
      <c r="G43" s="6">
        <v>18500</v>
      </c>
      <c r="H43" s="6">
        <v>2000</v>
      </c>
      <c r="I43" s="6">
        <v>0</v>
      </c>
      <c r="J43" s="6">
        <v>0</v>
      </c>
      <c r="K43" s="6">
        <v>0</v>
      </c>
      <c r="L43" s="6">
        <v>6000</v>
      </c>
      <c r="M43" s="6">
        <v>0</v>
      </c>
      <c r="N43" s="6">
        <v>0</v>
      </c>
      <c r="O43" s="6">
        <v>1500</v>
      </c>
      <c r="P43" s="6">
        <v>0</v>
      </c>
      <c r="Q43" s="6">
        <v>3000</v>
      </c>
      <c r="R43" s="6">
        <v>0</v>
      </c>
      <c r="S43" s="6">
        <v>1000</v>
      </c>
      <c r="T43" s="6">
        <v>1000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7"/>
      <c r="AA43" s="11">
        <v>44574</v>
      </c>
      <c r="AB43" s="8">
        <v>5000</v>
      </c>
      <c r="AC43" s="11">
        <v>44581</v>
      </c>
      <c r="AD43" s="8">
        <v>3000</v>
      </c>
      <c r="AE43" s="11">
        <v>44599</v>
      </c>
      <c r="AF43" s="8">
        <v>15000</v>
      </c>
      <c r="AG43" s="11">
        <v>44635</v>
      </c>
      <c r="AH43" s="8">
        <v>10000</v>
      </c>
    </row>
    <row r="44" spans="1:34" ht="15.75" customHeight="1" x14ac:dyDescent="0.25">
      <c r="A44" s="5" t="s">
        <v>45</v>
      </c>
      <c r="B44" s="5" t="s">
        <v>825</v>
      </c>
      <c r="C44" s="5" t="s">
        <v>40</v>
      </c>
      <c r="D44" s="6">
        <f t="shared" si="2"/>
        <v>43050</v>
      </c>
      <c r="E44" s="6">
        <f t="shared" si="3"/>
        <v>0</v>
      </c>
      <c r="F44" s="6">
        <v>0</v>
      </c>
      <c r="G44" s="6" t="s">
        <v>46</v>
      </c>
      <c r="H44" s="6" t="s">
        <v>46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2500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7">
        <v>40550</v>
      </c>
      <c r="AA44" s="11">
        <v>44558</v>
      </c>
      <c r="AB44" s="8">
        <v>30000</v>
      </c>
      <c r="AC44" s="11">
        <v>44590</v>
      </c>
      <c r="AD44" s="8">
        <v>13050</v>
      </c>
      <c r="AE44" s="11">
        <v>44625</v>
      </c>
      <c r="AF44" s="8">
        <v>0</v>
      </c>
      <c r="AG44" s="11"/>
      <c r="AH44" s="8"/>
    </row>
    <row r="45" spans="1:34" ht="15.75" customHeight="1" x14ac:dyDescent="0.25">
      <c r="A45" s="5" t="s">
        <v>45</v>
      </c>
      <c r="B45" s="5" t="s">
        <v>826</v>
      </c>
      <c r="C45" s="5" t="s">
        <v>59</v>
      </c>
      <c r="D45" s="6">
        <f t="shared" si="2"/>
        <v>14600</v>
      </c>
      <c r="E45" s="6">
        <f t="shared" si="3"/>
        <v>0</v>
      </c>
      <c r="F45" s="6">
        <v>0</v>
      </c>
      <c r="G45" s="6">
        <v>12600</v>
      </c>
      <c r="H45" s="6">
        <v>1500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500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7"/>
      <c r="AA45" s="11">
        <v>44558</v>
      </c>
      <c r="AB45" s="8">
        <v>0</v>
      </c>
      <c r="AC45" s="11">
        <v>44590</v>
      </c>
      <c r="AD45" s="8">
        <v>6950</v>
      </c>
      <c r="AE45" s="11">
        <v>44625</v>
      </c>
      <c r="AF45" s="8">
        <v>7650</v>
      </c>
      <c r="AG45" s="11"/>
      <c r="AH45" s="8"/>
    </row>
    <row r="46" spans="1:34" ht="15.75" customHeight="1" x14ac:dyDescent="0.25">
      <c r="A46" s="5" t="s">
        <v>28</v>
      </c>
      <c r="B46" s="5" t="s">
        <v>827</v>
      </c>
      <c r="C46" s="5" t="s">
        <v>30</v>
      </c>
      <c r="D46" s="6">
        <f t="shared" si="2"/>
        <v>16500</v>
      </c>
      <c r="E46" s="6">
        <f t="shared" si="3"/>
        <v>0</v>
      </c>
      <c r="F46" s="6">
        <v>0</v>
      </c>
      <c r="G46" s="6">
        <v>16500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7"/>
      <c r="AA46" s="11">
        <v>44579</v>
      </c>
      <c r="AB46" s="8">
        <v>16500</v>
      </c>
      <c r="AC46" s="11"/>
      <c r="AD46" s="8"/>
      <c r="AE46" s="11"/>
      <c r="AF46" s="8"/>
      <c r="AG46" s="11"/>
      <c r="AH46" s="8"/>
    </row>
    <row r="47" spans="1:34" ht="15.75" customHeight="1" x14ac:dyDescent="0.25">
      <c r="A47" s="5" t="s">
        <v>60</v>
      </c>
      <c r="B47" s="5" t="s">
        <v>58</v>
      </c>
      <c r="C47" s="5" t="s">
        <v>59</v>
      </c>
      <c r="D47" s="6">
        <f t="shared" si="2"/>
        <v>20000</v>
      </c>
      <c r="E47" s="6">
        <f t="shared" si="3"/>
        <v>0</v>
      </c>
      <c r="F47" s="6">
        <v>0</v>
      </c>
      <c r="G47" s="6">
        <v>18500</v>
      </c>
      <c r="H47" s="6">
        <v>1500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7"/>
      <c r="AA47" s="11">
        <v>44578</v>
      </c>
      <c r="AB47" s="8">
        <v>20000</v>
      </c>
      <c r="AC47" s="11"/>
      <c r="AD47" s="8"/>
      <c r="AE47" s="11"/>
      <c r="AF47" s="8"/>
      <c r="AG47" s="11"/>
      <c r="AH47" s="8"/>
    </row>
    <row r="48" spans="1:34" ht="15.75" customHeight="1" x14ac:dyDescent="0.25">
      <c r="A48" s="5" t="s">
        <v>34</v>
      </c>
      <c r="B48" s="5" t="s">
        <v>35</v>
      </c>
      <c r="C48" s="5" t="s">
        <v>32</v>
      </c>
      <c r="D48" s="6">
        <f t="shared" si="2"/>
        <v>36000</v>
      </c>
      <c r="E48" s="6">
        <f t="shared" si="3"/>
        <v>0</v>
      </c>
      <c r="F48" s="6">
        <v>0</v>
      </c>
      <c r="G48" s="6">
        <v>22500</v>
      </c>
      <c r="H48" s="6">
        <v>2500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2000</v>
      </c>
      <c r="P48" s="6">
        <v>0</v>
      </c>
      <c r="Q48" s="6">
        <v>0</v>
      </c>
      <c r="R48" s="6">
        <v>5000</v>
      </c>
      <c r="S48" s="6">
        <v>2500</v>
      </c>
      <c r="T48" s="6">
        <v>1500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7"/>
      <c r="AA48" s="11">
        <v>44559</v>
      </c>
      <c r="AB48" s="8">
        <v>0</v>
      </c>
      <c r="AC48" s="11">
        <v>44595</v>
      </c>
      <c r="AD48" s="8">
        <v>0</v>
      </c>
      <c r="AE48" s="11">
        <v>44615</v>
      </c>
      <c r="AF48" s="8">
        <v>20000</v>
      </c>
      <c r="AG48" s="11">
        <v>44651</v>
      </c>
      <c r="AH48" s="8">
        <v>16000</v>
      </c>
    </row>
    <row r="49" spans="1:34" ht="15.75" customHeight="1" x14ac:dyDescent="0.25">
      <c r="A49" s="5" t="s">
        <v>34</v>
      </c>
      <c r="B49" s="5" t="s">
        <v>107</v>
      </c>
      <c r="C49" s="5" t="s">
        <v>105</v>
      </c>
      <c r="D49" s="6">
        <f t="shared" si="2"/>
        <v>45075</v>
      </c>
      <c r="E49" s="6">
        <f t="shared" si="3"/>
        <v>14075</v>
      </c>
      <c r="F49" s="6">
        <v>0</v>
      </c>
      <c r="G49" s="6">
        <v>18500</v>
      </c>
      <c r="H49" s="6">
        <v>2000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1500</v>
      </c>
      <c r="P49" s="6">
        <v>0</v>
      </c>
      <c r="Q49" s="6">
        <v>0</v>
      </c>
      <c r="R49" s="6">
        <v>0</v>
      </c>
      <c r="S49" s="6">
        <v>1000</v>
      </c>
      <c r="T49" s="6">
        <v>1000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7">
        <v>21075</v>
      </c>
      <c r="AA49" s="11">
        <v>44559</v>
      </c>
      <c r="AB49" s="8">
        <v>20000</v>
      </c>
      <c r="AC49" s="11">
        <v>44595</v>
      </c>
      <c r="AD49" s="8">
        <v>10000</v>
      </c>
      <c r="AE49" s="11">
        <v>44615</v>
      </c>
      <c r="AF49" s="8">
        <v>0</v>
      </c>
      <c r="AG49" s="11">
        <v>44651</v>
      </c>
      <c r="AH49" s="8">
        <v>1000</v>
      </c>
    </row>
    <row r="50" spans="1:34" ht="15.75" customHeight="1" x14ac:dyDescent="0.25">
      <c r="A50" s="5" t="s">
        <v>115</v>
      </c>
      <c r="B50" s="5" t="s">
        <v>116</v>
      </c>
      <c r="C50" s="5" t="s">
        <v>111</v>
      </c>
      <c r="D50" s="6">
        <f t="shared" si="2"/>
        <v>24000</v>
      </c>
      <c r="E50" s="6">
        <f t="shared" si="3"/>
        <v>0</v>
      </c>
      <c r="F50" s="6">
        <v>0</v>
      </c>
      <c r="G50" s="6">
        <v>18500</v>
      </c>
      <c r="H50" s="6">
        <v>2000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1500</v>
      </c>
      <c r="P50" s="6">
        <v>0</v>
      </c>
      <c r="Q50" s="6">
        <v>0</v>
      </c>
      <c r="R50" s="6">
        <v>0</v>
      </c>
      <c r="S50" s="6">
        <v>1000</v>
      </c>
      <c r="T50" s="6">
        <v>1000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7"/>
      <c r="AA50" s="11">
        <v>44577</v>
      </c>
      <c r="AB50" s="8">
        <v>15000</v>
      </c>
      <c r="AC50" s="11">
        <v>44619</v>
      </c>
      <c r="AD50" s="8">
        <v>9000</v>
      </c>
      <c r="AE50" s="11"/>
      <c r="AF50" s="8"/>
      <c r="AG50" s="11"/>
      <c r="AH50" s="8"/>
    </row>
    <row r="51" spans="1:34" ht="15.75" customHeight="1" x14ac:dyDescent="0.25">
      <c r="A51" s="5" t="s">
        <v>70</v>
      </c>
      <c r="B51" s="5" t="s">
        <v>71</v>
      </c>
      <c r="C51" s="5" t="s">
        <v>63</v>
      </c>
      <c r="D51" s="6">
        <f t="shared" si="2"/>
        <v>13050</v>
      </c>
      <c r="E51" s="6">
        <f t="shared" si="3"/>
        <v>0</v>
      </c>
      <c r="F51" s="6">
        <v>0</v>
      </c>
      <c r="G51" s="6">
        <v>11550</v>
      </c>
      <c r="H51" s="6">
        <v>1500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7"/>
      <c r="AA51" s="11">
        <v>44568</v>
      </c>
      <c r="AB51" s="8">
        <v>13050</v>
      </c>
      <c r="AC51" s="11">
        <v>44618</v>
      </c>
      <c r="AD51" s="8">
        <v>0</v>
      </c>
      <c r="AE51" s="11">
        <v>44618</v>
      </c>
      <c r="AF51" s="8">
        <v>0</v>
      </c>
      <c r="AG51" s="11"/>
      <c r="AH51" s="8"/>
    </row>
    <row r="52" spans="1:34" ht="15.75" customHeight="1" x14ac:dyDescent="0.25">
      <c r="A52" s="5" t="s">
        <v>70</v>
      </c>
      <c r="B52" s="5" t="s">
        <v>76</v>
      </c>
      <c r="C52" s="5" t="s">
        <v>74</v>
      </c>
      <c r="D52" s="6">
        <f t="shared" si="2"/>
        <v>13050</v>
      </c>
      <c r="E52" s="6">
        <f t="shared" si="3"/>
        <v>0</v>
      </c>
      <c r="F52" s="6">
        <v>0</v>
      </c>
      <c r="G52" s="6">
        <v>11550</v>
      </c>
      <c r="H52" s="6">
        <v>1500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7"/>
      <c r="AA52" s="11">
        <v>44568</v>
      </c>
      <c r="AB52" s="8">
        <v>13050</v>
      </c>
      <c r="AC52" s="11">
        <v>44618</v>
      </c>
      <c r="AD52" s="8">
        <v>0</v>
      </c>
      <c r="AE52" s="11">
        <v>44618</v>
      </c>
      <c r="AF52" s="8">
        <v>0</v>
      </c>
      <c r="AG52" s="11"/>
      <c r="AH52" s="8"/>
    </row>
    <row r="53" spans="1:34" ht="15.75" customHeight="1" x14ac:dyDescent="0.25">
      <c r="A53" s="5" t="s">
        <v>36</v>
      </c>
      <c r="B53" s="5" t="s">
        <v>37</v>
      </c>
      <c r="C53" s="5" t="s">
        <v>32</v>
      </c>
      <c r="D53" s="6">
        <f t="shared" si="2"/>
        <v>36650</v>
      </c>
      <c r="E53" s="6">
        <f t="shared" si="3"/>
        <v>0</v>
      </c>
      <c r="F53" s="6">
        <v>0</v>
      </c>
      <c r="G53" s="6">
        <v>22500</v>
      </c>
      <c r="H53" s="6">
        <v>2500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2000</v>
      </c>
      <c r="P53" s="6">
        <v>0</v>
      </c>
      <c r="Q53" s="6">
        <v>0</v>
      </c>
      <c r="R53" s="6">
        <v>5000</v>
      </c>
      <c r="S53" s="6">
        <v>2500</v>
      </c>
      <c r="T53" s="6">
        <v>1500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7">
        <v>650</v>
      </c>
      <c r="AA53" s="11">
        <v>44593</v>
      </c>
      <c r="AB53" s="8">
        <v>15000</v>
      </c>
      <c r="AC53" s="11">
        <v>44627</v>
      </c>
      <c r="AD53" s="8">
        <v>15650</v>
      </c>
      <c r="AE53" s="11">
        <v>44641</v>
      </c>
      <c r="AF53" s="8">
        <v>6000</v>
      </c>
      <c r="AG53" s="11"/>
      <c r="AH53" s="8"/>
    </row>
    <row r="54" spans="1:34" ht="15.75" customHeight="1" x14ac:dyDescent="0.25">
      <c r="A54" s="5" t="s">
        <v>89</v>
      </c>
      <c r="B54" s="5" t="s">
        <v>90</v>
      </c>
      <c r="C54" s="5" t="s">
        <v>79</v>
      </c>
      <c r="D54" s="6">
        <f t="shared" si="2"/>
        <v>23000</v>
      </c>
      <c r="E54" s="6">
        <f t="shared" si="3"/>
        <v>0</v>
      </c>
      <c r="F54" s="6">
        <v>0</v>
      </c>
      <c r="G54" s="6">
        <v>18500</v>
      </c>
      <c r="H54" s="6">
        <v>1500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7">
        <v>3000</v>
      </c>
      <c r="AA54" s="11">
        <v>44571</v>
      </c>
      <c r="AB54" s="8">
        <v>23000</v>
      </c>
      <c r="AC54" s="11"/>
      <c r="AD54" s="8"/>
      <c r="AE54" s="11"/>
      <c r="AF54" s="8"/>
      <c r="AG54" s="11"/>
      <c r="AH54" s="8"/>
    </row>
    <row r="55" spans="1:34" ht="15.75" customHeight="1" x14ac:dyDescent="0.25">
      <c r="A55" s="5" t="s">
        <v>89</v>
      </c>
      <c r="B55" s="5" t="s">
        <v>91</v>
      </c>
      <c r="C55" s="5" t="s">
        <v>79</v>
      </c>
      <c r="D55" s="6">
        <f t="shared" si="2"/>
        <v>20000</v>
      </c>
      <c r="E55" s="6">
        <f t="shared" si="3"/>
        <v>0</v>
      </c>
      <c r="F55" s="6">
        <v>0</v>
      </c>
      <c r="G55" s="6">
        <v>18500</v>
      </c>
      <c r="H55" s="6">
        <v>1500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7"/>
      <c r="AA55" s="11">
        <v>44573</v>
      </c>
      <c r="AB55" s="8">
        <v>20000</v>
      </c>
      <c r="AC55" s="11"/>
      <c r="AD55" s="8"/>
      <c r="AE55" s="11"/>
      <c r="AF55" s="8"/>
      <c r="AG55" s="11"/>
      <c r="AH55" s="8"/>
    </row>
    <row r="56" spans="1:34" ht="15.75" customHeight="1" x14ac:dyDescent="0.25">
      <c r="A56" s="5" t="s">
        <v>123</v>
      </c>
      <c r="B56" s="5" t="s">
        <v>124</v>
      </c>
      <c r="C56" s="5" t="s">
        <v>122</v>
      </c>
      <c r="D56" s="6">
        <f t="shared" si="2"/>
        <v>37000</v>
      </c>
      <c r="E56" s="6">
        <f t="shared" si="3"/>
        <v>2000</v>
      </c>
      <c r="F56" s="6">
        <v>0</v>
      </c>
      <c r="G56" s="6">
        <v>22500</v>
      </c>
      <c r="H56" s="6">
        <v>2500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2000</v>
      </c>
      <c r="P56" s="6">
        <v>0</v>
      </c>
      <c r="Q56" s="6">
        <v>0</v>
      </c>
      <c r="R56" s="6">
        <v>5000</v>
      </c>
      <c r="S56" s="6">
        <v>3000</v>
      </c>
      <c r="T56" s="6">
        <v>2000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7"/>
      <c r="AA56" s="11">
        <v>44573</v>
      </c>
      <c r="AB56" s="8">
        <v>0</v>
      </c>
      <c r="AC56" s="11">
        <v>44599</v>
      </c>
      <c r="AD56" s="8">
        <v>0</v>
      </c>
      <c r="AE56" s="11">
        <v>44626</v>
      </c>
      <c r="AF56" s="8">
        <v>20000</v>
      </c>
      <c r="AG56" s="11">
        <v>44654</v>
      </c>
      <c r="AH56" s="8">
        <v>15000</v>
      </c>
    </row>
    <row r="57" spans="1:34" ht="15.75" customHeight="1" x14ac:dyDescent="0.25">
      <c r="A57" s="5" t="s">
        <v>123</v>
      </c>
      <c r="B57" s="5" t="s">
        <v>125</v>
      </c>
      <c r="C57" s="5" t="s">
        <v>122</v>
      </c>
      <c r="D57" s="6">
        <f t="shared" si="2"/>
        <v>59050</v>
      </c>
      <c r="E57" s="6">
        <f t="shared" si="3"/>
        <v>7050</v>
      </c>
      <c r="F57" s="6">
        <v>0</v>
      </c>
      <c r="G57" s="6">
        <v>22500</v>
      </c>
      <c r="H57" s="6">
        <v>2500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2000</v>
      </c>
      <c r="P57" s="6">
        <v>0</v>
      </c>
      <c r="Q57" s="6">
        <v>0</v>
      </c>
      <c r="R57" s="6">
        <v>5000</v>
      </c>
      <c r="S57" s="6">
        <v>3000</v>
      </c>
      <c r="T57" s="6">
        <v>2000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7">
        <v>22050</v>
      </c>
      <c r="AA57" s="11">
        <v>44573</v>
      </c>
      <c r="AB57" s="8">
        <v>22000</v>
      </c>
      <c r="AC57" s="11">
        <v>44599</v>
      </c>
      <c r="AD57" s="8">
        <v>30000</v>
      </c>
      <c r="AE57" s="11">
        <v>44626</v>
      </c>
      <c r="AF57" s="8">
        <v>0</v>
      </c>
      <c r="AG57" s="11">
        <v>44654</v>
      </c>
      <c r="AH57" s="8">
        <v>0</v>
      </c>
    </row>
    <row r="58" spans="1:34" ht="15.75" customHeight="1" x14ac:dyDescent="0.25">
      <c r="A58" s="5" t="s">
        <v>108</v>
      </c>
      <c r="B58" s="5" t="s">
        <v>830</v>
      </c>
      <c r="C58" s="5" t="s">
        <v>105</v>
      </c>
      <c r="D58" s="6">
        <f t="shared" si="2"/>
        <v>42150</v>
      </c>
      <c r="E58" s="6">
        <f t="shared" si="3"/>
        <v>12150</v>
      </c>
      <c r="F58" s="6">
        <v>0</v>
      </c>
      <c r="G58" s="6">
        <v>18500</v>
      </c>
      <c r="H58" s="6">
        <v>2000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1000</v>
      </c>
      <c r="P58" s="6">
        <v>0</v>
      </c>
      <c r="Q58" s="6">
        <v>0</v>
      </c>
      <c r="R58" s="6">
        <v>0</v>
      </c>
      <c r="S58" s="6">
        <v>1000</v>
      </c>
      <c r="T58" s="6">
        <v>1000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7">
        <v>18650</v>
      </c>
      <c r="AA58" s="11">
        <v>44573</v>
      </c>
      <c r="AB58" s="8">
        <v>20000</v>
      </c>
      <c r="AC58" s="11">
        <v>44599</v>
      </c>
      <c r="AD58" s="8">
        <v>0</v>
      </c>
      <c r="AE58" s="11">
        <v>44627</v>
      </c>
      <c r="AF58" s="8">
        <v>10000</v>
      </c>
      <c r="AG58" s="11"/>
      <c r="AH58" s="8"/>
    </row>
    <row r="59" spans="1:34" ht="15.75" customHeight="1" x14ac:dyDescent="0.25">
      <c r="A59" s="5" t="s">
        <v>108</v>
      </c>
      <c r="B59" s="5" t="s">
        <v>829</v>
      </c>
      <c r="C59" s="5" t="s">
        <v>118</v>
      </c>
      <c r="D59" s="6">
        <f t="shared" si="2"/>
        <v>37250</v>
      </c>
      <c r="E59" s="6">
        <f t="shared" si="3"/>
        <v>7250</v>
      </c>
      <c r="F59" s="6">
        <v>0</v>
      </c>
      <c r="G59" s="6">
        <v>27750</v>
      </c>
      <c r="H59" s="6">
        <v>2000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1500</v>
      </c>
      <c r="P59" s="6">
        <v>0</v>
      </c>
      <c r="Q59" s="6">
        <v>0</v>
      </c>
      <c r="R59" s="6">
        <v>0</v>
      </c>
      <c r="S59" s="6">
        <v>1500</v>
      </c>
      <c r="T59" s="6">
        <v>1000</v>
      </c>
      <c r="U59" s="6">
        <v>3500</v>
      </c>
      <c r="V59" s="6">
        <v>0</v>
      </c>
      <c r="W59" s="6">
        <v>0</v>
      </c>
      <c r="X59" s="6">
        <v>0</v>
      </c>
      <c r="Y59" s="6">
        <v>0</v>
      </c>
      <c r="Z59" s="7"/>
      <c r="AA59" s="11">
        <v>44573</v>
      </c>
      <c r="AB59" s="8">
        <v>0</v>
      </c>
      <c r="AC59" s="11">
        <v>44599</v>
      </c>
      <c r="AD59" s="8">
        <v>30000</v>
      </c>
      <c r="AE59" s="11">
        <v>44627</v>
      </c>
      <c r="AF59" s="8">
        <v>0</v>
      </c>
      <c r="AG59" s="11"/>
      <c r="AH59" s="8"/>
    </row>
    <row r="60" spans="1:34" ht="15.75" customHeight="1" x14ac:dyDescent="0.25">
      <c r="A60" s="5" t="s">
        <v>96</v>
      </c>
      <c r="B60" s="5" t="s">
        <v>97</v>
      </c>
      <c r="C60" s="5" t="s">
        <v>95</v>
      </c>
      <c r="D60" s="6">
        <f t="shared" si="2"/>
        <v>28000</v>
      </c>
      <c r="E60" s="6">
        <f t="shared" si="3"/>
        <v>0</v>
      </c>
      <c r="F60" s="6">
        <v>0</v>
      </c>
      <c r="G60" s="6">
        <v>18500</v>
      </c>
      <c r="H60" s="6">
        <v>2000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1000</v>
      </c>
      <c r="P60" s="6">
        <v>0</v>
      </c>
      <c r="Q60" s="6">
        <v>0</v>
      </c>
      <c r="R60" s="6">
        <v>4500</v>
      </c>
      <c r="S60" s="6">
        <v>1000</v>
      </c>
      <c r="T60" s="6">
        <v>1000</v>
      </c>
      <c r="U60" s="5">
        <v>0</v>
      </c>
      <c r="V60" s="6">
        <v>0</v>
      </c>
      <c r="W60" s="6">
        <v>0</v>
      </c>
      <c r="X60" s="6">
        <v>0</v>
      </c>
      <c r="Y60" s="6">
        <v>0</v>
      </c>
      <c r="Z60" s="7"/>
      <c r="AA60" s="11">
        <v>44593</v>
      </c>
      <c r="AB60" s="8">
        <v>28000</v>
      </c>
      <c r="AC60" s="11"/>
      <c r="AD60" s="8"/>
      <c r="AE60" s="11"/>
      <c r="AF60" s="8"/>
      <c r="AG60" s="11"/>
      <c r="AH60" s="8"/>
    </row>
    <row r="61" spans="1:34" ht="15.75" customHeight="1" x14ac:dyDescent="0.25">
      <c r="A61" s="5" t="s">
        <v>96</v>
      </c>
      <c r="B61" s="5" t="s">
        <v>119</v>
      </c>
      <c r="C61" s="5" t="s">
        <v>118</v>
      </c>
      <c r="D61" s="6">
        <f t="shared" si="2"/>
        <v>52100</v>
      </c>
      <c r="E61" s="6">
        <f t="shared" si="3"/>
        <v>0</v>
      </c>
      <c r="F61" s="6">
        <v>0</v>
      </c>
      <c r="G61" s="6">
        <v>27750</v>
      </c>
      <c r="H61" s="6">
        <v>2000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1000</v>
      </c>
      <c r="P61" s="6">
        <v>0</v>
      </c>
      <c r="Q61" s="6">
        <v>0</v>
      </c>
      <c r="R61" s="6">
        <v>4500</v>
      </c>
      <c r="S61" s="6">
        <v>1000</v>
      </c>
      <c r="T61" s="6">
        <v>1000</v>
      </c>
      <c r="U61" s="6">
        <v>3500</v>
      </c>
      <c r="V61" s="6">
        <v>0</v>
      </c>
      <c r="W61" s="6">
        <v>0</v>
      </c>
      <c r="X61" s="6">
        <v>0</v>
      </c>
      <c r="Y61" s="6">
        <v>0</v>
      </c>
      <c r="Z61" s="7">
        <v>11350</v>
      </c>
      <c r="AA61" s="11">
        <v>44593</v>
      </c>
      <c r="AB61" s="8">
        <v>52100</v>
      </c>
      <c r="AC61" s="11"/>
      <c r="AD61" s="8"/>
      <c r="AE61" s="11"/>
      <c r="AF61" s="8"/>
      <c r="AG61" s="11"/>
      <c r="AH61" s="8"/>
    </row>
    <row r="62" spans="1:34" ht="15.75" customHeight="1" x14ac:dyDescent="0.25">
      <c r="A62" s="5" t="s">
        <v>92</v>
      </c>
      <c r="B62" s="5" t="s">
        <v>93</v>
      </c>
      <c r="C62" s="5" t="s">
        <v>79</v>
      </c>
      <c r="D62" s="6">
        <f t="shared" si="2"/>
        <v>53550</v>
      </c>
      <c r="E62" s="6">
        <f t="shared" si="3"/>
        <v>15050</v>
      </c>
      <c r="F62" s="6">
        <v>1500</v>
      </c>
      <c r="G62" s="6">
        <v>16500</v>
      </c>
      <c r="H62" s="6">
        <v>1500</v>
      </c>
      <c r="I62" s="6">
        <v>1000</v>
      </c>
      <c r="J62" s="6">
        <v>6050</v>
      </c>
      <c r="K62" s="6">
        <v>1500</v>
      </c>
      <c r="L62" s="6">
        <v>10000</v>
      </c>
      <c r="M62" s="6">
        <v>3000</v>
      </c>
      <c r="N62" s="6">
        <v>4000</v>
      </c>
      <c r="O62" s="6">
        <v>0</v>
      </c>
      <c r="P62" s="6">
        <v>0</v>
      </c>
      <c r="Q62" s="6">
        <v>4000</v>
      </c>
      <c r="R62" s="6">
        <v>4500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7"/>
      <c r="AA62" s="11">
        <v>44580</v>
      </c>
      <c r="AB62" s="8">
        <v>1500</v>
      </c>
      <c r="AC62" s="11">
        <v>44581</v>
      </c>
      <c r="AD62" s="8">
        <v>37000</v>
      </c>
      <c r="AE62" s="11">
        <v>44628</v>
      </c>
      <c r="AF62" s="8">
        <v>0</v>
      </c>
      <c r="AG62" s="11">
        <v>44649</v>
      </c>
      <c r="AH62" s="8">
        <v>0</v>
      </c>
    </row>
    <row r="63" spans="1:34" ht="15.75" customHeight="1" x14ac:dyDescent="0.25">
      <c r="A63" s="5" t="s">
        <v>92</v>
      </c>
      <c r="B63" s="5" t="s">
        <v>104</v>
      </c>
      <c r="C63" s="5" t="s">
        <v>99</v>
      </c>
      <c r="D63" s="6">
        <f t="shared" si="2"/>
        <v>62200</v>
      </c>
      <c r="E63" s="6">
        <f t="shared" si="3"/>
        <v>10700</v>
      </c>
      <c r="F63" s="6">
        <v>1500</v>
      </c>
      <c r="G63" s="6">
        <v>18500</v>
      </c>
      <c r="H63" s="6">
        <v>2000</v>
      </c>
      <c r="I63" s="6">
        <v>2500</v>
      </c>
      <c r="J63" s="6">
        <v>8200</v>
      </c>
      <c r="K63" s="6">
        <v>1500</v>
      </c>
      <c r="L63" s="6">
        <v>12000</v>
      </c>
      <c r="M63" s="6">
        <v>0</v>
      </c>
      <c r="N63" s="6">
        <v>4000</v>
      </c>
      <c r="O63" s="6">
        <v>1500</v>
      </c>
      <c r="P63" s="6">
        <v>0</v>
      </c>
      <c r="Q63" s="6">
        <v>4000</v>
      </c>
      <c r="R63" s="6">
        <v>4500</v>
      </c>
      <c r="S63" s="6">
        <v>1000</v>
      </c>
      <c r="T63" s="6">
        <v>1000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7"/>
      <c r="AA63" s="11">
        <v>44580</v>
      </c>
      <c r="AB63" s="8">
        <v>1500</v>
      </c>
      <c r="AC63" s="11">
        <v>44581</v>
      </c>
      <c r="AD63" s="8">
        <v>0</v>
      </c>
      <c r="AE63" s="11">
        <v>44628</v>
      </c>
      <c r="AF63" s="8">
        <v>20000</v>
      </c>
      <c r="AG63" s="11">
        <v>44649</v>
      </c>
      <c r="AH63" s="8">
        <v>30000</v>
      </c>
    </row>
    <row r="64" spans="1:34" ht="15.75" customHeight="1" x14ac:dyDescent="0.25">
      <c r="A64" s="5"/>
      <c r="B64" s="5"/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  <c r="AA64" s="11"/>
      <c r="AB64" s="8"/>
      <c r="AC64" s="11"/>
      <c r="AD64" s="8"/>
      <c r="AE64" s="11"/>
      <c r="AF64" s="8"/>
      <c r="AG64" s="11"/>
      <c r="AH64" s="8"/>
    </row>
    <row r="65" spans="1:34" ht="15.75" customHeight="1" x14ac:dyDescent="0.25">
      <c r="A65" s="5"/>
      <c r="B65" s="5"/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  <c r="AA65" s="11"/>
      <c r="AB65" s="8"/>
      <c r="AC65" s="11"/>
      <c r="AD65" s="8"/>
      <c r="AE65" s="11"/>
      <c r="AF65" s="8"/>
      <c r="AG65" s="11"/>
      <c r="AH65" s="8"/>
    </row>
    <row r="66" spans="1:34" ht="15.75" customHeight="1" x14ac:dyDescent="0.25">
      <c r="A66" s="5"/>
      <c r="B66" s="5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  <c r="AA66" s="11"/>
      <c r="AB66" s="8"/>
      <c r="AC66" s="11"/>
      <c r="AD66" s="8"/>
      <c r="AE66" s="11"/>
      <c r="AF66" s="8"/>
      <c r="AG66" s="11"/>
      <c r="AH66" s="8"/>
    </row>
    <row r="67" spans="1:34" ht="15.75" customHeight="1" x14ac:dyDescent="0.25">
      <c r="A67" s="5"/>
      <c r="B67" s="5"/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  <c r="AA67" s="11"/>
      <c r="AB67" s="8"/>
      <c r="AC67" s="11"/>
      <c r="AD67" s="8"/>
      <c r="AE67" s="11"/>
      <c r="AF67" s="8"/>
      <c r="AG67" s="11"/>
      <c r="AH67" s="8"/>
    </row>
    <row r="68" spans="1:34" ht="15.75" customHeight="1" x14ac:dyDescent="0.25">
      <c r="A68" s="5"/>
      <c r="B68" s="5"/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  <c r="AA68" s="11"/>
      <c r="AB68" s="8"/>
      <c r="AC68" s="11"/>
      <c r="AD68" s="8"/>
      <c r="AE68" s="11"/>
      <c r="AF68" s="8"/>
      <c r="AG68" s="11"/>
      <c r="AH68" s="8"/>
    </row>
    <row r="69" spans="1:34" ht="15.75" customHeight="1" x14ac:dyDescent="0.25">
      <c r="A69" s="5"/>
      <c r="B69" s="5"/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  <c r="AA69" s="11"/>
      <c r="AB69" s="8"/>
      <c r="AC69" s="11"/>
      <c r="AD69" s="8"/>
      <c r="AE69" s="11"/>
      <c r="AF69" s="8"/>
      <c r="AG69" s="11"/>
      <c r="AH69" s="8"/>
    </row>
    <row r="70" spans="1:34" ht="15.75" customHeight="1" x14ac:dyDescent="0.25">
      <c r="A70" s="5"/>
      <c r="B70" s="5"/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  <c r="AA70" s="11"/>
      <c r="AB70" s="8"/>
      <c r="AC70" s="11"/>
      <c r="AD70" s="8"/>
      <c r="AE70" s="11"/>
      <c r="AF70" s="8"/>
      <c r="AG70" s="11"/>
      <c r="AH70" s="8"/>
    </row>
    <row r="71" spans="1:34" ht="15.75" customHeight="1" x14ac:dyDescent="0.25">
      <c r="A71" s="5"/>
      <c r="B71" s="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  <c r="AA71" s="11"/>
      <c r="AB71" s="8"/>
      <c r="AC71" s="11"/>
      <c r="AD71" s="8"/>
      <c r="AE71" s="11"/>
      <c r="AF71" s="8"/>
      <c r="AG71" s="11"/>
      <c r="AH71" s="8"/>
    </row>
    <row r="72" spans="1:34" ht="15.75" customHeight="1" x14ac:dyDescent="0.25">
      <c r="A72" s="5"/>
      <c r="B72" s="5"/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  <c r="AA72" s="11"/>
      <c r="AB72" s="8"/>
      <c r="AC72" s="11"/>
      <c r="AD72" s="8"/>
      <c r="AE72" s="11"/>
      <c r="AF72" s="8"/>
      <c r="AG72" s="11"/>
      <c r="AH72" s="8"/>
    </row>
    <row r="73" spans="1:34" ht="15.75" customHeight="1" x14ac:dyDescent="0.25">
      <c r="A73" s="5"/>
      <c r="B73" s="5"/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  <c r="AA73" s="11"/>
      <c r="AB73" s="8"/>
      <c r="AC73" s="11"/>
      <c r="AD73" s="8"/>
      <c r="AE73" s="11"/>
      <c r="AF73" s="8"/>
      <c r="AG73" s="11"/>
      <c r="AH73" s="8"/>
    </row>
    <row r="74" spans="1:34" ht="15.75" customHeight="1" x14ac:dyDescent="0.25">
      <c r="A74" s="5"/>
      <c r="B74" s="5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  <c r="AA74" s="11"/>
      <c r="AB74" s="8"/>
      <c r="AC74" s="11"/>
      <c r="AD74" s="8"/>
      <c r="AE74" s="11"/>
      <c r="AF74" s="8"/>
      <c r="AG74" s="11"/>
      <c r="AH74" s="8"/>
    </row>
    <row r="75" spans="1:34" ht="15.75" customHeight="1" x14ac:dyDescent="0.25">
      <c r="A75" s="5"/>
      <c r="B75" s="5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  <c r="AA75" s="11"/>
      <c r="AB75" s="8"/>
      <c r="AC75" s="11"/>
      <c r="AD75" s="8"/>
      <c r="AE75" s="11"/>
      <c r="AF75" s="8"/>
      <c r="AG75" s="11"/>
      <c r="AH75" s="8"/>
    </row>
    <row r="76" spans="1:34" ht="15.75" customHeight="1" x14ac:dyDescent="0.25">
      <c r="A76" s="5"/>
      <c r="B76" s="5"/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  <c r="AA76" s="11"/>
      <c r="AB76" s="8"/>
      <c r="AC76" s="11"/>
      <c r="AD76" s="8"/>
      <c r="AE76" s="11"/>
      <c r="AF76" s="8"/>
      <c r="AG76" s="11"/>
      <c r="AH76" s="8"/>
    </row>
    <row r="77" spans="1:34" ht="15.75" customHeight="1" x14ac:dyDescent="0.25">
      <c r="A77" s="5"/>
      <c r="B77" s="5"/>
      <c r="C77" s="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  <c r="AA77" s="11"/>
      <c r="AB77" s="8"/>
      <c r="AC77" s="11"/>
      <c r="AD77" s="8"/>
      <c r="AE77" s="11"/>
      <c r="AF77" s="8"/>
      <c r="AG77" s="11"/>
      <c r="AH77" s="8"/>
    </row>
    <row r="78" spans="1:34" ht="15.75" customHeight="1" x14ac:dyDescent="0.25">
      <c r="A78" s="5"/>
      <c r="B78" s="5"/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  <c r="AA78" s="11"/>
      <c r="AB78" s="8"/>
      <c r="AC78" s="11"/>
      <c r="AD78" s="8"/>
      <c r="AE78" s="11"/>
      <c r="AF78" s="8"/>
      <c r="AG78" s="11"/>
      <c r="AH78" s="8"/>
    </row>
    <row r="79" spans="1:34" ht="15.75" customHeight="1" x14ac:dyDescent="0.25">
      <c r="A79" s="5"/>
      <c r="B79" s="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  <c r="AA79" s="11"/>
      <c r="AB79" s="8"/>
      <c r="AC79" s="11"/>
      <c r="AD79" s="8"/>
      <c r="AE79" s="11"/>
      <c r="AF79" s="8"/>
      <c r="AG79" s="11"/>
      <c r="AH79" s="8"/>
    </row>
    <row r="80" spans="1:34" ht="15.75" customHeight="1" x14ac:dyDescent="0.25">
      <c r="A80" s="5"/>
      <c r="B80" s="5"/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  <c r="AA80" s="11"/>
      <c r="AB80" s="8"/>
      <c r="AC80" s="11"/>
      <c r="AD80" s="8"/>
      <c r="AE80" s="11"/>
      <c r="AF80" s="8"/>
      <c r="AG80" s="11"/>
      <c r="AH80" s="8"/>
    </row>
    <row r="81" spans="1:34" ht="15.75" customHeight="1" x14ac:dyDescent="0.25">
      <c r="A81" s="5"/>
      <c r="B81" s="5"/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  <c r="AA81" s="11"/>
      <c r="AB81" s="8"/>
      <c r="AC81" s="11"/>
      <c r="AD81" s="8"/>
      <c r="AE81" s="11"/>
      <c r="AF81" s="8"/>
      <c r="AG81" s="11"/>
      <c r="AH81" s="8"/>
    </row>
    <row r="82" spans="1:34" ht="15.75" customHeight="1" x14ac:dyDescent="0.25">
      <c r="A82" s="5"/>
      <c r="B82" s="5"/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  <c r="AA82" s="11"/>
      <c r="AB82" s="8"/>
      <c r="AC82" s="11"/>
      <c r="AD82" s="8"/>
      <c r="AE82" s="11"/>
      <c r="AF82" s="8"/>
      <c r="AG82" s="11"/>
      <c r="AH82" s="8"/>
    </row>
    <row r="83" spans="1:34" ht="15.75" customHeight="1" x14ac:dyDescent="0.25">
      <c r="A83" s="5"/>
      <c r="B83" s="5"/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  <c r="AA83" s="11"/>
      <c r="AB83" s="8"/>
      <c r="AC83" s="11"/>
      <c r="AD83" s="8"/>
      <c r="AE83" s="11"/>
      <c r="AF83" s="8"/>
      <c r="AG83" s="11"/>
      <c r="AH83" s="8"/>
    </row>
    <row r="84" spans="1:34" ht="15.75" customHeight="1" x14ac:dyDescent="0.25">
      <c r="A84" s="5"/>
      <c r="B84" s="5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  <c r="AA84" s="11"/>
      <c r="AB84" s="8"/>
      <c r="AC84" s="11"/>
      <c r="AD84" s="8"/>
      <c r="AE84" s="11"/>
      <c r="AF84" s="8"/>
      <c r="AG84" s="11"/>
      <c r="AH84" s="8"/>
    </row>
    <row r="85" spans="1:34" ht="15.75" customHeight="1" x14ac:dyDescent="0.25">
      <c r="A85" s="5"/>
      <c r="B85" s="5"/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  <c r="AA85" s="11"/>
      <c r="AB85" s="8"/>
      <c r="AC85" s="11"/>
      <c r="AD85" s="8"/>
      <c r="AE85" s="11"/>
      <c r="AF85" s="8"/>
      <c r="AG85" s="11"/>
      <c r="AH85" s="8"/>
    </row>
    <row r="86" spans="1:34" ht="15.75" customHeight="1" x14ac:dyDescent="0.25">
      <c r="A86" s="5"/>
      <c r="B86" s="5"/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  <c r="AA86" s="11"/>
      <c r="AB86" s="8"/>
      <c r="AC86" s="11"/>
      <c r="AD86" s="8"/>
      <c r="AE86" s="11"/>
      <c r="AF86" s="8"/>
      <c r="AG86" s="11"/>
      <c r="AH86" s="8"/>
    </row>
    <row r="87" spans="1:34" ht="15.75" customHeight="1" x14ac:dyDescent="0.25">
      <c r="A87" s="5"/>
      <c r="B87" s="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  <c r="AA87" s="11"/>
      <c r="AB87" s="8"/>
      <c r="AC87" s="11"/>
      <c r="AD87" s="8"/>
      <c r="AE87" s="11"/>
      <c r="AF87" s="8"/>
      <c r="AG87" s="11"/>
      <c r="AH87" s="8"/>
    </row>
    <row r="88" spans="1:34" ht="15.75" customHeight="1" x14ac:dyDescent="0.25">
      <c r="A88" s="5"/>
      <c r="B88" s="5"/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  <c r="AA88" s="11"/>
      <c r="AB88" s="8"/>
      <c r="AC88" s="11"/>
      <c r="AD88" s="8"/>
      <c r="AE88" s="11"/>
      <c r="AF88" s="8"/>
      <c r="AG88" s="11"/>
      <c r="AH88" s="8"/>
    </row>
    <row r="89" spans="1:34" ht="15.75" customHeight="1" x14ac:dyDescent="0.25">
      <c r="A89" s="5"/>
      <c r="B89" s="5"/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  <c r="AA89" s="11"/>
      <c r="AB89" s="8"/>
      <c r="AC89" s="11"/>
      <c r="AD89" s="8"/>
      <c r="AE89" s="11"/>
      <c r="AF89" s="8"/>
      <c r="AG89" s="11"/>
      <c r="AH89" s="8"/>
    </row>
    <row r="90" spans="1:34" ht="15.75" customHeight="1" x14ac:dyDescent="0.25">
      <c r="A90" s="5"/>
      <c r="B90" s="5"/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  <c r="AA90" s="11"/>
      <c r="AB90" s="8"/>
      <c r="AC90" s="11"/>
      <c r="AD90" s="8"/>
      <c r="AE90" s="11"/>
      <c r="AF90" s="8"/>
      <c r="AG90" s="11"/>
      <c r="AH90" s="8"/>
    </row>
    <row r="91" spans="1:34" ht="15.75" customHeight="1" x14ac:dyDescent="0.25">
      <c r="A91" s="5"/>
      <c r="B91" s="5"/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  <c r="AA91" s="11"/>
      <c r="AB91" s="8"/>
      <c r="AC91" s="11"/>
      <c r="AD91" s="8"/>
      <c r="AE91" s="11"/>
      <c r="AF91" s="8"/>
      <c r="AG91" s="11"/>
      <c r="AH91" s="8"/>
    </row>
    <row r="92" spans="1:34" ht="15.75" customHeight="1" x14ac:dyDescent="0.25">
      <c r="A92" s="5"/>
      <c r="B92" s="5"/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  <c r="AA92" s="11"/>
      <c r="AB92" s="8"/>
      <c r="AC92" s="11"/>
      <c r="AD92" s="8"/>
      <c r="AE92" s="11"/>
      <c r="AF92" s="8"/>
      <c r="AG92" s="11"/>
      <c r="AH92" s="8"/>
    </row>
    <row r="93" spans="1:34" ht="15.75" customHeight="1" x14ac:dyDescent="0.25">
      <c r="A93" s="5"/>
      <c r="B93" s="5"/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  <c r="AA93" s="11"/>
      <c r="AB93" s="8"/>
      <c r="AC93" s="11"/>
      <c r="AD93" s="8"/>
      <c r="AE93" s="11"/>
      <c r="AF93" s="8"/>
      <c r="AG93" s="11"/>
      <c r="AH93" s="8"/>
    </row>
    <row r="94" spans="1:34" ht="15.75" customHeight="1" x14ac:dyDescent="0.25">
      <c r="A94" s="5"/>
      <c r="B94" s="5"/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  <c r="AA94" s="11"/>
      <c r="AB94" s="8"/>
      <c r="AC94" s="11"/>
      <c r="AD94" s="8"/>
      <c r="AE94" s="11"/>
      <c r="AF94" s="8"/>
      <c r="AG94" s="11"/>
      <c r="AH94" s="8"/>
    </row>
    <row r="95" spans="1:34" ht="15.75" customHeight="1" x14ac:dyDescent="0.25">
      <c r="A95" s="5"/>
      <c r="B95" s="5"/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  <c r="AA95" s="11"/>
      <c r="AB95" s="8"/>
      <c r="AC95" s="11"/>
      <c r="AD95" s="8"/>
      <c r="AE95" s="11"/>
      <c r="AF95" s="8"/>
      <c r="AG95" s="11"/>
      <c r="AH95" s="8"/>
    </row>
    <row r="96" spans="1:34" ht="15.75" customHeight="1" x14ac:dyDescent="0.25">
      <c r="A96" s="5"/>
      <c r="B96" s="5"/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  <c r="AA96" s="11"/>
      <c r="AB96" s="8"/>
      <c r="AC96" s="11"/>
      <c r="AD96" s="8"/>
      <c r="AE96" s="11"/>
      <c r="AF96" s="8"/>
      <c r="AG96" s="11"/>
      <c r="AH96" s="8"/>
    </row>
    <row r="97" spans="1:34" ht="15.75" customHeight="1" x14ac:dyDescent="0.25">
      <c r="A97" s="5"/>
      <c r="B97" s="5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  <c r="AA97" s="11"/>
      <c r="AB97" s="8"/>
      <c r="AC97" s="11"/>
      <c r="AD97" s="8"/>
      <c r="AE97" s="11"/>
      <c r="AF97" s="8"/>
      <c r="AG97" s="11"/>
      <c r="AH97" s="8"/>
    </row>
    <row r="98" spans="1:34" ht="15.75" customHeight="1" x14ac:dyDescent="0.25">
      <c r="A98" s="5"/>
      <c r="B98" s="5"/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  <c r="AA98" s="11"/>
      <c r="AB98" s="8"/>
      <c r="AC98" s="11"/>
      <c r="AD98" s="8"/>
      <c r="AE98" s="11"/>
      <c r="AF98" s="8"/>
      <c r="AG98" s="11"/>
      <c r="AH98" s="8"/>
    </row>
    <row r="99" spans="1:34" ht="15.75" customHeight="1" x14ac:dyDescent="0.25">
      <c r="A99" s="5"/>
      <c r="B99" s="5"/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  <c r="AA99" s="11"/>
      <c r="AB99" s="8"/>
      <c r="AC99" s="11"/>
      <c r="AD99" s="8"/>
      <c r="AE99" s="11"/>
      <c r="AF99" s="8"/>
      <c r="AG99" s="11"/>
      <c r="AH99" s="8"/>
    </row>
    <row r="100" spans="1:34" ht="15.75" customHeight="1" x14ac:dyDescent="0.25">
      <c r="A100" s="5"/>
      <c r="B100" s="5"/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  <c r="AA100" s="11"/>
      <c r="AB100" s="8"/>
      <c r="AC100" s="11"/>
      <c r="AD100" s="8"/>
      <c r="AE100" s="11"/>
      <c r="AF100" s="8"/>
      <c r="AG100" s="11"/>
      <c r="AH100" s="8"/>
    </row>
    <row r="101" spans="1:34" ht="15.75" customHeight="1" x14ac:dyDescent="0.25">
      <c r="A101" s="5"/>
      <c r="B101" s="5"/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  <c r="AA101" s="11"/>
      <c r="AB101" s="8"/>
      <c r="AC101" s="11"/>
      <c r="AD101" s="8"/>
      <c r="AE101" s="11"/>
      <c r="AF101" s="8"/>
      <c r="AG101" s="11"/>
      <c r="AH101" s="8"/>
    </row>
    <row r="102" spans="1:34" ht="15.75" customHeight="1" x14ac:dyDescent="0.25">
      <c r="A102" s="5"/>
      <c r="B102" s="5"/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  <c r="AA102" s="11"/>
      <c r="AB102" s="8"/>
      <c r="AC102" s="11"/>
      <c r="AD102" s="8"/>
      <c r="AE102" s="11"/>
      <c r="AF102" s="8"/>
      <c r="AG102" s="11"/>
      <c r="AH102" s="8"/>
    </row>
    <row r="103" spans="1:34" ht="15.75" customHeight="1" x14ac:dyDescent="0.25">
      <c r="A103" s="5"/>
      <c r="B103" s="5"/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  <c r="AA103" s="11"/>
      <c r="AB103" s="8"/>
      <c r="AC103" s="11"/>
      <c r="AD103" s="8"/>
      <c r="AE103" s="11"/>
      <c r="AF103" s="8"/>
      <c r="AG103" s="11"/>
      <c r="AH103" s="8"/>
    </row>
    <row r="104" spans="1:34" ht="15.75" customHeight="1" x14ac:dyDescent="0.25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  <c r="AA104" s="11"/>
      <c r="AB104" s="8"/>
      <c r="AC104" s="11"/>
      <c r="AD104" s="8"/>
      <c r="AE104" s="11"/>
      <c r="AF104" s="8"/>
      <c r="AG104" s="11"/>
      <c r="AH104" s="8"/>
    </row>
    <row r="105" spans="1:34" ht="15.75" customHeight="1" x14ac:dyDescent="0.25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  <c r="AA105" s="11"/>
      <c r="AB105" s="8"/>
      <c r="AC105" s="11"/>
      <c r="AD105" s="8"/>
      <c r="AE105" s="11"/>
      <c r="AF105" s="8"/>
      <c r="AG105" s="11"/>
      <c r="AH105" s="8"/>
    </row>
    <row r="106" spans="1:34" ht="15.75" customHeight="1" x14ac:dyDescent="0.25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  <c r="AA106" s="11"/>
      <c r="AB106" s="8"/>
      <c r="AC106" s="11"/>
      <c r="AD106" s="8"/>
      <c r="AE106" s="11"/>
      <c r="AF106" s="8"/>
      <c r="AG106" s="11"/>
      <c r="AH106" s="8"/>
    </row>
    <row r="107" spans="1:34" ht="15.75" customHeight="1" x14ac:dyDescent="0.25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  <c r="AA107" s="11"/>
      <c r="AB107" s="8"/>
      <c r="AC107" s="11"/>
      <c r="AD107" s="8"/>
      <c r="AE107" s="11"/>
      <c r="AF107" s="8"/>
      <c r="AG107" s="11"/>
      <c r="AH107" s="8"/>
    </row>
    <row r="108" spans="1:34" ht="15.75" customHeight="1" x14ac:dyDescent="0.25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  <c r="AA108" s="11"/>
      <c r="AB108" s="8"/>
      <c r="AC108" s="11"/>
      <c r="AD108" s="8"/>
      <c r="AE108" s="11"/>
      <c r="AF108" s="8"/>
      <c r="AG108" s="11"/>
      <c r="AH108" s="8"/>
    </row>
    <row r="109" spans="1:34" ht="15.75" customHeight="1" x14ac:dyDescent="0.25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  <c r="AA109" s="11"/>
      <c r="AB109" s="8"/>
      <c r="AC109" s="11"/>
      <c r="AD109" s="8"/>
      <c r="AE109" s="11"/>
      <c r="AF109" s="8"/>
      <c r="AG109" s="11"/>
      <c r="AH109" s="8"/>
    </row>
    <row r="110" spans="1:34" ht="15.75" customHeight="1" x14ac:dyDescent="0.25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  <c r="AA110" s="11"/>
      <c r="AB110" s="8"/>
      <c r="AC110" s="11"/>
      <c r="AD110" s="8"/>
      <c r="AE110" s="11"/>
      <c r="AF110" s="8"/>
      <c r="AG110" s="11"/>
      <c r="AH110" s="8"/>
    </row>
    <row r="111" spans="1:34" ht="15.75" customHeight="1" x14ac:dyDescent="0.25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  <c r="AA111" s="11"/>
      <c r="AB111" s="8"/>
      <c r="AC111" s="11"/>
      <c r="AD111" s="8"/>
      <c r="AE111" s="11"/>
      <c r="AF111" s="8"/>
      <c r="AG111" s="11"/>
      <c r="AH111" s="8"/>
    </row>
    <row r="112" spans="1:34" ht="15.75" customHeight="1" x14ac:dyDescent="0.25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  <c r="AA112" s="11"/>
      <c r="AB112" s="8"/>
      <c r="AC112" s="11"/>
      <c r="AD112" s="8"/>
      <c r="AE112" s="11"/>
      <c r="AF112" s="8"/>
      <c r="AG112" s="11"/>
      <c r="AH112" s="8"/>
    </row>
    <row r="113" spans="1:34" ht="15.75" customHeight="1" x14ac:dyDescent="0.25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  <c r="AA113" s="11"/>
      <c r="AB113" s="8"/>
      <c r="AC113" s="11"/>
      <c r="AD113" s="8"/>
      <c r="AE113" s="11"/>
      <c r="AF113" s="8"/>
      <c r="AG113" s="11"/>
      <c r="AH113" s="8"/>
    </row>
    <row r="114" spans="1:34" ht="15.75" customHeight="1" x14ac:dyDescent="0.25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  <c r="AA114" s="11"/>
      <c r="AB114" s="8"/>
      <c r="AC114" s="11"/>
      <c r="AD114" s="8"/>
      <c r="AE114" s="11"/>
      <c r="AF114" s="8"/>
      <c r="AG114" s="11"/>
      <c r="AH114" s="8"/>
    </row>
    <row r="115" spans="1:34" ht="15.75" customHeight="1" x14ac:dyDescent="0.25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  <c r="AA115" s="11"/>
      <c r="AB115" s="8"/>
      <c r="AC115" s="11"/>
      <c r="AD115" s="8"/>
      <c r="AE115" s="11"/>
      <c r="AF115" s="8"/>
      <c r="AG115" s="11"/>
      <c r="AH115" s="8"/>
    </row>
    <row r="116" spans="1:34" ht="15.75" customHeight="1" x14ac:dyDescent="0.25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  <c r="AA116" s="11"/>
      <c r="AB116" s="8"/>
      <c r="AC116" s="11"/>
      <c r="AD116" s="8"/>
      <c r="AE116" s="11"/>
      <c r="AF116" s="8"/>
      <c r="AG116" s="11"/>
      <c r="AH116" s="8"/>
    </row>
    <row r="117" spans="1:34" ht="15.75" customHeight="1" x14ac:dyDescent="0.25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  <c r="AA117" s="11"/>
      <c r="AB117" s="8"/>
      <c r="AC117" s="11"/>
      <c r="AD117" s="8"/>
      <c r="AE117" s="11"/>
      <c r="AF117" s="8"/>
      <c r="AG117" s="11"/>
      <c r="AH117" s="8"/>
    </row>
    <row r="118" spans="1:34" ht="15.75" customHeight="1" x14ac:dyDescent="0.25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  <c r="AA118" s="11"/>
      <c r="AB118" s="8"/>
      <c r="AC118" s="11"/>
      <c r="AD118" s="8"/>
      <c r="AE118" s="11"/>
      <c r="AF118" s="8"/>
      <c r="AG118" s="11"/>
      <c r="AH118" s="8"/>
    </row>
    <row r="119" spans="1:34" ht="15.75" customHeight="1" x14ac:dyDescent="0.25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  <c r="AA119" s="11"/>
      <c r="AB119" s="8"/>
      <c r="AC119" s="11"/>
      <c r="AD119" s="8"/>
      <c r="AE119" s="11"/>
      <c r="AF119" s="8"/>
      <c r="AG119" s="11"/>
      <c r="AH119" s="8"/>
    </row>
    <row r="120" spans="1:34" ht="15.75" customHeight="1" x14ac:dyDescent="0.25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  <c r="AA120" s="11"/>
      <c r="AB120" s="8"/>
      <c r="AC120" s="11"/>
      <c r="AD120" s="8"/>
      <c r="AE120" s="11"/>
      <c r="AF120" s="8"/>
      <c r="AG120" s="11"/>
      <c r="AH120" s="8"/>
    </row>
    <row r="121" spans="1:34" ht="15.75" customHeight="1" x14ac:dyDescent="0.25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  <c r="AA121" s="11"/>
      <c r="AB121" s="8"/>
      <c r="AC121" s="11"/>
      <c r="AD121" s="8"/>
      <c r="AE121" s="11"/>
      <c r="AF121" s="8"/>
      <c r="AG121" s="11"/>
      <c r="AH121" s="8"/>
    </row>
    <row r="122" spans="1:34" ht="15.75" customHeight="1" x14ac:dyDescent="0.25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  <c r="AA122" s="11"/>
      <c r="AB122" s="8"/>
      <c r="AC122" s="11"/>
      <c r="AD122" s="8"/>
      <c r="AE122" s="11"/>
      <c r="AF122" s="8"/>
      <c r="AG122" s="11"/>
      <c r="AH122" s="8"/>
    </row>
    <row r="123" spans="1:34" ht="15.75" customHeight="1" x14ac:dyDescent="0.25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  <c r="AA123" s="11"/>
      <c r="AB123" s="8"/>
      <c r="AC123" s="11"/>
      <c r="AD123" s="8"/>
      <c r="AE123" s="11"/>
      <c r="AF123" s="8"/>
      <c r="AG123" s="11"/>
      <c r="AH123" s="8"/>
    </row>
    <row r="124" spans="1:34" ht="15.75" customHeight="1" x14ac:dyDescent="0.25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  <c r="AA124" s="11"/>
      <c r="AB124" s="8"/>
      <c r="AC124" s="11"/>
      <c r="AD124" s="8"/>
      <c r="AE124" s="11"/>
      <c r="AF124" s="8"/>
      <c r="AG124" s="11"/>
      <c r="AH124" s="8"/>
    </row>
    <row r="125" spans="1:34" ht="15.75" customHeight="1" x14ac:dyDescent="0.25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  <c r="AA125" s="11"/>
      <c r="AB125" s="8"/>
      <c r="AC125" s="11"/>
      <c r="AD125" s="8"/>
      <c r="AE125" s="11"/>
      <c r="AF125" s="8"/>
      <c r="AG125" s="11"/>
      <c r="AH125" s="8"/>
    </row>
    <row r="126" spans="1:34" ht="15.75" customHeight="1" x14ac:dyDescent="0.25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  <c r="AA126" s="11"/>
      <c r="AB126" s="8"/>
      <c r="AC126" s="11"/>
      <c r="AD126" s="8"/>
      <c r="AE126" s="11"/>
      <c r="AF126" s="8"/>
      <c r="AG126" s="11"/>
      <c r="AH126" s="8"/>
    </row>
    <row r="127" spans="1:34" ht="15.75" customHeight="1" x14ac:dyDescent="0.25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/>
      <c r="AA127" s="11"/>
      <c r="AB127" s="8"/>
      <c r="AC127" s="11"/>
      <c r="AD127" s="8"/>
      <c r="AE127" s="11"/>
      <c r="AF127" s="8"/>
      <c r="AG127" s="11"/>
      <c r="AH127" s="8"/>
    </row>
    <row r="128" spans="1:34" ht="15.75" customHeight="1" x14ac:dyDescent="0.25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/>
      <c r="AA128" s="11"/>
      <c r="AB128" s="8"/>
      <c r="AC128" s="11"/>
      <c r="AD128" s="8"/>
      <c r="AE128" s="11"/>
      <c r="AF128" s="8"/>
      <c r="AG128" s="11"/>
      <c r="AH128" s="8"/>
    </row>
    <row r="129" spans="1:34" ht="15.75" customHeight="1" x14ac:dyDescent="0.25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/>
      <c r="AA129" s="11"/>
      <c r="AB129" s="8"/>
      <c r="AC129" s="11"/>
      <c r="AD129" s="8"/>
      <c r="AE129" s="11"/>
      <c r="AF129" s="8"/>
      <c r="AG129" s="11"/>
      <c r="AH129" s="8"/>
    </row>
    <row r="130" spans="1:34" ht="15.75" customHeight="1" x14ac:dyDescent="0.25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/>
      <c r="AA130" s="11"/>
      <c r="AB130" s="8"/>
      <c r="AC130" s="11"/>
      <c r="AD130" s="8"/>
      <c r="AE130" s="11"/>
      <c r="AF130" s="8"/>
      <c r="AG130" s="11"/>
      <c r="AH130" s="8"/>
    </row>
    <row r="131" spans="1:34" ht="15.75" customHeight="1" x14ac:dyDescent="0.25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/>
      <c r="AA131" s="11"/>
      <c r="AB131" s="8"/>
      <c r="AC131" s="11"/>
      <c r="AD131" s="8"/>
      <c r="AE131" s="11"/>
      <c r="AF131" s="8"/>
      <c r="AG131" s="11"/>
      <c r="AH131" s="8"/>
    </row>
    <row r="132" spans="1:34" ht="15.75" customHeight="1" x14ac:dyDescent="0.25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/>
      <c r="AA132" s="11"/>
      <c r="AB132" s="8"/>
      <c r="AC132" s="11"/>
      <c r="AD132" s="8"/>
      <c r="AE132" s="11"/>
      <c r="AF132" s="8"/>
      <c r="AG132" s="11"/>
      <c r="AH132" s="8"/>
    </row>
    <row r="133" spans="1:34" ht="15.75" customHeight="1" x14ac:dyDescent="0.25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/>
      <c r="AA133" s="11"/>
      <c r="AB133" s="8"/>
      <c r="AC133" s="11"/>
      <c r="AD133" s="8"/>
      <c r="AE133" s="11"/>
      <c r="AF133" s="8"/>
      <c r="AG133" s="11"/>
      <c r="AH133" s="8"/>
    </row>
    <row r="134" spans="1:34" ht="15.75" customHeight="1" x14ac:dyDescent="0.25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/>
      <c r="AA134" s="11"/>
      <c r="AB134" s="8"/>
      <c r="AC134" s="11"/>
      <c r="AD134" s="8"/>
      <c r="AE134" s="11"/>
      <c r="AF134" s="8"/>
      <c r="AG134" s="11"/>
      <c r="AH134" s="8"/>
    </row>
    <row r="135" spans="1:34" ht="15.75" customHeight="1" x14ac:dyDescent="0.25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/>
      <c r="AA135" s="11"/>
      <c r="AB135" s="8"/>
      <c r="AC135" s="11"/>
      <c r="AD135" s="8"/>
      <c r="AE135" s="11"/>
      <c r="AF135" s="8"/>
      <c r="AG135" s="11"/>
      <c r="AH135" s="8"/>
    </row>
    <row r="136" spans="1:34" ht="15.75" customHeight="1" x14ac:dyDescent="0.25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/>
      <c r="AA136" s="11"/>
      <c r="AB136" s="8"/>
      <c r="AC136" s="11"/>
      <c r="AD136" s="8"/>
      <c r="AE136" s="11"/>
      <c r="AF136" s="8"/>
      <c r="AG136" s="11"/>
      <c r="AH136" s="8"/>
    </row>
    <row r="137" spans="1:34" ht="15.75" customHeight="1" x14ac:dyDescent="0.25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/>
      <c r="AA137" s="11"/>
      <c r="AB137" s="8"/>
      <c r="AC137" s="11"/>
      <c r="AD137" s="8"/>
      <c r="AE137" s="11"/>
      <c r="AF137" s="8"/>
      <c r="AG137" s="11"/>
      <c r="AH137" s="8"/>
    </row>
    <row r="138" spans="1:34" ht="15.75" customHeight="1" x14ac:dyDescent="0.25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/>
      <c r="AA138" s="11"/>
      <c r="AB138" s="8"/>
      <c r="AC138" s="11"/>
      <c r="AD138" s="8"/>
      <c r="AE138" s="11"/>
      <c r="AF138" s="8"/>
      <c r="AG138" s="11"/>
      <c r="AH138" s="8"/>
    </row>
    <row r="139" spans="1:34" ht="15.75" customHeight="1" x14ac:dyDescent="0.25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/>
      <c r="AA139" s="11"/>
      <c r="AB139" s="8"/>
      <c r="AC139" s="11"/>
      <c r="AD139" s="8"/>
      <c r="AE139" s="11"/>
      <c r="AF139" s="8"/>
      <c r="AG139" s="11"/>
      <c r="AH139" s="8"/>
    </row>
    <row r="140" spans="1:34" ht="15.75" customHeight="1" x14ac:dyDescent="0.25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/>
      <c r="AA140" s="11"/>
      <c r="AB140" s="8"/>
      <c r="AC140" s="11"/>
      <c r="AD140" s="8"/>
      <c r="AE140" s="11"/>
      <c r="AF140" s="8"/>
      <c r="AG140" s="11"/>
      <c r="AH140" s="8"/>
    </row>
    <row r="141" spans="1:34" ht="15.75" customHeight="1" x14ac:dyDescent="0.25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/>
      <c r="AA141" s="11"/>
      <c r="AB141" s="8"/>
      <c r="AC141" s="11"/>
      <c r="AD141" s="8"/>
      <c r="AE141" s="11"/>
      <c r="AF141" s="8"/>
      <c r="AG141" s="11"/>
      <c r="AH141" s="8"/>
    </row>
    <row r="142" spans="1:34" ht="15.75" customHeight="1" x14ac:dyDescent="0.25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/>
      <c r="AA142" s="11"/>
      <c r="AB142" s="8"/>
      <c r="AC142" s="11"/>
      <c r="AD142" s="8"/>
      <c r="AE142" s="11"/>
      <c r="AF142" s="8"/>
      <c r="AG142" s="11"/>
      <c r="AH142" s="8"/>
    </row>
    <row r="143" spans="1:34" ht="15.75" customHeight="1" x14ac:dyDescent="0.25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/>
      <c r="AA143" s="11"/>
      <c r="AB143" s="8"/>
      <c r="AC143" s="11"/>
      <c r="AD143" s="8"/>
      <c r="AE143" s="11"/>
      <c r="AF143" s="8"/>
      <c r="AG143" s="11"/>
      <c r="AH143" s="8"/>
    </row>
    <row r="144" spans="1:34" ht="15.75" customHeight="1" x14ac:dyDescent="0.25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/>
      <c r="AA144" s="11"/>
      <c r="AB144" s="8"/>
      <c r="AC144" s="11"/>
      <c r="AD144" s="8"/>
      <c r="AE144" s="11"/>
      <c r="AF144" s="8"/>
      <c r="AG144" s="11"/>
      <c r="AH144" s="8"/>
    </row>
    <row r="145" spans="1:34" ht="15.75" customHeight="1" x14ac:dyDescent="0.25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/>
      <c r="AA145" s="11"/>
      <c r="AB145" s="8"/>
      <c r="AC145" s="11"/>
      <c r="AD145" s="8"/>
      <c r="AE145" s="11"/>
      <c r="AF145" s="8"/>
      <c r="AG145" s="11"/>
      <c r="AH145" s="8"/>
    </row>
    <row r="146" spans="1:34" ht="15.75" customHeight="1" x14ac:dyDescent="0.25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/>
      <c r="AA146" s="11"/>
      <c r="AB146" s="8"/>
      <c r="AC146" s="11"/>
      <c r="AD146" s="8"/>
      <c r="AE146" s="11"/>
      <c r="AF146" s="8"/>
      <c r="AG146" s="11"/>
      <c r="AH146" s="8"/>
    </row>
    <row r="147" spans="1:34" ht="15.75" customHeight="1" x14ac:dyDescent="0.25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/>
      <c r="AA147" s="11"/>
      <c r="AB147" s="8"/>
      <c r="AC147" s="11"/>
      <c r="AD147" s="8"/>
      <c r="AE147" s="11"/>
      <c r="AF147" s="8"/>
      <c r="AG147" s="11"/>
      <c r="AH147" s="8"/>
    </row>
    <row r="148" spans="1:34" ht="15.75" customHeight="1" x14ac:dyDescent="0.25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/>
      <c r="AA148" s="11"/>
      <c r="AB148" s="8"/>
      <c r="AC148" s="11"/>
      <c r="AD148" s="8"/>
      <c r="AE148" s="11"/>
      <c r="AF148" s="8"/>
      <c r="AG148" s="11"/>
      <c r="AH148" s="8"/>
    </row>
    <row r="149" spans="1:34" ht="15.75" customHeight="1" x14ac:dyDescent="0.25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/>
      <c r="AA149" s="11"/>
      <c r="AB149" s="8"/>
      <c r="AC149" s="11"/>
      <c r="AD149" s="8"/>
      <c r="AE149" s="11"/>
      <c r="AF149" s="8"/>
      <c r="AG149" s="11"/>
      <c r="AH149" s="8"/>
    </row>
    <row r="150" spans="1:34" ht="15.75" customHeight="1" x14ac:dyDescent="0.25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/>
      <c r="AA150" s="11"/>
      <c r="AB150" s="8"/>
      <c r="AC150" s="11"/>
      <c r="AD150" s="8"/>
      <c r="AE150" s="11"/>
      <c r="AF150" s="8"/>
      <c r="AG150" s="11"/>
      <c r="AH150" s="8"/>
    </row>
    <row r="151" spans="1:34" ht="15.75" customHeight="1" x14ac:dyDescent="0.25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/>
      <c r="AA151" s="11"/>
      <c r="AB151" s="8"/>
      <c r="AC151" s="11"/>
      <c r="AD151" s="8"/>
      <c r="AE151" s="11"/>
      <c r="AF151" s="8"/>
      <c r="AG151" s="11"/>
      <c r="AH151" s="8"/>
    </row>
    <row r="152" spans="1:34" ht="15.75" customHeight="1" x14ac:dyDescent="0.25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/>
      <c r="AA152" s="11"/>
      <c r="AB152" s="8"/>
      <c r="AC152" s="11"/>
      <c r="AD152" s="8"/>
      <c r="AE152" s="11"/>
      <c r="AF152" s="8"/>
      <c r="AG152" s="11"/>
      <c r="AH152" s="8"/>
    </row>
    <row r="153" spans="1:34" ht="15.75" customHeight="1" x14ac:dyDescent="0.25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  <c r="AA153" s="11"/>
      <c r="AB153" s="8"/>
      <c r="AC153" s="11"/>
      <c r="AD153" s="8"/>
      <c r="AE153" s="11"/>
      <c r="AF153" s="8"/>
      <c r="AG153" s="11"/>
      <c r="AH153" s="8"/>
    </row>
    <row r="154" spans="1:34" ht="15.75" customHeight="1" x14ac:dyDescent="0.25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/>
      <c r="AA154" s="11"/>
      <c r="AB154" s="8"/>
      <c r="AC154" s="11"/>
      <c r="AD154" s="8"/>
      <c r="AE154" s="11"/>
      <c r="AF154" s="8"/>
      <c r="AG154" s="11"/>
      <c r="AH154" s="8"/>
    </row>
    <row r="155" spans="1:34" ht="15.75" customHeight="1" x14ac:dyDescent="0.25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/>
      <c r="AA155" s="11"/>
      <c r="AB155" s="8"/>
      <c r="AC155" s="11"/>
      <c r="AD155" s="8"/>
      <c r="AE155" s="11"/>
      <c r="AF155" s="8"/>
      <c r="AG155" s="11"/>
      <c r="AH155" s="8"/>
    </row>
    <row r="156" spans="1:34" ht="15.75" customHeight="1" x14ac:dyDescent="0.25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/>
      <c r="AA156" s="11"/>
      <c r="AB156" s="8"/>
      <c r="AC156" s="11"/>
      <c r="AD156" s="8"/>
      <c r="AE156" s="11"/>
      <c r="AF156" s="8"/>
      <c r="AG156" s="11"/>
      <c r="AH156" s="8"/>
    </row>
    <row r="157" spans="1:34" ht="15.75" customHeight="1" x14ac:dyDescent="0.25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/>
      <c r="AA157" s="11"/>
      <c r="AB157" s="8"/>
      <c r="AC157" s="11"/>
      <c r="AD157" s="8"/>
      <c r="AE157" s="11"/>
      <c r="AF157" s="8"/>
      <c r="AG157" s="11"/>
      <c r="AH157" s="8"/>
    </row>
    <row r="158" spans="1:34" ht="15.75" customHeight="1" x14ac:dyDescent="0.25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/>
      <c r="AA158" s="11"/>
      <c r="AB158" s="8"/>
      <c r="AC158" s="11"/>
      <c r="AD158" s="8"/>
      <c r="AE158" s="11"/>
      <c r="AF158" s="8"/>
      <c r="AG158" s="11"/>
      <c r="AH158" s="8"/>
    </row>
    <row r="159" spans="1:34" ht="15.75" customHeight="1" x14ac:dyDescent="0.25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/>
      <c r="AA159" s="11"/>
      <c r="AB159" s="8"/>
      <c r="AC159" s="11"/>
      <c r="AD159" s="8"/>
      <c r="AE159" s="11"/>
      <c r="AF159" s="8"/>
      <c r="AG159" s="11"/>
      <c r="AH159" s="8"/>
    </row>
    <row r="160" spans="1:34" ht="15.75" customHeight="1" x14ac:dyDescent="0.25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/>
      <c r="AA160" s="11"/>
      <c r="AB160" s="8"/>
      <c r="AC160" s="11"/>
      <c r="AD160" s="8"/>
      <c r="AE160" s="11"/>
      <c r="AF160" s="8"/>
      <c r="AG160" s="11"/>
      <c r="AH160" s="8"/>
    </row>
    <row r="161" spans="1:34" ht="15.75" customHeight="1" x14ac:dyDescent="0.25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/>
      <c r="AA161" s="11"/>
      <c r="AB161" s="8"/>
      <c r="AC161" s="11"/>
      <c r="AD161" s="8"/>
      <c r="AE161" s="11"/>
      <c r="AF161" s="8"/>
      <c r="AG161" s="11"/>
      <c r="AH161" s="8"/>
    </row>
    <row r="162" spans="1:34" ht="15.75" customHeight="1" x14ac:dyDescent="0.25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/>
      <c r="AA162" s="11"/>
      <c r="AB162" s="8"/>
      <c r="AC162" s="11"/>
      <c r="AD162" s="8"/>
      <c r="AE162" s="11"/>
      <c r="AF162" s="8"/>
      <c r="AG162" s="11"/>
      <c r="AH162" s="8"/>
    </row>
    <row r="163" spans="1:34" ht="15.75" customHeight="1" x14ac:dyDescent="0.25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/>
      <c r="AA163" s="11"/>
      <c r="AB163" s="8"/>
      <c r="AC163" s="11"/>
      <c r="AD163" s="8"/>
      <c r="AE163" s="11"/>
      <c r="AF163" s="8"/>
      <c r="AG163" s="11"/>
      <c r="AH163" s="8"/>
    </row>
    <row r="164" spans="1:34" ht="15.75" customHeight="1" x14ac:dyDescent="0.25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/>
      <c r="AA164" s="11"/>
      <c r="AB164" s="8"/>
      <c r="AC164" s="11"/>
      <c r="AD164" s="8"/>
      <c r="AE164" s="11"/>
      <c r="AF164" s="8"/>
      <c r="AG164" s="11"/>
      <c r="AH164" s="8"/>
    </row>
    <row r="165" spans="1:34" ht="15.75" customHeight="1" x14ac:dyDescent="0.25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/>
      <c r="AA165" s="11"/>
      <c r="AB165" s="8"/>
      <c r="AC165" s="11"/>
      <c r="AD165" s="8"/>
      <c r="AE165" s="11"/>
      <c r="AF165" s="8"/>
      <c r="AG165" s="11"/>
      <c r="AH165" s="8"/>
    </row>
    <row r="166" spans="1:34" ht="15.75" customHeight="1" x14ac:dyDescent="0.25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/>
      <c r="AA166" s="11"/>
      <c r="AB166" s="8"/>
      <c r="AC166" s="11"/>
      <c r="AD166" s="8"/>
      <c r="AE166" s="11"/>
      <c r="AF166" s="8"/>
      <c r="AG166" s="11"/>
      <c r="AH166" s="8"/>
    </row>
    <row r="167" spans="1:34" ht="15.75" customHeight="1" x14ac:dyDescent="0.25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/>
      <c r="AA167" s="11"/>
      <c r="AB167" s="8"/>
      <c r="AC167" s="11"/>
      <c r="AD167" s="8"/>
      <c r="AE167" s="11"/>
      <c r="AF167" s="8"/>
      <c r="AG167" s="11"/>
      <c r="AH167" s="8"/>
    </row>
    <row r="168" spans="1:34" ht="15.75" customHeight="1" x14ac:dyDescent="0.25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/>
      <c r="AA168" s="11"/>
      <c r="AB168" s="8"/>
      <c r="AC168" s="11"/>
      <c r="AD168" s="8"/>
      <c r="AE168" s="11"/>
      <c r="AF168" s="8"/>
      <c r="AG168" s="11"/>
      <c r="AH168" s="8"/>
    </row>
    <row r="169" spans="1:34" ht="15.75" customHeight="1" x14ac:dyDescent="0.25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/>
      <c r="AA169" s="11"/>
      <c r="AB169" s="8"/>
      <c r="AC169" s="11"/>
      <c r="AD169" s="8"/>
      <c r="AE169" s="11"/>
      <c r="AF169" s="8"/>
      <c r="AG169" s="11"/>
      <c r="AH169" s="8"/>
    </row>
    <row r="170" spans="1:34" ht="15.75" customHeight="1" x14ac:dyDescent="0.25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/>
      <c r="AA170" s="11"/>
      <c r="AB170" s="8"/>
      <c r="AC170" s="11"/>
      <c r="AD170" s="8"/>
      <c r="AE170" s="11"/>
      <c r="AF170" s="8"/>
      <c r="AG170" s="11"/>
      <c r="AH170" s="8"/>
    </row>
    <row r="171" spans="1:34" ht="15.75" customHeight="1" x14ac:dyDescent="0.25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/>
      <c r="AA171" s="11"/>
      <c r="AB171" s="8"/>
      <c r="AC171" s="11"/>
      <c r="AD171" s="8"/>
      <c r="AE171" s="11"/>
      <c r="AF171" s="8"/>
      <c r="AG171" s="11"/>
      <c r="AH171" s="8"/>
    </row>
    <row r="172" spans="1:34" ht="15.75" customHeight="1" x14ac:dyDescent="0.25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/>
      <c r="AA172" s="11"/>
      <c r="AB172" s="8"/>
      <c r="AC172" s="11"/>
      <c r="AD172" s="8"/>
      <c r="AE172" s="11"/>
      <c r="AF172" s="8"/>
      <c r="AG172" s="11"/>
      <c r="AH172" s="8"/>
    </row>
    <row r="173" spans="1:34" ht="15.75" customHeight="1" x14ac:dyDescent="0.25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/>
      <c r="AA173" s="11"/>
      <c r="AB173" s="8"/>
      <c r="AC173" s="11"/>
      <c r="AD173" s="8"/>
      <c r="AE173" s="11"/>
      <c r="AF173" s="8"/>
      <c r="AG173" s="11"/>
      <c r="AH173" s="8"/>
    </row>
    <row r="174" spans="1:34" ht="15.75" customHeight="1" x14ac:dyDescent="0.25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/>
      <c r="AA174" s="11"/>
      <c r="AB174" s="8"/>
      <c r="AC174" s="11"/>
      <c r="AD174" s="8"/>
      <c r="AE174" s="11"/>
      <c r="AF174" s="8"/>
      <c r="AG174" s="11"/>
      <c r="AH174" s="8"/>
    </row>
    <row r="175" spans="1:34" ht="15.75" customHeight="1" x14ac:dyDescent="0.25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/>
      <c r="AA175" s="11"/>
      <c r="AB175" s="8"/>
      <c r="AC175" s="11"/>
      <c r="AD175" s="8"/>
      <c r="AE175" s="11"/>
      <c r="AF175" s="8"/>
      <c r="AG175" s="11"/>
      <c r="AH175" s="8"/>
    </row>
    <row r="176" spans="1:34" ht="15.75" customHeight="1" x14ac:dyDescent="0.25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  <c r="AA176" s="11"/>
      <c r="AB176" s="8"/>
      <c r="AC176" s="11"/>
      <c r="AD176" s="8"/>
      <c r="AE176" s="11"/>
      <c r="AF176" s="8"/>
      <c r="AG176" s="11"/>
      <c r="AH176" s="8"/>
    </row>
    <row r="177" spans="1:34" ht="15.75" customHeight="1" x14ac:dyDescent="0.25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/>
      <c r="AA177" s="11"/>
      <c r="AB177" s="8"/>
      <c r="AC177" s="11"/>
      <c r="AD177" s="8"/>
      <c r="AE177" s="11"/>
      <c r="AF177" s="8"/>
      <c r="AG177" s="11"/>
      <c r="AH177" s="8"/>
    </row>
    <row r="178" spans="1:34" ht="15.75" customHeight="1" x14ac:dyDescent="0.25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/>
      <c r="AA178" s="11"/>
      <c r="AB178" s="8"/>
      <c r="AC178" s="11"/>
      <c r="AD178" s="8"/>
      <c r="AE178" s="11"/>
      <c r="AF178" s="8"/>
      <c r="AG178" s="11"/>
      <c r="AH178" s="8"/>
    </row>
    <row r="179" spans="1:34" ht="15.75" customHeight="1" x14ac:dyDescent="0.25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/>
      <c r="AA179" s="11"/>
      <c r="AB179" s="8"/>
      <c r="AC179" s="11"/>
      <c r="AD179" s="8"/>
      <c r="AE179" s="11"/>
      <c r="AF179" s="8"/>
      <c r="AG179" s="11"/>
      <c r="AH179" s="8"/>
    </row>
    <row r="180" spans="1:34" ht="15.75" customHeight="1" x14ac:dyDescent="0.25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/>
      <c r="AA180" s="11"/>
      <c r="AB180" s="8"/>
      <c r="AC180" s="11"/>
      <c r="AD180" s="8"/>
      <c r="AE180" s="11"/>
      <c r="AF180" s="8"/>
      <c r="AG180" s="11"/>
      <c r="AH180" s="8"/>
    </row>
    <row r="181" spans="1:34" ht="15.75" customHeight="1" x14ac:dyDescent="0.25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/>
      <c r="AA181" s="11"/>
      <c r="AB181" s="8"/>
      <c r="AC181" s="11"/>
      <c r="AD181" s="8"/>
      <c r="AE181" s="11"/>
      <c r="AF181" s="8"/>
      <c r="AG181" s="11"/>
      <c r="AH181" s="8"/>
    </row>
    <row r="182" spans="1:34" ht="15.75" customHeight="1" x14ac:dyDescent="0.25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/>
      <c r="AA182" s="11"/>
      <c r="AB182" s="8"/>
      <c r="AC182" s="11"/>
      <c r="AD182" s="8"/>
      <c r="AE182" s="11"/>
      <c r="AF182" s="8"/>
      <c r="AG182" s="11"/>
      <c r="AH182" s="8"/>
    </row>
    <row r="183" spans="1:34" ht="15.75" customHeight="1" x14ac:dyDescent="0.25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/>
      <c r="AA183" s="11"/>
      <c r="AB183" s="8"/>
      <c r="AC183" s="11"/>
      <c r="AD183" s="8"/>
      <c r="AE183" s="11"/>
      <c r="AF183" s="8"/>
      <c r="AG183" s="11"/>
      <c r="AH183" s="8"/>
    </row>
    <row r="184" spans="1:34" ht="15.75" customHeight="1" x14ac:dyDescent="0.25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/>
      <c r="AA184" s="11"/>
      <c r="AB184" s="8"/>
      <c r="AC184" s="11"/>
      <c r="AD184" s="8"/>
      <c r="AE184" s="11"/>
      <c r="AF184" s="8"/>
      <c r="AG184" s="11"/>
      <c r="AH184" s="8"/>
    </row>
    <row r="185" spans="1:34" ht="15.75" customHeight="1" x14ac:dyDescent="0.25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/>
      <c r="AA185" s="11"/>
      <c r="AB185" s="8"/>
      <c r="AC185" s="11"/>
      <c r="AD185" s="8"/>
      <c r="AE185" s="11"/>
      <c r="AF185" s="8"/>
      <c r="AG185" s="11"/>
      <c r="AH185" s="8"/>
    </row>
    <row r="186" spans="1:34" ht="15.75" customHeight="1" x14ac:dyDescent="0.25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/>
      <c r="AA186" s="11"/>
      <c r="AB186" s="8"/>
      <c r="AC186" s="11"/>
      <c r="AD186" s="8"/>
      <c r="AE186" s="11"/>
      <c r="AF186" s="8"/>
      <c r="AG186" s="11"/>
      <c r="AH186" s="8"/>
    </row>
    <row r="187" spans="1:34" ht="15.75" customHeight="1" x14ac:dyDescent="0.25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/>
      <c r="AA187" s="11"/>
      <c r="AB187" s="8"/>
      <c r="AC187" s="11"/>
      <c r="AD187" s="8"/>
      <c r="AE187" s="11"/>
      <c r="AF187" s="8"/>
      <c r="AG187" s="11"/>
      <c r="AH187" s="8"/>
    </row>
    <row r="188" spans="1:34" ht="15.75" customHeight="1" x14ac:dyDescent="0.25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/>
      <c r="AA188" s="11"/>
      <c r="AB188" s="8"/>
      <c r="AC188" s="11"/>
      <c r="AD188" s="8"/>
      <c r="AE188" s="11"/>
      <c r="AF188" s="8"/>
      <c r="AG188" s="11"/>
      <c r="AH188" s="8"/>
    </row>
    <row r="189" spans="1:34" ht="15.75" customHeight="1" x14ac:dyDescent="0.25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  <c r="AA189" s="11"/>
      <c r="AB189" s="8"/>
      <c r="AC189" s="11"/>
      <c r="AD189" s="8"/>
      <c r="AE189" s="11"/>
      <c r="AF189" s="8"/>
      <c r="AG189" s="11"/>
      <c r="AH189" s="8"/>
    </row>
    <row r="190" spans="1:34" ht="15.75" customHeight="1" x14ac:dyDescent="0.25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/>
      <c r="AA190" s="11"/>
      <c r="AB190" s="8"/>
      <c r="AC190" s="11"/>
      <c r="AD190" s="8"/>
      <c r="AE190" s="11"/>
      <c r="AF190" s="8"/>
      <c r="AG190" s="11"/>
      <c r="AH190" s="8"/>
    </row>
    <row r="191" spans="1:34" ht="15.75" customHeight="1" x14ac:dyDescent="0.25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/>
      <c r="AA191" s="11"/>
      <c r="AB191" s="8"/>
      <c r="AC191" s="11"/>
      <c r="AD191" s="8"/>
      <c r="AE191" s="11"/>
      <c r="AF191" s="8"/>
      <c r="AG191" s="11"/>
      <c r="AH191" s="8"/>
    </row>
    <row r="192" spans="1:34" ht="15.75" customHeight="1" x14ac:dyDescent="0.25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/>
      <c r="AA192" s="11"/>
      <c r="AB192" s="8"/>
      <c r="AC192" s="11"/>
      <c r="AD192" s="8"/>
      <c r="AE192" s="11"/>
      <c r="AF192" s="8"/>
      <c r="AG192" s="11"/>
      <c r="AH192" s="8"/>
    </row>
    <row r="193" spans="1:34" ht="15.75" customHeight="1" x14ac:dyDescent="0.25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/>
      <c r="AA193" s="11"/>
      <c r="AB193" s="8"/>
      <c r="AC193" s="11"/>
      <c r="AD193" s="8"/>
      <c r="AE193" s="11"/>
      <c r="AF193" s="8"/>
      <c r="AG193" s="11"/>
      <c r="AH193" s="8"/>
    </row>
    <row r="194" spans="1:34" ht="15.75" customHeight="1" x14ac:dyDescent="0.25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/>
      <c r="AA194" s="11"/>
      <c r="AB194" s="8"/>
      <c r="AC194" s="11"/>
      <c r="AD194" s="8"/>
      <c r="AE194" s="11"/>
      <c r="AF194" s="8"/>
      <c r="AG194" s="11"/>
      <c r="AH194" s="8"/>
    </row>
    <row r="195" spans="1:34" ht="15.75" customHeight="1" x14ac:dyDescent="0.25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/>
      <c r="AA195" s="11"/>
      <c r="AB195" s="8"/>
      <c r="AC195" s="11"/>
      <c r="AD195" s="8"/>
      <c r="AE195" s="11"/>
      <c r="AF195" s="8"/>
      <c r="AG195" s="11"/>
      <c r="AH195" s="8"/>
    </row>
    <row r="196" spans="1:34" ht="15.75" customHeight="1" x14ac:dyDescent="0.25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7"/>
      <c r="AA196" s="11"/>
      <c r="AB196" s="8"/>
      <c r="AC196" s="11"/>
      <c r="AD196" s="8"/>
      <c r="AE196" s="11"/>
      <c r="AF196" s="8"/>
      <c r="AG196" s="11"/>
      <c r="AH196" s="8"/>
    </row>
    <row r="197" spans="1:34" ht="15.75" customHeight="1" x14ac:dyDescent="0.25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7"/>
      <c r="AA197" s="11"/>
      <c r="AB197" s="8"/>
      <c r="AC197" s="11"/>
      <c r="AD197" s="8"/>
      <c r="AE197" s="11"/>
      <c r="AF197" s="8"/>
      <c r="AG197" s="11"/>
      <c r="AH197" s="8"/>
    </row>
    <row r="198" spans="1:34" ht="15.75" customHeight="1" x14ac:dyDescent="0.25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7"/>
      <c r="AA198" s="11"/>
      <c r="AB198" s="8"/>
      <c r="AC198" s="11"/>
      <c r="AD198" s="8"/>
      <c r="AE198" s="11"/>
      <c r="AF198" s="8"/>
      <c r="AG198" s="11"/>
      <c r="AH198" s="8"/>
    </row>
    <row r="199" spans="1:34" ht="15.75" customHeight="1" x14ac:dyDescent="0.25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7"/>
      <c r="AA199" s="11"/>
      <c r="AB199" s="8"/>
      <c r="AC199" s="11"/>
      <c r="AD199" s="8"/>
      <c r="AE199" s="11"/>
      <c r="AF199" s="8"/>
      <c r="AG199" s="11"/>
      <c r="AH199" s="8"/>
    </row>
    <row r="200" spans="1:34" ht="15.75" customHeight="1" x14ac:dyDescent="0.25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7"/>
      <c r="AA200" s="11"/>
      <c r="AB200" s="8"/>
      <c r="AC200" s="11"/>
      <c r="AD200" s="8"/>
      <c r="AE200" s="11"/>
      <c r="AF200" s="8"/>
      <c r="AG200" s="11"/>
      <c r="AH200" s="8"/>
    </row>
    <row r="201" spans="1:34" ht="15.75" customHeight="1" x14ac:dyDescent="0.25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7"/>
      <c r="AA201" s="11"/>
      <c r="AB201" s="8"/>
      <c r="AC201" s="11"/>
      <c r="AD201" s="8"/>
      <c r="AE201" s="11"/>
      <c r="AF201" s="8"/>
      <c r="AG201" s="11"/>
      <c r="AH201" s="8"/>
    </row>
    <row r="202" spans="1:34" ht="15.75" customHeight="1" x14ac:dyDescent="0.25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7"/>
      <c r="AA202" s="11"/>
      <c r="AB202" s="8"/>
      <c r="AC202" s="11"/>
      <c r="AD202" s="8"/>
      <c r="AE202" s="11"/>
      <c r="AF202" s="8"/>
      <c r="AG202" s="11"/>
      <c r="AH202" s="8"/>
    </row>
    <row r="203" spans="1:34" ht="15.75" customHeight="1" x14ac:dyDescent="0.25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7"/>
      <c r="AA203" s="11"/>
      <c r="AB203" s="8"/>
      <c r="AC203" s="11"/>
      <c r="AD203" s="8"/>
      <c r="AE203" s="11"/>
      <c r="AF203" s="8"/>
      <c r="AG203" s="11"/>
      <c r="AH203" s="8"/>
    </row>
    <row r="204" spans="1:34" ht="15.75" customHeight="1" x14ac:dyDescent="0.25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7"/>
      <c r="AA204" s="11"/>
      <c r="AB204" s="8"/>
      <c r="AC204" s="11"/>
      <c r="AD204" s="8"/>
      <c r="AE204" s="11"/>
      <c r="AF204" s="8"/>
      <c r="AG204" s="11"/>
      <c r="AH204" s="8"/>
    </row>
    <row r="205" spans="1:34" ht="15.75" customHeight="1" x14ac:dyDescent="0.25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7"/>
      <c r="AA205" s="11"/>
      <c r="AB205" s="8"/>
      <c r="AC205" s="11"/>
      <c r="AD205" s="8"/>
      <c r="AE205" s="11"/>
      <c r="AF205" s="8"/>
      <c r="AG205" s="11"/>
      <c r="AH205" s="8"/>
    </row>
    <row r="206" spans="1:34" ht="15.75" customHeight="1" x14ac:dyDescent="0.25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7"/>
      <c r="AA206" s="11"/>
      <c r="AB206" s="8"/>
      <c r="AC206" s="11"/>
      <c r="AD206" s="8"/>
      <c r="AE206" s="11"/>
      <c r="AF206" s="8"/>
      <c r="AG206" s="11"/>
      <c r="AH206" s="8"/>
    </row>
    <row r="207" spans="1:34" ht="15.75" customHeight="1" x14ac:dyDescent="0.25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/>
      <c r="AA207" s="11"/>
      <c r="AB207" s="8"/>
      <c r="AC207" s="11"/>
      <c r="AD207" s="8"/>
      <c r="AE207" s="11"/>
      <c r="AF207" s="8"/>
      <c r="AG207" s="11"/>
      <c r="AH207" s="8"/>
    </row>
    <row r="208" spans="1:34" ht="15.75" customHeight="1" x14ac:dyDescent="0.25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/>
      <c r="AA208" s="11"/>
      <c r="AB208" s="8"/>
      <c r="AC208" s="11"/>
      <c r="AD208" s="8"/>
      <c r="AE208" s="11"/>
      <c r="AF208" s="8"/>
      <c r="AG208" s="11"/>
      <c r="AH208" s="8"/>
    </row>
    <row r="209" spans="1:34" ht="15.75" customHeight="1" x14ac:dyDescent="0.25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/>
      <c r="AA209" s="11"/>
      <c r="AB209" s="8"/>
      <c r="AC209" s="11"/>
      <c r="AD209" s="8"/>
      <c r="AE209" s="11"/>
      <c r="AF209" s="8"/>
      <c r="AG209" s="11"/>
      <c r="AH209" s="8"/>
    </row>
    <row r="210" spans="1:34" ht="15.75" customHeight="1" x14ac:dyDescent="0.25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/>
      <c r="AA210" s="11"/>
      <c r="AB210" s="8"/>
      <c r="AC210" s="11"/>
      <c r="AD210" s="8"/>
      <c r="AE210" s="11"/>
      <c r="AF210" s="8"/>
      <c r="AG210" s="11"/>
      <c r="AH210" s="8"/>
    </row>
    <row r="211" spans="1:34" ht="15.75" customHeight="1" x14ac:dyDescent="0.25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7"/>
      <c r="AA211" s="11"/>
      <c r="AB211" s="8"/>
      <c r="AC211" s="11"/>
      <c r="AD211" s="8"/>
      <c r="AE211" s="11"/>
      <c r="AF211" s="8"/>
      <c r="AG211" s="11"/>
      <c r="AH211" s="8"/>
    </row>
    <row r="212" spans="1:34" ht="15.75" customHeight="1" x14ac:dyDescent="0.25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7"/>
      <c r="AA212" s="11"/>
      <c r="AB212" s="8"/>
      <c r="AC212" s="11"/>
      <c r="AD212" s="8"/>
      <c r="AE212" s="11"/>
      <c r="AF212" s="8"/>
      <c r="AG212" s="11"/>
      <c r="AH212" s="8"/>
    </row>
    <row r="213" spans="1:34" ht="15.75" customHeight="1" x14ac:dyDescent="0.25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7"/>
      <c r="AA213" s="11"/>
      <c r="AB213" s="8"/>
      <c r="AC213" s="11"/>
      <c r="AD213" s="8"/>
      <c r="AE213" s="11"/>
      <c r="AF213" s="8"/>
      <c r="AG213" s="11"/>
      <c r="AH213" s="8"/>
    </row>
    <row r="214" spans="1:34" ht="15.75" customHeight="1" x14ac:dyDescent="0.25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7"/>
      <c r="AA214" s="11"/>
      <c r="AB214" s="8"/>
      <c r="AC214" s="11"/>
      <c r="AD214" s="8"/>
      <c r="AE214" s="11"/>
      <c r="AF214" s="8"/>
      <c r="AG214" s="11"/>
      <c r="AH214" s="8"/>
    </row>
    <row r="215" spans="1:34" ht="15.75" customHeight="1" x14ac:dyDescent="0.25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7"/>
      <c r="AA215" s="11"/>
      <c r="AB215" s="8"/>
      <c r="AC215" s="11"/>
      <c r="AD215" s="8"/>
      <c r="AE215" s="11"/>
      <c r="AF215" s="8"/>
      <c r="AG215" s="11"/>
      <c r="AH215" s="8"/>
    </row>
    <row r="216" spans="1:34" ht="15.75" customHeight="1" x14ac:dyDescent="0.25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7"/>
      <c r="AA216" s="11"/>
      <c r="AB216" s="8"/>
      <c r="AC216" s="11"/>
      <c r="AD216" s="8"/>
      <c r="AE216" s="11"/>
      <c r="AF216" s="8"/>
      <c r="AG216" s="11"/>
      <c r="AH216" s="8"/>
    </row>
    <row r="217" spans="1:34" ht="15.75" customHeight="1" x14ac:dyDescent="0.25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7"/>
      <c r="AA217" s="11"/>
      <c r="AB217" s="8"/>
      <c r="AC217" s="11"/>
      <c r="AD217" s="8"/>
      <c r="AE217" s="11"/>
      <c r="AF217" s="8"/>
      <c r="AG217" s="11"/>
      <c r="AH217" s="8"/>
    </row>
    <row r="218" spans="1:34" ht="15.75" customHeight="1" x14ac:dyDescent="0.25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7"/>
      <c r="AA218" s="11"/>
      <c r="AB218" s="8"/>
      <c r="AC218" s="11"/>
      <c r="AD218" s="8"/>
      <c r="AE218" s="11"/>
      <c r="AF218" s="8"/>
      <c r="AG218" s="11"/>
      <c r="AH218" s="8"/>
    </row>
    <row r="219" spans="1:34" ht="15.75" customHeight="1" x14ac:dyDescent="0.25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/>
      <c r="AA219" s="11"/>
      <c r="AB219" s="8"/>
      <c r="AC219" s="11"/>
      <c r="AD219" s="8"/>
      <c r="AE219" s="11"/>
      <c r="AF219" s="8"/>
      <c r="AG219" s="11"/>
      <c r="AH219" s="8"/>
    </row>
    <row r="220" spans="1:34" ht="15.75" customHeight="1" x14ac:dyDescent="0.25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/>
      <c r="AA220" s="11"/>
      <c r="AB220" s="8"/>
      <c r="AC220" s="11"/>
      <c r="AD220" s="8"/>
      <c r="AE220" s="11"/>
      <c r="AF220" s="8"/>
      <c r="AG220" s="11"/>
      <c r="AH220" s="8"/>
    </row>
    <row r="221" spans="1:34" ht="15.75" customHeight="1" x14ac:dyDescent="0.25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7"/>
      <c r="AA221" s="11"/>
      <c r="AB221" s="8"/>
      <c r="AC221" s="11"/>
      <c r="AD221" s="8"/>
      <c r="AE221" s="11"/>
      <c r="AF221" s="8"/>
      <c r="AG221" s="11"/>
      <c r="AH221" s="8"/>
    </row>
    <row r="222" spans="1:34" ht="15.75" customHeight="1" x14ac:dyDescent="0.25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/>
      <c r="AA222" s="11"/>
      <c r="AB222" s="8"/>
      <c r="AC222" s="11"/>
      <c r="AD222" s="8"/>
      <c r="AE222" s="11"/>
      <c r="AF222" s="8"/>
      <c r="AG222" s="11"/>
      <c r="AH222" s="8"/>
    </row>
    <row r="223" spans="1:34" ht="15.75" customHeight="1" x14ac:dyDescent="0.25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7"/>
      <c r="AA223" s="11"/>
      <c r="AB223" s="8"/>
      <c r="AC223" s="11"/>
      <c r="AD223" s="8"/>
      <c r="AE223" s="11"/>
      <c r="AF223" s="8"/>
      <c r="AG223" s="11"/>
      <c r="AH223" s="8"/>
    </row>
    <row r="224" spans="1:34" ht="15.75" customHeight="1" x14ac:dyDescent="0.25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7"/>
      <c r="AA224" s="11"/>
      <c r="AB224" s="8"/>
      <c r="AC224" s="11"/>
      <c r="AD224" s="8"/>
      <c r="AE224" s="11"/>
      <c r="AF224" s="8"/>
      <c r="AG224" s="11"/>
      <c r="AH224" s="8"/>
    </row>
    <row r="225" spans="1:34" ht="15.75" customHeight="1" x14ac:dyDescent="0.25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7"/>
      <c r="AA225" s="11"/>
      <c r="AB225" s="8"/>
      <c r="AC225" s="11"/>
      <c r="AD225" s="8"/>
      <c r="AE225" s="11"/>
      <c r="AF225" s="8"/>
      <c r="AG225" s="11"/>
      <c r="AH225" s="8"/>
    </row>
    <row r="226" spans="1:34" ht="15.75" customHeight="1" x14ac:dyDescent="0.25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7"/>
      <c r="AA226" s="11"/>
      <c r="AB226" s="8"/>
      <c r="AC226" s="11"/>
      <c r="AD226" s="8"/>
      <c r="AE226" s="11"/>
      <c r="AF226" s="8"/>
      <c r="AG226" s="11"/>
      <c r="AH226" s="8"/>
    </row>
    <row r="227" spans="1:34" ht="15.75" customHeight="1" x14ac:dyDescent="0.25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7"/>
      <c r="AA227" s="11"/>
      <c r="AB227" s="8"/>
      <c r="AC227" s="11"/>
      <c r="AD227" s="8"/>
      <c r="AE227" s="11"/>
      <c r="AF227" s="8"/>
      <c r="AG227" s="11"/>
      <c r="AH227" s="8"/>
    </row>
    <row r="228" spans="1:34" ht="15.75" customHeight="1" x14ac:dyDescent="0.25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7"/>
      <c r="AA228" s="11"/>
      <c r="AB228" s="8"/>
      <c r="AC228" s="11"/>
      <c r="AD228" s="8"/>
      <c r="AE228" s="11"/>
      <c r="AF228" s="8"/>
      <c r="AG228" s="11"/>
      <c r="AH228" s="8"/>
    </row>
    <row r="229" spans="1:34" ht="15.75" customHeight="1" x14ac:dyDescent="0.25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7"/>
      <c r="AA229" s="11"/>
      <c r="AB229" s="8"/>
      <c r="AC229" s="11"/>
      <c r="AD229" s="8"/>
      <c r="AE229" s="11"/>
      <c r="AF229" s="8"/>
      <c r="AG229" s="11"/>
      <c r="AH229" s="8"/>
    </row>
    <row r="230" spans="1:34" ht="15.75" customHeight="1" x14ac:dyDescent="0.25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7"/>
      <c r="AA230" s="11"/>
      <c r="AB230" s="8"/>
      <c r="AC230" s="11"/>
      <c r="AD230" s="8"/>
      <c r="AE230" s="11"/>
      <c r="AF230" s="8"/>
      <c r="AG230" s="11"/>
      <c r="AH230" s="8"/>
    </row>
    <row r="231" spans="1:34" ht="15.75" customHeight="1" x14ac:dyDescent="0.25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7"/>
      <c r="AA231" s="11"/>
      <c r="AB231" s="8"/>
      <c r="AC231" s="11"/>
      <c r="AD231" s="8"/>
      <c r="AE231" s="11"/>
      <c r="AF231" s="8"/>
      <c r="AG231" s="11"/>
      <c r="AH231" s="8"/>
    </row>
    <row r="232" spans="1:34" ht="15.75" customHeight="1" x14ac:dyDescent="0.25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7"/>
      <c r="AA232" s="11"/>
      <c r="AB232" s="8"/>
      <c r="AC232" s="11"/>
      <c r="AD232" s="8"/>
      <c r="AE232" s="11"/>
      <c r="AF232" s="8"/>
      <c r="AG232" s="11"/>
      <c r="AH232" s="8"/>
    </row>
    <row r="233" spans="1:34" ht="15.75" customHeight="1" x14ac:dyDescent="0.25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7"/>
      <c r="AA233" s="11"/>
      <c r="AB233" s="8"/>
      <c r="AC233" s="11"/>
      <c r="AD233" s="8"/>
      <c r="AE233" s="11"/>
      <c r="AF233" s="8"/>
      <c r="AG233" s="11"/>
      <c r="AH233" s="8"/>
    </row>
    <row r="234" spans="1:34" ht="15.75" customHeight="1" x14ac:dyDescent="0.25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7"/>
      <c r="AA234" s="11"/>
      <c r="AB234" s="8"/>
      <c r="AC234" s="11"/>
      <c r="AD234" s="8"/>
      <c r="AE234" s="11"/>
      <c r="AF234" s="8"/>
      <c r="AG234" s="11"/>
      <c r="AH234" s="8"/>
    </row>
    <row r="235" spans="1:34" ht="15.75" customHeight="1" x14ac:dyDescent="0.25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7"/>
      <c r="AA235" s="11"/>
      <c r="AB235" s="8"/>
      <c r="AC235" s="11"/>
      <c r="AD235" s="8"/>
      <c r="AE235" s="11"/>
      <c r="AF235" s="8"/>
      <c r="AG235" s="11"/>
      <c r="AH235" s="8"/>
    </row>
    <row r="236" spans="1:34" ht="15.75" customHeight="1" x14ac:dyDescent="0.25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7"/>
      <c r="AA236" s="11"/>
      <c r="AB236" s="8"/>
      <c r="AC236" s="11"/>
      <c r="AD236" s="8"/>
      <c r="AE236" s="11"/>
      <c r="AF236" s="8"/>
      <c r="AG236" s="11"/>
      <c r="AH236" s="8"/>
    </row>
    <row r="237" spans="1:34" ht="15.75" customHeight="1" x14ac:dyDescent="0.25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7"/>
      <c r="AA237" s="11"/>
      <c r="AB237" s="8"/>
      <c r="AC237" s="11"/>
      <c r="AD237" s="8"/>
      <c r="AE237" s="11"/>
      <c r="AF237" s="8"/>
      <c r="AG237" s="11"/>
      <c r="AH237" s="8"/>
    </row>
    <row r="238" spans="1:34" ht="15.75" customHeight="1" x14ac:dyDescent="0.25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7"/>
      <c r="AA238" s="11"/>
      <c r="AB238" s="8"/>
      <c r="AC238" s="11"/>
      <c r="AD238" s="8"/>
      <c r="AE238" s="11"/>
      <c r="AF238" s="8"/>
      <c r="AG238" s="11"/>
      <c r="AH238" s="8"/>
    </row>
    <row r="239" spans="1:34" ht="15.75" customHeight="1" x14ac:dyDescent="0.25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7"/>
      <c r="AA239" s="11"/>
      <c r="AB239" s="8"/>
      <c r="AC239" s="11"/>
      <c r="AD239" s="8"/>
      <c r="AE239" s="11"/>
      <c r="AF239" s="8"/>
      <c r="AG239" s="11"/>
      <c r="AH239" s="8"/>
    </row>
    <row r="240" spans="1:34" ht="15.75" customHeight="1" x14ac:dyDescent="0.25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7"/>
      <c r="AA240" s="11"/>
      <c r="AB240" s="8"/>
      <c r="AC240" s="11"/>
      <c r="AD240" s="8"/>
      <c r="AE240" s="11"/>
      <c r="AF240" s="8"/>
      <c r="AG240" s="11"/>
      <c r="AH240" s="8"/>
    </row>
    <row r="241" spans="1:34" ht="15.75" customHeight="1" x14ac:dyDescent="0.25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7"/>
      <c r="AA241" s="11"/>
      <c r="AB241" s="8"/>
      <c r="AC241" s="11"/>
      <c r="AD241" s="8"/>
      <c r="AE241" s="11"/>
      <c r="AF241" s="8"/>
      <c r="AG241" s="11"/>
      <c r="AH241" s="8"/>
    </row>
    <row r="242" spans="1:34" ht="15.75" customHeight="1" x14ac:dyDescent="0.25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7"/>
      <c r="AA242" s="11"/>
      <c r="AB242" s="8"/>
      <c r="AC242" s="11"/>
      <c r="AD242" s="8"/>
      <c r="AE242" s="11"/>
      <c r="AF242" s="8"/>
      <c r="AG242" s="11"/>
      <c r="AH242" s="8"/>
    </row>
    <row r="243" spans="1:34" ht="15.75" customHeight="1" x14ac:dyDescent="0.25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7"/>
      <c r="AA243" s="11"/>
      <c r="AB243" s="8"/>
      <c r="AC243" s="11"/>
      <c r="AD243" s="8"/>
      <c r="AE243" s="11"/>
      <c r="AF243" s="8"/>
      <c r="AG243" s="11"/>
      <c r="AH243" s="8"/>
    </row>
    <row r="244" spans="1:34" ht="15.75" customHeight="1" x14ac:dyDescent="0.25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7"/>
      <c r="AA244" s="11"/>
      <c r="AB244" s="8"/>
      <c r="AC244" s="11"/>
      <c r="AD244" s="8"/>
      <c r="AE244" s="11"/>
      <c r="AF244" s="8"/>
      <c r="AG244" s="11"/>
      <c r="AH244" s="8"/>
    </row>
    <row r="245" spans="1:34" ht="15.75" customHeight="1" x14ac:dyDescent="0.25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7"/>
      <c r="AA245" s="11"/>
      <c r="AB245" s="8"/>
      <c r="AC245" s="11"/>
      <c r="AD245" s="8"/>
      <c r="AE245" s="11"/>
      <c r="AF245" s="8"/>
      <c r="AG245" s="11"/>
      <c r="AH245" s="8"/>
    </row>
    <row r="246" spans="1:34" ht="15.75" customHeight="1" x14ac:dyDescent="0.25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7"/>
      <c r="AA246" s="11"/>
      <c r="AB246" s="8"/>
      <c r="AC246" s="11"/>
      <c r="AD246" s="8"/>
      <c r="AE246" s="11"/>
      <c r="AF246" s="8"/>
      <c r="AG246" s="11"/>
      <c r="AH246" s="8"/>
    </row>
    <row r="247" spans="1:34" ht="15.75" customHeight="1" x14ac:dyDescent="0.25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7"/>
      <c r="AA247" s="11"/>
      <c r="AB247" s="8"/>
      <c r="AC247" s="11"/>
      <c r="AD247" s="8"/>
      <c r="AE247" s="11"/>
      <c r="AF247" s="8"/>
      <c r="AG247" s="11"/>
      <c r="AH247" s="8"/>
    </row>
    <row r="248" spans="1:34" ht="15.75" customHeight="1" x14ac:dyDescent="0.25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7"/>
      <c r="AA248" s="11"/>
      <c r="AB248" s="8"/>
      <c r="AC248" s="11"/>
      <c r="AD248" s="8"/>
      <c r="AE248" s="11"/>
      <c r="AF248" s="8"/>
      <c r="AG248" s="11"/>
      <c r="AH248" s="8"/>
    </row>
    <row r="249" spans="1:34" ht="15.75" customHeight="1" x14ac:dyDescent="0.25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7"/>
      <c r="AA249" s="11"/>
      <c r="AB249" s="8"/>
      <c r="AC249" s="11"/>
      <c r="AD249" s="8"/>
      <c r="AE249" s="11"/>
      <c r="AF249" s="8"/>
      <c r="AG249" s="11"/>
      <c r="AH249" s="8"/>
    </row>
    <row r="250" spans="1:34" ht="15.75" customHeight="1" x14ac:dyDescent="0.25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7"/>
      <c r="AA250" s="11"/>
      <c r="AB250" s="8"/>
      <c r="AC250" s="11"/>
      <c r="AD250" s="8"/>
      <c r="AE250" s="11"/>
      <c r="AF250" s="8"/>
      <c r="AG250" s="11"/>
      <c r="AH250" s="8"/>
    </row>
    <row r="251" spans="1:34" ht="15.75" customHeight="1" x14ac:dyDescent="0.25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7"/>
      <c r="AA251" s="11"/>
      <c r="AB251" s="8"/>
      <c r="AC251" s="11"/>
      <c r="AD251" s="8"/>
      <c r="AE251" s="11"/>
      <c r="AF251" s="8"/>
      <c r="AG251" s="11"/>
      <c r="AH251" s="8"/>
    </row>
    <row r="252" spans="1:34" ht="15.75" customHeight="1" x14ac:dyDescent="0.25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7"/>
      <c r="AA252" s="11"/>
      <c r="AB252" s="8"/>
      <c r="AC252" s="11"/>
      <c r="AD252" s="8"/>
      <c r="AE252" s="11"/>
      <c r="AF252" s="8"/>
      <c r="AG252" s="11"/>
      <c r="AH252" s="8"/>
    </row>
    <row r="253" spans="1:34" ht="15.75" customHeight="1" x14ac:dyDescent="0.25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7"/>
      <c r="AA253" s="11"/>
      <c r="AB253" s="8"/>
      <c r="AC253" s="11"/>
      <c r="AD253" s="8"/>
      <c r="AE253" s="11"/>
      <c r="AF253" s="8"/>
      <c r="AG253" s="11"/>
      <c r="AH253" s="8"/>
    </row>
    <row r="254" spans="1:34" ht="15.75" customHeight="1" x14ac:dyDescent="0.25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7"/>
      <c r="AA254" s="11"/>
      <c r="AB254" s="8"/>
      <c r="AC254" s="11"/>
      <c r="AD254" s="8"/>
      <c r="AE254" s="11"/>
      <c r="AF254" s="8"/>
      <c r="AG254" s="11"/>
      <c r="AH254" s="8"/>
    </row>
    <row r="255" spans="1:34" ht="15.75" customHeight="1" x14ac:dyDescent="0.25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7"/>
      <c r="AA255" s="11"/>
      <c r="AB255" s="8"/>
      <c r="AC255" s="11"/>
      <c r="AD255" s="8"/>
      <c r="AE255" s="11"/>
      <c r="AF255" s="8"/>
      <c r="AG255" s="11"/>
      <c r="AH255" s="8"/>
    </row>
    <row r="256" spans="1:34" ht="15.75" customHeight="1" x14ac:dyDescent="0.25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7"/>
      <c r="AA256" s="11"/>
      <c r="AB256" s="8"/>
      <c r="AC256" s="11"/>
      <c r="AD256" s="8"/>
      <c r="AE256" s="11"/>
      <c r="AF256" s="8"/>
      <c r="AG256" s="11"/>
      <c r="AH256" s="8"/>
    </row>
    <row r="257" spans="1:34" ht="15.75" customHeight="1" x14ac:dyDescent="0.25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7"/>
      <c r="AA257" s="11"/>
      <c r="AB257" s="8"/>
      <c r="AC257" s="11"/>
      <c r="AD257" s="8"/>
      <c r="AE257" s="11"/>
      <c r="AF257" s="8"/>
      <c r="AG257" s="11"/>
      <c r="AH257" s="8"/>
    </row>
    <row r="258" spans="1:34" ht="15.75" customHeight="1" x14ac:dyDescent="0.25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7"/>
      <c r="AA258" s="11"/>
      <c r="AB258" s="8"/>
      <c r="AC258" s="11"/>
      <c r="AD258" s="8"/>
      <c r="AE258" s="11"/>
      <c r="AF258" s="8"/>
      <c r="AG258" s="11"/>
      <c r="AH258" s="8"/>
    </row>
    <row r="259" spans="1:34" ht="15.75" customHeight="1" x14ac:dyDescent="0.25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7"/>
      <c r="AA259" s="11"/>
      <c r="AB259" s="8"/>
      <c r="AC259" s="11"/>
      <c r="AD259" s="8"/>
      <c r="AE259" s="11"/>
      <c r="AF259" s="8"/>
      <c r="AG259" s="11"/>
      <c r="AH259" s="8"/>
    </row>
    <row r="260" spans="1:34" ht="15.75" customHeight="1" x14ac:dyDescent="0.25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7"/>
      <c r="AA260" s="11"/>
      <c r="AB260" s="8"/>
      <c r="AC260" s="11"/>
      <c r="AD260" s="8"/>
      <c r="AE260" s="11"/>
      <c r="AF260" s="8"/>
      <c r="AG260" s="11"/>
      <c r="AH260" s="8"/>
    </row>
    <row r="261" spans="1:34" ht="15.75" customHeight="1" x14ac:dyDescent="0.25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7"/>
      <c r="AA261" s="11"/>
      <c r="AB261" s="8"/>
      <c r="AC261" s="11"/>
      <c r="AD261" s="8"/>
      <c r="AE261" s="11"/>
      <c r="AF261" s="8"/>
      <c r="AG261" s="11"/>
      <c r="AH261" s="8"/>
    </row>
    <row r="262" spans="1:34" ht="15.75" customHeight="1" x14ac:dyDescent="0.25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7"/>
      <c r="AA262" s="11"/>
      <c r="AB262" s="8"/>
      <c r="AC262" s="11"/>
      <c r="AD262" s="8"/>
      <c r="AE262" s="11"/>
      <c r="AF262" s="8"/>
      <c r="AG262" s="11"/>
      <c r="AH262" s="8"/>
    </row>
    <row r="263" spans="1:34" ht="15.75" customHeight="1" x14ac:dyDescent="0.25">
      <c r="A263" s="5"/>
      <c r="B263" s="5"/>
      <c r="C263" s="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7"/>
      <c r="AA263" s="11"/>
      <c r="AB263" s="8"/>
      <c r="AC263" s="11"/>
      <c r="AD263" s="8"/>
      <c r="AE263" s="11"/>
      <c r="AF263" s="8"/>
      <c r="AG263" s="11"/>
      <c r="AH263" s="8"/>
    </row>
    <row r="264" spans="1:34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 spans="1:34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 spans="1:34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 spans="1:34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 spans="1:34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 spans="1:34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 spans="1:34" ht="15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 spans="1:34" ht="15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 spans="1:34" ht="15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 spans="1:34" ht="15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 spans="1:34" ht="15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 spans="1:34" ht="15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 spans="1:34" ht="15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 spans="1:34" ht="15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 spans="1:34" ht="15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 spans="1:34" ht="15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 spans="1:34" ht="15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 spans="1:34" ht="15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 spans="1:34" ht="15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 spans="1:34" ht="15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 spans="1:34" ht="15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 spans="1:34" ht="15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 spans="1:34" ht="15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 spans="1:34" ht="15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 spans="1:34" ht="15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 spans="1:34" ht="15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 spans="1:34" ht="15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 spans="1:34" ht="15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 spans="1:34" ht="15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 spans="1:34" ht="15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 spans="1:34" ht="15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 spans="1:34" ht="15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 spans="1:34" ht="15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 spans="1:34" ht="15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 spans="1:34" ht="15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 spans="1:34" ht="15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 spans="1:34" ht="15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 spans="1:34" ht="15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 spans="1:34" ht="15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 spans="1:34" ht="15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 spans="1:34" ht="15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 spans="1:34" ht="15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 spans="1:34" ht="15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 spans="1:34" ht="15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 spans="1:34" ht="15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 spans="1:34" ht="15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 spans="1:34" ht="15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 spans="1:34" ht="15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 spans="1:34" ht="15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 spans="1:34" ht="15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 spans="1:34" ht="15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 spans="1:34" ht="15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 spans="1:34" ht="15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 spans="1:34" ht="15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 spans="1:34" ht="15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 spans="1:34" ht="15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 spans="1:34" ht="15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 spans="1:34" ht="15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 spans="1:34" ht="15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 spans="1:34" ht="15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 spans="1:34" ht="15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 spans="1:34" ht="15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 spans="1:34" ht="15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 spans="1:34" ht="15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 spans="1:34" ht="15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 spans="1:34" ht="15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spans="1:34" ht="15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 spans="1:34" ht="15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 spans="1:34" ht="15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 spans="1:34" ht="15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 spans="1:34" ht="15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 spans="1:34" ht="15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 spans="1:34" ht="15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 spans="1:34" ht="15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 spans="1:34" ht="15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 spans="1:34" ht="15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 spans="1:34" ht="15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 spans="1:34" ht="15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 spans="1:34" ht="15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 spans="1:34" ht="15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 spans="1:34" ht="15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 spans="1:34" ht="15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 spans="1:34" ht="15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 spans="1:34" ht="15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 spans="1:34" ht="15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 spans="1:34" ht="15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 spans="1:34" ht="15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 spans="1:34" ht="15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 spans="1:34" ht="15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 spans="1:34" ht="15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 spans="1:34" ht="15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 spans="1:34" ht="15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 spans="1:34" ht="15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 spans="1:34" ht="15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 spans="1:34" ht="15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 spans="1:34" ht="15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 spans="1:34" ht="15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 spans="1:34" ht="15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 spans="1:34" ht="15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 spans="1:34" ht="15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 spans="1:34" ht="15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 spans="1:34" ht="15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 spans="1:34" ht="15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 spans="1:34" ht="15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 spans="1:34" ht="15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 spans="1:34" ht="15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 spans="1:34" ht="15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 spans="1:34" ht="15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 spans="1:34" ht="15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 spans="1:34" ht="15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 spans="1:34" ht="15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 spans="1:34" ht="15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 spans="1:34" ht="15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spans="1:34" ht="15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spans="1:34" ht="15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 spans="1:34" ht="15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spans="1:34" ht="15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 spans="1:34" ht="15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spans="1:34" ht="15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 spans="1:34" ht="15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spans="1:34" ht="15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 spans="1:34" ht="15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spans="1:34" ht="15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 spans="1:34" ht="15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spans="1:34" ht="15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 spans="1:34" ht="15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spans="1:34" ht="15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 spans="1:34" ht="15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spans="1:34" ht="15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 spans="1:34" ht="15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spans="1:34" ht="15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 spans="1:34" ht="15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spans="1:34" ht="15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 spans="1:34" ht="15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spans="1:34" ht="15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 spans="1:34" ht="15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spans="1:34" ht="15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 spans="1:34" ht="15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 spans="1:34" ht="15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 spans="1:34" ht="15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 spans="1:34" ht="15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 spans="1:34" ht="15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 spans="1:34" ht="15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 spans="1:34" ht="15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 spans="1:34" ht="15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 spans="1:34" ht="15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 spans="1:34" ht="15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 spans="1:34" ht="15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 spans="1:34" ht="15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 spans="1:34" ht="15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 spans="1:34" ht="15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 spans="1:34" ht="15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 spans="1:34" ht="15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 spans="1:34" ht="15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 spans="1:34" ht="15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 spans="1:34" ht="15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 spans="1:34" ht="15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 spans="1:34" ht="15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 spans="1:34" ht="15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 spans="1:34" ht="15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spans="1:34" ht="15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 spans="1:34" ht="15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 spans="1:34" ht="15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 spans="1:34" ht="15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 spans="1:34" ht="15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 spans="1:34" ht="15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 spans="1:34" ht="15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 spans="1:34" ht="15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 spans="1:34" ht="15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 spans="1:34" ht="15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 spans="1:34" ht="15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 spans="1:34" ht="15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 spans="1:34" ht="15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 spans="1:34" ht="15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 spans="1:34" ht="15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 spans="1:34" ht="15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 spans="1:34" ht="15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 spans="1:34" ht="15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 spans="1:34" ht="15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 spans="1:34" ht="15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 spans="1:34" ht="15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 spans="1:34" ht="15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 spans="1:34" ht="15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 spans="1:34" ht="15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 spans="1:34" ht="15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 spans="1:34" ht="15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 spans="1:34" ht="15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 spans="1:34" ht="15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 spans="1:34" ht="15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 spans="1:34" ht="15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 spans="1:34" ht="15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 spans="1:34" ht="15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 spans="1:34" ht="15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 spans="1:34" ht="15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 spans="1:34" ht="15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 spans="1:34" ht="15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 spans="1:34" ht="15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 spans="1:34" ht="15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 spans="1:34" ht="15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 spans="1:34" ht="15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 spans="1:34" ht="15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 spans="1:34" ht="15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 spans="1:34" ht="15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 spans="1:34" ht="15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 spans="1:34" ht="15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 spans="1:34" ht="15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 spans="1:34" ht="15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 spans="1:34" ht="15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 spans="1:34" ht="15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 spans="1:34" ht="15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 spans="1:34" ht="15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 spans="1:34" ht="15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 spans="1:34" ht="15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 spans="1:34" ht="15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 spans="1:34" ht="15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 spans="1:34" ht="15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 spans="1:34" ht="15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 spans="1:34" ht="15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 spans="1:34" ht="15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 spans="1:34" ht="15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 spans="1:34" ht="15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 spans="1:34" ht="15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 spans="1:34" ht="15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 spans="1:34" ht="15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 spans="1:34" ht="15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 spans="1:34" ht="15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 spans="1:34" ht="15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 spans="1:34" ht="15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 spans="1:34" ht="15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 spans="1:34" ht="15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 spans="1:34" ht="15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 spans="1:34" ht="15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 spans="1:34" ht="15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 spans="1:34" ht="15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 spans="1:34" ht="15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 spans="1:34" ht="15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 spans="1:34" ht="15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 spans="1:34" ht="15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 spans="1:34" ht="15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 spans="1:34" ht="15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 spans="1:34" ht="15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 spans="1:34" ht="15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 spans="1:34" ht="15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 spans="1:34" ht="15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 spans="1:34" ht="15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 spans="1:34" ht="15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 spans="1:34" ht="15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 spans="1:34" ht="15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 spans="1:34" ht="15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 spans="1:34" ht="15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 spans="1:34" ht="15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 spans="1:34" ht="15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 spans="1:34" ht="15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 spans="1:34" ht="15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 spans="1:34" ht="15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 spans="1:34" ht="15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 spans="1:34" ht="15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 spans="1:34" ht="15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 spans="1:34" ht="15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 spans="1:34" ht="15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 spans="1:34" ht="15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 spans="1:34" ht="15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 spans="1:34" ht="15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 spans="1:34" ht="15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 spans="1:34" ht="15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 spans="1:34" ht="15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 spans="1:34" ht="15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 spans="1:34" ht="15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 spans="1:34" ht="15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 spans="1:34" ht="15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 spans="1:34" ht="15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 spans="1:34" ht="15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 spans="1:34" ht="15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 spans="1:34" ht="15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 spans="1:34" ht="15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 spans="1:34" ht="15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 spans="1:34" ht="15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 spans="1:34" ht="15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 spans="1:34" ht="15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 spans="1:34" ht="15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 spans="1:34" ht="15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 spans="1:34" ht="15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 spans="1:34" ht="15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 spans="1:34" ht="15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 spans="1:34" ht="15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 spans="1:34" ht="15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 spans="1:34" ht="15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 spans="1:34" ht="15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 spans="1:34" ht="15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 spans="1:34" ht="15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 spans="1:34" ht="15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 spans="1:34" ht="15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 spans="1:34" ht="15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 spans="1:34" ht="15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 spans="1:34" ht="15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 spans="1:34" ht="15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 spans="1:34" ht="15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 spans="1:34" ht="15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 spans="1:34" ht="15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 spans="1:34" ht="15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 spans="1:34" ht="15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 spans="1:34" ht="15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 spans="1:34" ht="15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 spans="1:34" ht="15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 spans="1:34" ht="15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 spans="1:34" ht="15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 spans="1:34" ht="15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 spans="1:34" ht="15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 spans="1:34" ht="15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 spans="1:34" ht="15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 spans="1:34" ht="15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 spans="1:34" ht="15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 spans="1:34" ht="15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 spans="1:34" ht="15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 spans="1:34" ht="15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 spans="1:34" ht="15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 spans="1:34" ht="15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 spans="1:34" ht="15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 spans="1:34" ht="15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 spans="1:34" ht="15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 spans="1:34" ht="15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 spans="1:34" ht="15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 spans="1:34" ht="15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 spans="1:34" ht="15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 spans="1:34" ht="15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 spans="1:34" ht="15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 spans="1:34" ht="15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 spans="1:34" ht="15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 spans="1:34" ht="15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 spans="1:34" ht="15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 spans="1:34" ht="15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 spans="1:34" ht="15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 spans="1:34" ht="15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 spans="1:34" ht="15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 spans="1:34" ht="15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 spans="1:34" ht="15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 spans="1:34" ht="15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 spans="1:34" ht="15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 spans="1:34" ht="15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 spans="1:34" ht="15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 spans="1:34" ht="15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 spans="1:34" ht="15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 spans="1:34" ht="15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 spans="1:34" ht="15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 spans="1:34" ht="15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 spans="1:34" ht="15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 spans="1:34" ht="15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 spans="1:34" ht="15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 spans="1:34" ht="15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 spans="1:34" ht="15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 spans="1:34" ht="15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 spans="1:34" ht="15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 spans="1:34" ht="15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 spans="1:34" ht="15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 spans="1:34" ht="15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 spans="1:34" ht="15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 spans="1:34" ht="15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 spans="1:34" ht="15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 spans="1:34" ht="15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 spans="1:34" ht="15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 spans="1:34" ht="15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 spans="1:34" ht="15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 spans="1:34" ht="15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 spans="1:34" ht="15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 spans="1:34" ht="15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 spans="1:34" ht="15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 spans="1:34" ht="15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 spans="1:34" ht="15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 spans="1:34" ht="15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 spans="1:34" ht="15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 spans="1:34" ht="15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 spans="1:34" ht="15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 spans="1:34" ht="15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 spans="1:34" ht="15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 spans="1:34" ht="15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 spans="1:34" ht="15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 spans="1:34" ht="15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 spans="1:34" ht="15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 spans="1:34" ht="15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 spans="1:34" ht="15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 spans="1:34" ht="15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 spans="1:34" ht="15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 spans="1:34" ht="15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 spans="1:34" ht="15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 spans="1:34" ht="15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 spans="1:34" ht="15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 spans="1:34" ht="15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 spans="1:34" ht="15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 spans="1:34" ht="15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 spans="1:34" ht="15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 spans="1:34" ht="15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 spans="1:34" ht="15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 spans="1:34" ht="15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 spans="1:34" ht="15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 spans="1:34" ht="15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 spans="1:34" ht="15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 spans="1:34" ht="15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 spans="1:34" ht="15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 spans="1:34" ht="15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 spans="1:34" ht="15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 spans="1:34" ht="15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 spans="1:34" ht="15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 spans="1:34" ht="15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 spans="1:34" ht="15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 spans="1:34" ht="15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 spans="1:34" ht="15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 spans="1:34" ht="15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 spans="1:34" ht="15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 spans="1:34" ht="15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 spans="1:34" ht="15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 spans="1:34" ht="15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 spans="1:34" ht="15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 spans="1:34" ht="15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 spans="1:34" ht="15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 spans="1:34" ht="15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 spans="1:34" ht="15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 spans="1:34" ht="15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 spans="1:34" ht="15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 spans="1:34" ht="15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 spans="1:34" ht="15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 spans="1:34" ht="15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 spans="1:34" ht="15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 spans="1:34" ht="15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 spans="1:34" ht="15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 spans="1:34" ht="15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 spans="1:34" ht="15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 spans="1:34" ht="15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 spans="1:34" ht="15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 spans="1:34" ht="15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 spans="1:34" ht="15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 spans="1:34" ht="15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 spans="1:34" ht="15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 spans="1:34" ht="15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 spans="1:34" ht="15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 spans="1:34" ht="15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 spans="1:34" ht="15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 spans="1:34" ht="15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 spans="1:34" ht="15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 spans="1:34" ht="15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 spans="1:34" ht="15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 spans="1:34" ht="15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 spans="1:34" ht="15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 spans="1:34" ht="15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 spans="1:34" ht="15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 spans="1:34" ht="15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 spans="1:34" ht="15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 spans="1:34" ht="15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 spans="1:34" ht="15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 spans="1:34" ht="15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 spans="1:34" ht="15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 spans="1:34" ht="15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 spans="1:34" ht="15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 spans="1:34" ht="15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 spans="1:34" ht="15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 spans="1:34" ht="15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 spans="1:34" ht="15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 spans="1:34" ht="15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 spans="1:34" ht="15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 spans="1:34" ht="15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 spans="1:34" ht="15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 spans="1:34" ht="15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 spans="1:34" ht="15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 spans="1:34" ht="15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 spans="1:34" ht="15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 spans="1:34" ht="15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 spans="1:34" ht="15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 spans="1:34" ht="15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 spans="1:34" ht="15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 spans="1:34" ht="15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 spans="1:34" ht="15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 spans="1:34" ht="15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 spans="1:34" ht="15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 spans="1:34" ht="15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 spans="1:34" ht="15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 spans="1:34" ht="15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 spans="1:34" ht="15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 spans="1:34" ht="15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 spans="1:34" ht="15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 spans="1:34" ht="15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 spans="1:34" ht="15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 spans="1:34" ht="15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 spans="1:34" ht="15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 spans="1:34" ht="15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 spans="1:34" ht="15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 spans="1:34" ht="15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 spans="1:34" ht="15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 spans="1:34" ht="15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 spans="1:34" ht="15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 spans="1:34" ht="15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 spans="1:34" ht="15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 spans="1:34" ht="15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 spans="1:34" ht="15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 spans="1:34" ht="15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 spans="1:34" ht="15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 spans="1:34" ht="15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 spans="1:34" ht="15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 spans="1:34" ht="15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 spans="1:34" ht="15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 spans="1:34" ht="15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 spans="1:34" ht="15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 spans="1:34" ht="15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 spans="1:34" ht="15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 spans="1:34" ht="15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 spans="1:34" ht="15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 spans="1:34" ht="15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 spans="1:34" ht="15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 spans="1:34" ht="15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 spans="1:34" ht="15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 spans="1:34" ht="15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 spans="1:34" ht="15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 spans="1:34" ht="15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 spans="1:34" ht="15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 spans="1:34" ht="15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 spans="1:34" ht="15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 spans="1:34" ht="15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 spans="1:34" ht="15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 spans="1:34" ht="15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 spans="1:34" ht="15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 spans="1:34" ht="15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 spans="1:34" ht="15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 spans="1:34" ht="15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 spans="1:34" ht="15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 spans="1:34" ht="15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 spans="1:34" ht="15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 spans="1:34" ht="15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 spans="1:34" ht="15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 spans="1:34" ht="15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 spans="1:34" ht="15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 spans="1:34" ht="15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 spans="1:34" ht="15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 spans="1:34" ht="15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 spans="1:34" ht="15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 spans="1:34" ht="15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 spans="1:34" ht="15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 spans="1:34" ht="15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 spans="1:34" ht="15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 spans="1:34" ht="15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 spans="1:34" ht="15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 spans="1:34" ht="15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 spans="1:34" ht="15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 spans="1:34" ht="15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 spans="1:34" ht="15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 spans="1:34" ht="15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 spans="1:34" ht="15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 spans="1:34" ht="15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 spans="1:34" ht="15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 spans="1:34" ht="15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 spans="1:34" ht="15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 spans="1:34" ht="15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 spans="1:34" ht="15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 spans="1:34" ht="15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 spans="1:34" ht="15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 spans="1:34" ht="15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 spans="1:34" ht="15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 spans="1:34" ht="15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 spans="1:34" ht="15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 spans="1:34" ht="15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 spans="1:34" ht="15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 spans="1:34" ht="15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 spans="1:34" ht="15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 spans="1:34" ht="15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 spans="1:34" ht="15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 spans="1:34" ht="15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 spans="1:34" ht="15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 spans="1:34" ht="15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 spans="1:34" ht="15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 spans="1:34" ht="15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 spans="1:34" ht="15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 spans="1:34" ht="15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 spans="1:34" ht="15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 spans="1:34" ht="15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 spans="1:34" ht="15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 spans="1:34" ht="15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 spans="1:34" ht="15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 spans="1:34" ht="15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 spans="1:34" ht="15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 spans="1:34" ht="15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 spans="1:34" ht="15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 spans="1:34" ht="15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 spans="1:34" ht="15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 spans="1:34" ht="15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 spans="1:34" ht="15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 spans="1:34" ht="15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 spans="1:34" ht="15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 spans="1:34" ht="15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 spans="1:34" ht="15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 spans="1:34" ht="15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 spans="1:34" ht="15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 spans="1:34" ht="15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 spans="1:34" ht="15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 spans="1:34" ht="15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 spans="1:34" ht="15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 spans="1:34" ht="15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 spans="1:34" ht="15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 spans="1:34" ht="15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 spans="1:34" ht="15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 spans="1:34" ht="15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 spans="1:34" ht="15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 spans="1:34" ht="15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 spans="1:34" ht="15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 spans="1:34" ht="15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 spans="1:34" ht="15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 spans="1:34" ht="15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 spans="1:34" ht="15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 spans="1:34" ht="15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 spans="1:34" ht="15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 spans="1:34" ht="15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 spans="1:34" ht="15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 spans="1:34" ht="15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 spans="1:34" ht="15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 spans="1:34" ht="15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 spans="1:34" ht="15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 spans="1:34" ht="15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 spans="1:34" ht="15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 spans="1:34" ht="15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 spans="1:34" ht="15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 spans="1:34" ht="15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 spans="1:34" ht="15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 spans="1:34" ht="15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 spans="1:34" ht="15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 spans="1:34" ht="15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 spans="1:34" ht="15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 spans="1:34" ht="15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 spans="1:34" ht="15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 spans="1:34" ht="15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 spans="1:34" ht="15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 spans="1:34" ht="15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 spans="1:34" ht="15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 spans="1:34" ht="15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 spans="1:34" ht="15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 spans="1:34" ht="15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 spans="1:34" ht="15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 spans="1:34" ht="15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 spans="1:34" ht="15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 spans="1:34" ht="15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 spans="1:34" ht="15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 spans="1:34" ht="15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 spans="1:34" ht="15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 spans="1:34" ht="15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 spans="1:34" ht="15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 spans="1:34" ht="15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 spans="1:34" ht="15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 spans="1:34" ht="15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 spans="1:34" ht="15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 spans="1:34" ht="15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 spans="1:34" ht="15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 spans="1:34" ht="15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 spans="1:34" ht="15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 spans="1:34" ht="15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 spans="1:34" ht="15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 spans="1:34" ht="15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 spans="1:34" ht="15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 spans="1:34" ht="15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 spans="1:34" ht="15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 spans="1:34" ht="15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 spans="1:34" ht="15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 spans="1:34" ht="15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 spans="1:34" ht="15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 spans="1:34" ht="15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 spans="1:34" ht="15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 spans="1:34" ht="15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 spans="1:34" ht="15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 spans="1:34" ht="15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 spans="1:34" ht="15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 spans="1:34" ht="15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 spans="1:34" ht="15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 spans="1:34" ht="15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 spans="1:34" ht="15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 spans="1:34" ht="15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 spans="1:34" ht="15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 spans="1:34" ht="15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 spans="1:34" ht="15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 spans="1:34" ht="15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 spans="1:34" ht="15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 spans="1:34" ht="15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 spans="1:34" ht="15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 spans="1:34" ht="15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 spans="1:34" ht="15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 spans="1:34" ht="15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 spans="1:34" ht="15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 spans="1:34" ht="15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 spans="1:34" ht="15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 spans="1:34" ht="15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 spans="1:34" ht="15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 spans="1:34" ht="15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 spans="1:34" ht="15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 spans="1:34" ht="15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 spans="1:34" ht="15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 spans="1:34" ht="15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 spans="1:34" ht="15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 spans="1:34" ht="15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 spans="1:34" ht="15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 spans="1:34" ht="15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 spans="1:34" ht="15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 spans="1:34" ht="15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 spans="1:34" ht="15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 spans="1:34" ht="15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 spans="1:34" ht="15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 spans="1:34" ht="15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 spans="1:34" ht="15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 spans="1:34" ht="15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 spans="1:34" ht="15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 spans="1:34" ht="15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 spans="1:34" ht="15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 spans="1:34" ht="15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 spans="1:34" ht="15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 spans="1:34" ht="15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 spans="1:34" ht="15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 spans="1:34" ht="15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 spans="1:34" ht="15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 spans="1:34" ht="15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 spans="1:34" ht="15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 spans="1:34" ht="15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 spans="1:34" ht="15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 spans="1:34" ht="15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 spans="1:34" ht="15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 spans="1:34" ht="15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 spans="1:34" ht="15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 spans="1:34" ht="15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 spans="1:34" ht="15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 spans="1:34" ht="15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 spans="1:34" ht="15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 spans="1:34" ht="15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 spans="1:34" ht="15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 spans="1:34" ht="15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 spans="1:34" ht="15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 spans="1:34" ht="15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 spans="1:34" ht="15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 spans="1:34" ht="15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 spans="1:34" ht="15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 spans="1:34" ht="15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 spans="1:34" ht="15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 spans="1:34" ht="15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</row>
    <row r="997" spans="1:34" ht="15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 spans="1:34" ht="15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</row>
    <row r="999" spans="1:34" ht="15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  <row r="1000" spans="1:34" ht="15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</row>
  </sheetData>
  <sortState xmlns:xlrd2="http://schemas.microsoft.com/office/spreadsheetml/2017/richdata2" ref="A2:AH63">
    <sortCondition ref="A2:A63"/>
  </sortState>
  <printOptions horizontalCentered="1"/>
  <pageMargins left="0.25" right="0.25" top="0.75" bottom="0.75" header="0" footer="0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workbookViewId="0">
      <pane xSplit="3" ySplit="1" topLeftCell="D30" activePane="bottomRight" state="frozen"/>
      <selection pane="topRight" activeCell="D1" sqref="D1"/>
      <selection pane="bottomLeft" activeCell="A2" sqref="A2"/>
      <selection pane="bottomRight" activeCell="B53" sqref="B53"/>
    </sheetView>
  </sheetViews>
  <sheetFormatPr defaultColWidth="14.42578125" defaultRowHeight="15" customHeight="1" x14ac:dyDescent="0.25"/>
  <cols>
    <col min="1" max="1" width="13.28515625" customWidth="1"/>
    <col min="2" max="2" width="20.5703125" customWidth="1"/>
    <col min="3" max="3" width="13.140625" customWidth="1"/>
    <col min="4" max="4" width="12.140625" customWidth="1"/>
    <col min="5" max="5" width="20.5703125" customWidth="1"/>
    <col min="6" max="6" width="17.5703125" customWidth="1"/>
    <col min="7" max="7" width="11" customWidth="1"/>
    <col min="8" max="8" width="10.5703125" customWidth="1"/>
    <col min="9" max="9" width="13.28515625" customWidth="1"/>
    <col min="10" max="10" width="10" customWidth="1"/>
    <col min="11" max="11" width="14.5703125" customWidth="1"/>
    <col min="12" max="13" width="10" customWidth="1"/>
    <col min="14" max="14" width="7.5703125" customWidth="1"/>
    <col min="15" max="15" width="21.5703125" customWidth="1"/>
    <col min="16" max="16" width="11.140625" customWidth="1"/>
    <col min="17" max="17" width="19.42578125" customWidth="1"/>
    <col min="18" max="18" width="19.28515625" customWidth="1"/>
    <col min="19" max="19" width="26.5703125" customWidth="1"/>
    <col min="20" max="20" width="10" customWidth="1"/>
    <col min="21" max="21" width="33.42578125" customWidth="1"/>
    <col min="22" max="22" width="15.7109375" customWidth="1"/>
    <col min="23" max="23" width="11.28515625" customWidth="1"/>
    <col min="24" max="24" width="13.42578125" customWidth="1"/>
    <col min="25" max="25" width="19" customWidth="1"/>
    <col min="27" max="30" width="12.42578125" customWidth="1"/>
    <col min="31" max="32" width="11.42578125" customWidth="1"/>
  </cols>
  <sheetData>
    <row r="1" spans="1:32" ht="15.75" x14ac:dyDescent="0.25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129</v>
      </c>
      <c r="X1" s="14" t="s">
        <v>22</v>
      </c>
      <c r="Y1" s="14" t="s">
        <v>130</v>
      </c>
      <c r="Z1" s="14" t="s">
        <v>23</v>
      </c>
      <c r="AA1" s="16" t="s">
        <v>134</v>
      </c>
      <c r="AB1" s="16" t="s">
        <v>135</v>
      </c>
      <c r="AC1" s="16" t="s">
        <v>136</v>
      </c>
      <c r="AD1" s="16" t="s">
        <v>137</v>
      </c>
      <c r="AE1" s="16" t="s">
        <v>138</v>
      </c>
      <c r="AF1" s="16" t="s">
        <v>139</v>
      </c>
    </row>
    <row r="2" spans="1:32" ht="15.75" x14ac:dyDescent="0.25">
      <c r="A2" s="5" t="s">
        <v>805</v>
      </c>
      <c r="B2" s="5" t="s">
        <v>73</v>
      </c>
      <c r="C2" s="5" t="s">
        <v>74</v>
      </c>
      <c r="D2" s="17">
        <f t="shared" ref="D2:D33" si="0">SUM(F2:Z2)</f>
        <v>32500</v>
      </c>
      <c r="E2" s="6">
        <f t="shared" ref="E2:E33" si="1">D2-SUM(AA2,AB2,AC2,AD2,AE2,AF2)</f>
        <v>0</v>
      </c>
      <c r="F2" s="6">
        <v>0</v>
      </c>
      <c r="G2" s="6">
        <v>18500</v>
      </c>
      <c r="H2" s="6">
        <v>1500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2000</v>
      </c>
      <c r="Q2" s="6">
        <v>0</v>
      </c>
      <c r="R2" s="6">
        <v>4500</v>
      </c>
      <c r="S2" s="6">
        <v>0</v>
      </c>
      <c r="T2" s="6">
        <v>0</v>
      </c>
      <c r="U2" s="6">
        <v>0</v>
      </c>
      <c r="V2" s="6">
        <v>0</v>
      </c>
      <c r="W2" s="6">
        <v>1000</v>
      </c>
      <c r="X2" s="6">
        <v>0</v>
      </c>
      <c r="Y2" s="6">
        <v>5000</v>
      </c>
      <c r="Z2" s="7">
        <v>0</v>
      </c>
      <c r="AA2" s="18">
        <v>15000</v>
      </c>
      <c r="AB2" s="18">
        <v>1000</v>
      </c>
      <c r="AC2" s="18">
        <v>16500</v>
      </c>
      <c r="AD2" s="8"/>
      <c r="AE2" s="8"/>
      <c r="AF2" s="8"/>
    </row>
    <row r="3" spans="1:32" ht="15.75" x14ac:dyDescent="0.25">
      <c r="A3" s="5" t="s">
        <v>77</v>
      </c>
      <c r="B3" s="5" t="s">
        <v>78</v>
      </c>
      <c r="C3" s="5" t="s">
        <v>79</v>
      </c>
      <c r="D3" s="17">
        <f t="shared" si="0"/>
        <v>27000</v>
      </c>
      <c r="E3" s="6">
        <f t="shared" si="1"/>
        <v>0</v>
      </c>
      <c r="F3" s="6">
        <v>0</v>
      </c>
      <c r="G3" s="6">
        <v>18500</v>
      </c>
      <c r="H3" s="6">
        <v>1500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2000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5000</v>
      </c>
      <c r="Z3" s="7">
        <v>0</v>
      </c>
      <c r="AA3" s="18">
        <v>15000</v>
      </c>
      <c r="AB3" s="18">
        <v>12000</v>
      </c>
      <c r="AC3" s="8"/>
      <c r="AD3" s="8"/>
      <c r="AE3" s="8"/>
      <c r="AF3" s="8"/>
    </row>
    <row r="4" spans="1:32" ht="15.75" x14ac:dyDescent="0.25">
      <c r="A4" s="5" t="s">
        <v>61</v>
      </c>
      <c r="B4" s="5" t="s">
        <v>62</v>
      </c>
      <c r="C4" s="5" t="s">
        <v>63</v>
      </c>
      <c r="D4" s="17">
        <f t="shared" si="0"/>
        <v>29000</v>
      </c>
      <c r="E4" s="6">
        <f t="shared" si="1"/>
        <v>0</v>
      </c>
      <c r="F4" s="6">
        <v>0</v>
      </c>
      <c r="G4" s="6">
        <v>18500</v>
      </c>
      <c r="H4" s="6">
        <v>1500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2000</v>
      </c>
      <c r="Q4" s="6">
        <v>0</v>
      </c>
      <c r="R4" s="6">
        <v>0</v>
      </c>
      <c r="S4" s="6">
        <v>500</v>
      </c>
      <c r="T4" s="6">
        <v>500</v>
      </c>
      <c r="U4" s="6">
        <v>0</v>
      </c>
      <c r="V4" s="6">
        <v>0</v>
      </c>
      <c r="W4" s="6">
        <v>1000</v>
      </c>
      <c r="X4" s="6">
        <v>5000</v>
      </c>
      <c r="Y4" s="6">
        <v>0</v>
      </c>
      <c r="Z4" s="7">
        <v>0</v>
      </c>
      <c r="AA4" s="18">
        <v>5000</v>
      </c>
      <c r="AB4" s="18">
        <v>5000</v>
      </c>
      <c r="AC4" s="18">
        <v>5000</v>
      </c>
      <c r="AD4" s="18">
        <v>5000</v>
      </c>
      <c r="AE4" s="18">
        <v>5000</v>
      </c>
      <c r="AF4" s="18">
        <v>4000</v>
      </c>
    </row>
    <row r="5" spans="1:32" ht="15.75" x14ac:dyDescent="0.25">
      <c r="A5" s="5" t="s">
        <v>64</v>
      </c>
      <c r="B5" s="5" t="s">
        <v>65</v>
      </c>
      <c r="C5" s="5" t="s">
        <v>63</v>
      </c>
      <c r="D5" s="17">
        <f t="shared" si="0"/>
        <v>33500</v>
      </c>
      <c r="E5" s="6">
        <f t="shared" si="1"/>
        <v>0</v>
      </c>
      <c r="F5" s="6">
        <v>0</v>
      </c>
      <c r="G5" s="6">
        <v>18500</v>
      </c>
      <c r="H5" s="6">
        <v>1500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2000</v>
      </c>
      <c r="Q5" s="6">
        <v>0</v>
      </c>
      <c r="R5" s="6">
        <v>4500</v>
      </c>
      <c r="S5" s="6">
        <v>500</v>
      </c>
      <c r="T5" s="6">
        <v>500</v>
      </c>
      <c r="U5" s="6">
        <v>0</v>
      </c>
      <c r="V5" s="6">
        <v>0</v>
      </c>
      <c r="W5" s="6">
        <v>1000</v>
      </c>
      <c r="X5" s="6">
        <v>5000</v>
      </c>
      <c r="Y5" s="6">
        <v>0</v>
      </c>
      <c r="Z5" s="7">
        <v>0</v>
      </c>
      <c r="AA5" s="18">
        <v>20000</v>
      </c>
      <c r="AB5" s="18">
        <v>13500</v>
      </c>
      <c r="AC5" s="8"/>
      <c r="AD5" s="8"/>
      <c r="AE5" s="8"/>
      <c r="AF5" s="8"/>
    </row>
    <row r="6" spans="1:32" ht="15.75" x14ac:dyDescent="0.25">
      <c r="A6" s="5" t="s">
        <v>38</v>
      </c>
      <c r="B6" s="5" t="s">
        <v>39</v>
      </c>
      <c r="C6" s="5" t="s">
        <v>40</v>
      </c>
      <c r="D6" s="17">
        <f t="shared" si="0"/>
        <v>38100</v>
      </c>
      <c r="E6" s="6">
        <f t="shared" si="1"/>
        <v>0</v>
      </c>
      <c r="F6" s="6">
        <v>0</v>
      </c>
      <c r="G6" s="6">
        <v>22500</v>
      </c>
      <c r="H6" s="6">
        <v>2500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2000</v>
      </c>
      <c r="P6" s="6">
        <v>2000</v>
      </c>
      <c r="Q6" s="6">
        <v>0</v>
      </c>
      <c r="R6" s="6">
        <v>0</v>
      </c>
      <c r="S6" s="6">
        <v>2500</v>
      </c>
      <c r="T6" s="6">
        <v>1500</v>
      </c>
      <c r="U6" s="6">
        <v>0</v>
      </c>
      <c r="V6" s="6">
        <v>0</v>
      </c>
      <c r="W6" s="6">
        <v>0</v>
      </c>
      <c r="X6" s="6">
        <v>0</v>
      </c>
      <c r="Y6" s="6">
        <v>5000</v>
      </c>
      <c r="Z6" s="7">
        <v>100</v>
      </c>
      <c r="AA6" s="18">
        <v>20000</v>
      </c>
      <c r="AB6" s="18">
        <v>10000</v>
      </c>
      <c r="AC6" s="18">
        <v>8100</v>
      </c>
      <c r="AD6" s="8"/>
      <c r="AE6" s="8"/>
      <c r="AF6" s="8"/>
    </row>
    <row r="7" spans="1:32" ht="15.75" x14ac:dyDescent="0.25">
      <c r="A7" s="5" t="s">
        <v>38</v>
      </c>
      <c r="B7" s="5" t="s">
        <v>90</v>
      </c>
      <c r="C7" s="5" t="s">
        <v>105</v>
      </c>
      <c r="D7" s="17">
        <f t="shared" si="0"/>
        <v>31000</v>
      </c>
      <c r="E7" s="6">
        <f t="shared" si="1"/>
        <v>0</v>
      </c>
      <c r="F7" s="6">
        <v>0</v>
      </c>
      <c r="G7" s="6">
        <v>20500</v>
      </c>
      <c r="H7" s="6">
        <v>2000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1500</v>
      </c>
      <c r="P7" s="6">
        <v>0</v>
      </c>
      <c r="Q7" s="6">
        <v>0</v>
      </c>
      <c r="R7" s="6">
        <v>0</v>
      </c>
      <c r="S7" s="6">
        <v>1000</v>
      </c>
      <c r="T7" s="6">
        <v>1000</v>
      </c>
      <c r="U7" s="6">
        <v>0</v>
      </c>
      <c r="V7" s="6">
        <v>0</v>
      </c>
      <c r="W7" s="6">
        <v>0</v>
      </c>
      <c r="X7" s="6">
        <v>0</v>
      </c>
      <c r="Y7" s="6">
        <v>5000</v>
      </c>
      <c r="Z7" s="7">
        <v>0</v>
      </c>
      <c r="AA7" s="18">
        <v>20000</v>
      </c>
      <c r="AB7" s="18">
        <v>10000</v>
      </c>
      <c r="AC7" s="18">
        <v>1000</v>
      </c>
      <c r="AD7" s="8"/>
      <c r="AE7" s="8"/>
      <c r="AF7" s="8"/>
    </row>
    <row r="8" spans="1:32" ht="15.75" x14ac:dyDescent="0.25">
      <c r="A8" s="5" t="s">
        <v>47</v>
      </c>
      <c r="B8" s="5" t="s">
        <v>48</v>
      </c>
      <c r="C8" s="5" t="s">
        <v>49</v>
      </c>
      <c r="D8" s="17">
        <f t="shared" si="0"/>
        <v>26850</v>
      </c>
      <c r="E8" s="6">
        <f t="shared" si="1"/>
        <v>16850</v>
      </c>
      <c r="F8" s="6">
        <v>0</v>
      </c>
      <c r="G8" s="6">
        <v>0</v>
      </c>
      <c r="H8" s="6">
        <v>2500</v>
      </c>
      <c r="I8" s="6">
        <v>0</v>
      </c>
      <c r="J8" s="6">
        <v>200</v>
      </c>
      <c r="K8" s="6">
        <v>0</v>
      </c>
      <c r="L8" s="6">
        <v>0</v>
      </c>
      <c r="M8" s="6">
        <v>0</v>
      </c>
      <c r="N8" s="6">
        <v>0</v>
      </c>
      <c r="O8" s="6">
        <v>2000</v>
      </c>
      <c r="P8" s="6">
        <v>2000</v>
      </c>
      <c r="Q8" s="6">
        <v>0</v>
      </c>
      <c r="R8" s="6">
        <v>0</v>
      </c>
      <c r="S8" s="6">
        <v>2500</v>
      </c>
      <c r="T8" s="6">
        <v>1500</v>
      </c>
      <c r="U8" s="6">
        <v>0</v>
      </c>
      <c r="V8" s="6">
        <v>10000</v>
      </c>
      <c r="W8" s="6">
        <v>1000</v>
      </c>
      <c r="X8" s="6">
        <v>0</v>
      </c>
      <c r="Y8" s="6">
        <v>5000</v>
      </c>
      <c r="Z8" s="7">
        <v>150</v>
      </c>
      <c r="AA8" s="18">
        <v>10000</v>
      </c>
      <c r="AB8" s="8"/>
      <c r="AC8" s="8"/>
      <c r="AD8" s="8"/>
      <c r="AE8" s="8"/>
      <c r="AF8" s="8"/>
    </row>
    <row r="9" spans="1:32" ht="15.75" x14ac:dyDescent="0.25">
      <c r="A9" s="5" t="s">
        <v>75</v>
      </c>
      <c r="B9" s="5" t="s">
        <v>42</v>
      </c>
      <c r="C9" s="5" t="s">
        <v>74</v>
      </c>
      <c r="D9" s="17">
        <f t="shared" si="0"/>
        <v>31500</v>
      </c>
      <c r="E9" s="6">
        <f t="shared" si="1"/>
        <v>0</v>
      </c>
      <c r="F9" s="6">
        <v>0</v>
      </c>
      <c r="G9" s="6">
        <v>12500</v>
      </c>
      <c r="H9" s="6">
        <v>1500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5000</v>
      </c>
      <c r="Z9" s="7">
        <v>12500</v>
      </c>
      <c r="AA9" s="18">
        <v>10000</v>
      </c>
      <c r="AB9" s="18">
        <v>10000</v>
      </c>
      <c r="AC9" s="19">
        <v>0</v>
      </c>
      <c r="AD9" s="19">
        <v>11500</v>
      </c>
      <c r="AE9" s="18">
        <v>0</v>
      </c>
      <c r="AF9" s="111"/>
    </row>
    <row r="10" spans="1:32" ht="15.75" x14ac:dyDescent="0.25">
      <c r="A10" s="5" t="s">
        <v>75</v>
      </c>
      <c r="B10" s="5" t="s">
        <v>29</v>
      </c>
      <c r="C10" s="5" t="s">
        <v>74</v>
      </c>
      <c r="D10" s="17">
        <f t="shared" si="0"/>
        <v>29700</v>
      </c>
      <c r="E10" s="6">
        <f t="shared" si="1"/>
        <v>0</v>
      </c>
      <c r="F10" s="6">
        <v>0</v>
      </c>
      <c r="G10" s="6">
        <v>12500</v>
      </c>
      <c r="H10" s="6">
        <v>1500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2000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5000</v>
      </c>
      <c r="Z10" s="7">
        <v>8700</v>
      </c>
      <c r="AA10" s="18">
        <v>10000</v>
      </c>
      <c r="AB10" s="18">
        <v>10000</v>
      </c>
      <c r="AC10" s="19">
        <v>0</v>
      </c>
      <c r="AD10" s="19">
        <v>0</v>
      </c>
      <c r="AE10" s="18">
        <v>9700</v>
      </c>
      <c r="AF10" s="111"/>
    </row>
    <row r="11" spans="1:32" ht="15.75" x14ac:dyDescent="0.25">
      <c r="A11" s="5" t="s">
        <v>75</v>
      </c>
      <c r="B11" s="5" t="s">
        <v>98</v>
      </c>
      <c r="C11" s="5" t="s">
        <v>99</v>
      </c>
      <c r="D11" s="17">
        <f t="shared" si="0"/>
        <v>54500</v>
      </c>
      <c r="E11" s="6">
        <f t="shared" si="1"/>
        <v>6700</v>
      </c>
      <c r="F11" s="6">
        <v>0</v>
      </c>
      <c r="G11" s="6">
        <v>20500</v>
      </c>
      <c r="H11" s="6">
        <v>2000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1500</v>
      </c>
      <c r="P11" s="6">
        <v>0</v>
      </c>
      <c r="Q11" s="6">
        <v>0</v>
      </c>
      <c r="R11" s="6">
        <v>0</v>
      </c>
      <c r="S11" s="6">
        <v>1000</v>
      </c>
      <c r="T11" s="6">
        <v>1000</v>
      </c>
      <c r="U11" s="6">
        <v>0</v>
      </c>
      <c r="V11" s="6">
        <v>0</v>
      </c>
      <c r="W11" s="6">
        <v>0</v>
      </c>
      <c r="X11" s="6">
        <v>0</v>
      </c>
      <c r="Y11" s="6">
        <v>5000</v>
      </c>
      <c r="Z11" s="7">
        <v>23500</v>
      </c>
      <c r="AA11" s="18">
        <v>12000</v>
      </c>
      <c r="AB11" s="18">
        <v>10000</v>
      </c>
      <c r="AC11" s="19">
        <v>25000</v>
      </c>
      <c r="AD11" s="19">
        <v>500</v>
      </c>
      <c r="AE11" s="18">
        <v>300</v>
      </c>
      <c r="AF11" s="8"/>
    </row>
    <row r="12" spans="1:32" ht="15.75" x14ac:dyDescent="0.25">
      <c r="A12" s="5" t="s">
        <v>50</v>
      </c>
      <c r="B12" s="5" t="s">
        <v>51</v>
      </c>
      <c r="C12" s="5" t="s">
        <v>49</v>
      </c>
      <c r="D12" s="17">
        <f t="shared" si="0"/>
        <v>25850</v>
      </c>
      <c r="E12" s="6">
        <f t="shared" si="1"/>
        <v>200</v>
      </c>
      <c r="F12" s="6">
        <v>0</v>
      </c>
      <c r="G12" s="6">
        <v>0</v>
      </c>
      <c r="H12" s="6">
        <v>2500</v>
      </c>
      <c r="I12" s="6">
        <v>0</v>
      </c>
      <c r="J12" s="6">
        <v>200</v>
      </c>
      <c r="K12" s="6">
        <v>0</v>
      </c>
      <c r="L12" s="6">
        <v>0</v>
      </c>
      <c r="M12" s="6">
        <v>0</v>
      </c>
      <c r="N12" s="6">
        <v>0</v>
      </c>
      <c r="O12" s="6">
        <v>2000</v>
      </c>
      <c r="P12" s="6">
        <v>1000</v>
      </c>
      <c r="Q12" s="6">
        <v>0</v>
      </c>
      <c r="R12" s="6">
        <v>0</v>
      </c>
      <c r="S12" s="6">
        <v>2500</v>
      </c>
      <c r="T12" s="6">
        <v>1500</v>
      </c>
      <c r="U12" s="6">
        <v>0</v>
      </c>
      <c r="V12" s="6">
        <v>10000</v>
      </c>
      <c r="W12" s="6">
        <v>1000</v>
      </c>
      <c r="X12" s="6">
        <v>0</v>
      </c>
      <c r="Y12" s="6">
        <v>5000</v>
      </c>
      <c r="Z12" s="7">
        <v>150</v>
      </c>
      <c r="AA12" s="18">
        <v>20000</v>
      </c>
      <c r="AB12" s="18">
        <v>5650</v>
      </c>
      <c r="AC12" s="8"/>
      <c r="AD12" s="8"/>
      <c r="AE12" s="8"/>
      <c r="AF12" s="8"/>
    </row>
    <row r="13" spans="1:32" ht="15.75" x14ac:dyDescent="0.25">
      <c r="A13" s="5" t="s">
        <v>109</v>
      </c>
      <c r="B13" s="5" t="s">
        <v>110</v>
      </c>
      <c r="C13" s="5" t="s">
        <v>111</v>
      </c>
      <c r="D13" s="17">
        <f t="shared" si="0"/>
        <v>34000</v>
      </c>
      <c r="E13" s="6">
        <f t="shared" si="1"/>
        <v>0</v>
      </c>
      <c r="F13" s="6">
        <v>0</v>
      </c>
      <c r="G13" s="6">
        <v>20500</v>
      </c>
      <c r="H13" s="6">
        <v>2000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1500</v>
      </c>
      <c r="P13" s="6">
        <v>2000</v>
      </c>
      <c r="Q13" s="6">
        <v>0</v>
      </c>
      <c r="R13" s="6">
        <v>0</v>
      </c>
      <c r="S13" s="6">
        <v>1000</v>
      </c>
      <c r="T13" s="6">
        <v>1000</v>
      </c>
      <c r="U13" s="6">
        <v>0</v>
      </c>
      <c r="V13" s="6">
        <v>0</v>
      </c>
      <c r="W13" s="6">
        <v>1000</v>
      </c>
      <c r="X13" s="6">
        <v>0</v>
      </c>
      <c r="Y13" s="6">
        <v>5000</v>
      </c>
      <c r="Z13" s="7">
        <v>0</v>
      </c>
      <c r="AA13" s="18">
        <v>10000</v>
      </c>
      <c r="AB13" s="18">
        <v>14000</v>
      </c>
      <c r="AC13" s="19">
        <v>10000</v>
      </c>
      <c r="AD13" s="8"/>
      <c r="AE13" s="8"/>
      <c r="AF13" s="8"/>
    </row>
    <row r="14" spans="1:32" ht="15.75" x14ac:dyDescent="0.25">
      <c r="A14" s="5" t="s">
        <v>81</v>
      </c>
      <c r="B14" s="5" t="s">
        <v>80</v>
      </c>
      <c r="C14" s="5" t="s">
        <v>79</v>
      </c>
      <c r="D14" s="17">
        <f t="shared" si="0"/>
        <v>17000</v>
      </c>
      <c r="E14" s="6">
        <f t="shared" si="1"/>
        <v>0</v>
      </c>
      <c r="F14" s="6">
        <v>0</v>
      </c>
      <c r="G14" s="6">
        <v>9250</v>
      </c>
      <c r="H14" s="6">
        <v>750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2000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5000</v>
      </c>
      <c r="Z14" s="7">
        <v>0</v>
      </c>
      <c r="AA14" s="18">
        <v>10000</v>
      </c>
      <c r="AB14" s="19">
        <v>7000</v>
      </c>
      <c r="AC14" s="8"/>
      <c r="AD14" s="8"/>
      <c r="AE14" s="8"/>
      <c r="AF14" s="8"/>
    </row>
    <row r="15" spans="1:32" ht="15.75" x14ac:dyDescent="0.25">
      <c r="A15" s="5" t="s">
        <v>66</v>
      </c>
      <c r="B15" s="5" t="s">
        <v>67</v>
      </c>
      <c r="C15" s="5" t="s">
        <v>63</v>
      </c>
      <c r="D15" s="17">
        <f t="shared" si="0"/>
        <v>33500</v>
      </c>
      <c r="E15" s="6">
        <f t="shared" si="1"/>
        <v>0</v>
      </c>
      <c r="F15" s="6">
        <v>0</v>
      </c>
      <c r="G15" s="6">
        <v>18500</v>
      </c>
      <c r="H15" s="6">
        <v>1500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2000</v>
      </c>
      <c r="Q15" s="6">
        <v>0</v>
      </c>
      <c r="R15" s="6">
        <v>4500</v>
      </c>
      <c r="S15" s="6">
        <v>500</v>
      </c>
      <c r="T15" s="6">
        <v>500</v>
      </c>
      <c r="U15" s="6">
        <v>0</v>
      </c>
      <c r="V15" s="6">
        <v>0</v>
      </c>
      <c r="W15" s="6">
        <v>1000</v>
      </c>
      <c r="X15" s="6">
        <v>5000</v>
      </c>
      <c r="Y15" s="6">
        <v>0</v>
      </c>
      <c r="Z15" s="7">
        <v>0</v>
      </c>
      <c r="AA15" s="18">
        <v>33500</v>
      </c>
      <c r="AB15" s="8"/>
      <c r="AC15" s="8"/>
      <c r="AD15" s="8"/>
      <c r="AE15" s="8"/>
      <c r="AF15" s="8"/>
    </row>
    <row r="16" spans="1:32" ht="15.75" x14ac:dyDescent="0.25">
      <c r="A16" s="5" t="s">
        <v>106</v>
      </c>
      <c r="B16" s="5" t="s">
        <v>821</v>
      </c>
      <c r="C16" s="5" t="s">
        <v>105</v>
      </c>
      <c r="D16" s="17">
        <f t="shared" si="0"/>
        <v>40000</v>
      </c>
      <c r="E16" s="6">
        <f t="shared" si="1"/>
        <v>0</v>
      </c>
      <c r="F16" s="6">
        <v>0</v>
      </c>
      <c r="G16" s="6">
        <v>20500</v>
      </c>
      <c r="H16" s="6">
        <v>2000</v>
      </c>
      <c r="I16" s="6">
        <v>0</v>
      </c>
      <c r="J16" s="6">
        <v>1500</v>
      </c>
      <c r="K16" s="6">
        <v>0</v>
      </c>
      <c r="L16" s="6">
        <v>0</v>
      </c>
      <c r="M16" s="6">
        <v>0</v>
      </c>
      <c r="N16" s="6">
        <v>0</v>
      </c>
      <c r="O16" s="6">
        <v>1500</v>
      </c>
      <c r="P16" s="6">
        <v>2000</v>
      </c>
      <c r="Q16" s="6">
        <v>0</v>
      </c>
      <c r="R16" s="6">
        <v>4500</v>
      </c>
      <c r="S16" s="6">
        <v>1000</v>
      </c>
      <c r="T16" s="6">
        <v>1000</v>
      </c>
      <c r="U16" s="6">
        <v>0</v>
      </c>
      <c r="V16" s="6">
        <v>0</v>
      </c>
      <c r="W16" s="6">
        <v>1000</v>
      </c>
      <c r="X16" s="6">
        <v>0</v>
      </c>
      <c r="Y16" s="6">
        <v>5000</v>
      </c>
      <c r="Z16" s="7">
        <v>0</v>
      </c>
      <c r="AA16" s="18">
        <v>38500</v>
      </c>
      <c r="AB16" s="18">
        <v>1500</v>
      </c>
      <c r="AC16" s="8"/>
      <c r="AD16" s="8"/>
      <c r="AE16" s="8"/>
      <c r="AF16" s="8"/>
    </row>
    <row r="17" spans="1:32" ht="15.75" x14ac:dyDescent="0.25">
      <c r="A17" s="5" t="s">
        <v>52</v>
      </c>
      <c r="B17" s="5" t="s">
        <v>807</v>
      </c>
      <c r="C17" s="5" t="s">
        <v>49</v>
      </c>
      <c r="D17" s="17">
        <f t="shared" si="0"/>
        <v>30200</v>
      </c>
      <c r="E17" s="6">
        <f t="shared" si="1"/>
        <v>0</v>
      </c>
      <c r="F17" s="6">
        <v>0</v>
      </c>
      <c r="G17" s="6">
        <v>0</v>
      </c>
      <c r="H17" s="6">
        <v>2500</v>
      </c>
      <c r="I17" s="6">
        <v>0</v>
      </c>
      <c r="J17" s="6">
        <v>200</v>
      </c>
      <c r="K17" s="6">
        <v>0</v>
      </c>
      <c r="L17" s="6">
        <v>0</v>
      </c>
      <c r="M17" s="6">
        <v>0</v>
      </c>
      <c r="N17" s="6">
        <v>0</v>
      </c>
      <c r="O17" s="6">
        <v>2000</v>
      </c>
      <c r="P17" s="6">
        <v>2000</v>
      </c>
      <c r="Q17" s="6">
        <v>0</v>
      </c>
      <c r="R17" s="6">
        <v>0</v>
      </c>
      <c r="S17" s="6">
        <v>2500</v>
      </c>
      <c r="T17" s="6">
        <v>1500</v>
      </c>
      <c r="U17" s="6">
        <v>3500</v>
      </c>
      <c r="V17" s="6">
        <v>10000</v>
      </c>
      <c r="W17" s="6">
        <v>1000</v>
      </c>
      <c r="X17" s="6">
        <v>0</v>
      </c>
      <c r="Y17" s="6">
        <v>5000</v>
      </c>
      <c r="Z17" s="7">
        <v>0</v>
      </c>
      <c r="AA17" s="18">
        <v>20000</v>
      </c>
      <c r="AB17" s="18">
        <v>10200</v>
      </c>
      <c r="AC17" s="8"/>
      <c r="AD17" s="8"/>
      <c r="AE17" s="8"/>
      <c r="AF17" s="8"/>
    </row>
    <row r="18" spans="1:32" ht="15.75" x14ac:dyDescent="0.25">
      <c r="A18" s="5" t="s">
        <v>53</v>
      </c>
      <c r="B18" s="5" t="s">
        <v>54</v>
      </c>
      <c r="C18" s="5" t="s">
        <v>49</v>
      </c>
      <c r="D18" s="17">
        <f t="shared" si="0"/>
        <v>29200</v>
      </c>
      <c r="E18" s="6">
        <f t="shared" si="1"/>
        <v>0</v>
      </c>
      <c r="F18" s="6">
        <v>0</v>
      </c>
      <c r="G18" s="6">
        <v>0</v>
      </c>
      <c r="H18" s="6">
        <v>2500</v>
      </c>
      <c r="I18" s="6">
        <v>0</v>
      </c>
      <c r="J18" s="6">
        <v>200</v>
      </c>
      <c r="K18" s="6">
        <v>0</v>
      </c>
      <c r="L18" s="6">
        <v>0</v>
      </c>
      <c r="M18" s="6">
        <v>0</v>
      </c>
      <c r="N18" s="6">
        <v>0</v>
      </c>
      <c r="O18" s="6">
        <v>2000</v>
      </c>
      <c r="P18" s="6">
        <v>2000</v>
      </c>
      <c r="Q18" s="6">
        <v>0</v>
      </c>
      <c r="R18" s="6">
        <v>0</v>
      </c>
      <c r="S18" s="6">
        <v>2500</v>
      </c>
      <c r="T18" s="6">
        <v>1500</v>
      </c>
      <c r="U18" s="6">
        <v>3500</v>
      </c>
      <c r="V18" s="6">
        <v>10000</v>
      </c>
      <c r="W18" s="6">
        <v>0</v>
      </c>
      <c r="X18" s="6">
        <v>0</v>
      </c>
      <c r="Y18" s="6">
        <v>5000</v>
      </c>
      <c r="Z18" s="7">
        <v>0</v>
      </c>
      <c r="AA18" s="18">
        <v>20000</v>
      </c>
      <c r="AB18" s="18">
        <v>9200</v>
      </c>
      <c r="AC18" s="8"/>
      <c r="AD18" s="8"/>
      <c r="AE18" s="8"/>
      <c r="AF18" s="8"/>
    </row>
    <row r="19" spans="1:32" ht="15.75" x14ac:dyDescent="0.25">
      <c r="A19" s="5" t="s">
        <v>41</v>
      </c>
      <c r="B19" s="5" t="s">
        <v>809</v>
      </c>
      <c r="C19" s="5" t="s">
        <v>40</v>
      </c>
      <c r="D19" s="17">
        <f t="shared" si="0"/>
        <v>18500</v>
      </c>
      <c r="E19" s="6">
        <f t="shared" si="1"/>
        <v>2500</v>
      </c>
      <c r="F19" s="6">
        <v>0</v>
      </c>
      <c r="G19" s="6">
        <v>3000</v>
      </c>
      <c r="H19" s="6">
        <v>1500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2000</v>
      </c>
      <c r="P19" s="6">
        <v>2000</v>
      </c>
      <c r="Q19" s="6">
        <v>0</v>
      </c>
      <c r="R19" s="6">
        <v>0</v>
      </c>
      <c r="S19" s="6">
        <v>2500</v>
      </c>
      <c r="T19" s="6">
        <v>1500</v>
      </c>
      <c r="U19" s="6">
        <v>0</v>
      </c>
      <c r="V19" s="6">
        <v>0</v>
      </c>
      <c r="W19" s="6">
        <v>1000</v>
      </c>
      <c r="X19" s="6">
        <v>0</v>
      </c>
      <c r="Y19" s="6">
        <v>5000</v>
      </c>
      <c r="Z19" s="7">
        <v>0</v>
      </c>
      <c r="AA19" s="18">
        <v>1000</v>
      </c>
      <c r="AB19" s="18">
        <v>10000</v>
      </c>
      <c r="AC19" s="19">
        <v>5000</v>
      </c>
      <c r="AD19" s="8"/>
      <c r="AE19" s="8"/>
      <c r="AF19" s="8"/>
    </row>
    <row r="20" spans="1:32" ht="15.75" x14ac:dyDescent="0.25">
      <c r="A20" s="5" t="s">
        <v>117</v>
      </c>
      <c r="B20" s="5" t="s">
        <v>814</v>
      </c>
      <c r="C20" s="5" t="s">
        <v>118</v>
      </c>
      <c r="D20" s="17">
        <f t="shared" si="0"/>
        <v>39200</v>
      </c>
      <c r="E20" s="6">
        <f t="shared" si="1"/>
        <v>-300</v>
      </c>
      <c r="F20" s="6">
        <v>0</v>
      </c>
      <c r="G20" s="6">
        <v>0</v>
      </c>
      <c r="H20" s="6">
        <v>2000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1500</v>
      </c>
      <c r="P20" s="6">
        <v>2000</v>
      </c>
      <c r="Q20" s="6">
        <v>0</v>
      </c>
      <c r="R20" s="6">
        <v>4500</v>
      </c>
      <c r="S20" s="6">
        <v>1000</v>
      </c>
      <c r="T20" s="6">
        <v>1000</v>
      </c>
      <c r="U20" s="6">
        <v>3500</v>
      </c>
      <c r="V20" s="6">
        <v>10000</v>
      </c>
      <c r="W20" s="6">
        <v>1000</v>
      </c>
      <c r="X20" s="6">
        <v>7000</v>
      </c>
      <c r="Y20" s="6">
        <v>0</v>
      </c>
      <c r="Z20" s="7">
        <v>5700</v>
      </c>
      <c r="AA20" s="18">
        <v>20000</v>
      </c>
      <c r="AB20" s="18">
        <v>15000</v>
      </c>
      <c r="AC20" s="18">
        <v>4500</v>
      </c>
      <c r="AD20" s="8"/>
      <c r="AE20" s="8"/>
      <c r="AF20" s="8"/>
    </row>
    <row r="21" spans="1:32" ht="15.75" customHeight="1" x14ac:dyDescent="0.25">
      <c r="A21" s="5" t="s">
        <v>42</v>
      </c>
      <c r="B21" s="5" t="s">
        <v>817</v>
      </c>
      <c r="C21" s="5" t="s">
        <v>40</v>
      </c>
      <c r="D21" s="17">
        <f t="shared" si="0"/>
        <v>43650</v>
      </c>
      <c r="E21" s="6">
        <f t="shared" si="1"/>
        <v>650</v>
      </c>
      <c r="F21" s="6">
        <v>0</v>
      </c>
      <c r="G21" s="6">
        <v>22500</v>
      </c>
      <c r="H21" s="6">
        <v>2500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2000</v>
      </c>
      <c r="P21" s="6">
        <v>1000</v>
      </c>
      <c r="Q21" s="6">
        <v>0</v>
      </c>
      <c r="R21" s="6">
        <v>5000</v>
      </c>
      <c r="S21" s="6">
        <v>2500</v>
      </c>
      <c r="T21" s="6">
        <v>1500</v>
      </c>
      <c r="U21" s="6">
        <v>0</v>
      </c>
      <c r="V21" s="6">
        <v>0</v>
      </c>
      <c r="W21" s="6">
        <v>1000</v>
      </c>
      <c r="X21" s="6">
        <v>0</v>
      </c>
      <c r="Y21" s="6">
        <v>5000</v>
      </c>
      <c r="Z21" s="7">
        <v>650</v>
      </c>
      <c r="AA21" s="18">
        <v>15000</v>
      </c>
      <c r="AB21" s="18">
        <v>15000</v>
      </c>
      <c r="AC21" s="18">
        <v>5000</v>
      </c>
      <c r="AD21" s="18">
        <v>8000</v>
      </c>
      <c r="AE21" s="8"/>
      <c r="AF21" s="8"/>
    </row>
    <row r="22" spans="1:32" ht="15.75" customHeight="1" x14ac:dyDescent="0.25">
      <c r="A22" s="5" t="s">
        <v>132</v>
      </c>
      <c r="B22" s="5" t="s">
        <v>133</v>
      </c>
      <c r="C22" s="5" t="s">
        <v>30</v>
      </c>
      <c r="D22" s="17">
        <f t="shared" si="0"/>
        <v>33460</v>
      </c>
      <c r="E22" s="6">
        <f t="shared" si="1"/>
        <v>-640</v>
      </c>
      <c r="F22" s="6">
        <v>0</v>
      </c>
      <c r="G22" s="6">
        <v>18500</v>
      </c>
      <c r="H22" s="6">
        <v>0</v>
      </c>
      <c r="I22" s="6">
        <v>0</v>
      </c>
      <c r="J22" s="6">
        <v>0</v>
      </c>
      <c r="K22" s="6">
        <v>0</v>
      </c>
      <c r="L22" s="6">
        <v>5000</v>
      </c>
      <c r="M22" s="6">
        <v>3000</v>
      </c>
      <c r="N22" s="6">
        <v>0</v>
      </c>
      <c r="O22" s="6">
        <v>0</v>
      </c>
      <c r="P22" s="6">
        <v>2000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5000</v>
      </c>
      <c r="Z22" s="7">
        <v>-40</v>
      </c>
      <c r="AA22" s="18">
        <v>34100</v>
      </c>
      <c r="AB22" s="8"/>
      <c r="AC22" s="8"/>
      <c r="AD22" s="8"/>
      <c r="AE22" s="8"/>
      <c r="AF22" s="8"/>
    </row>
    <row r="23" spans="1:32" ht="15.75" customHeight="1" x14ac:dyDescent="0.25">
      <c r="A23" s="5" t="s">
        <v>82</v>
      </c>
      <c r="B23" s="5" t="s">
        <v>83</v>
      </c>
      <c r="C23" s="5" t="s">
        <v>79</v>
      </c>
      <c r="D23" s="17">
        <f t="shared" si="0"/>
        <v>28000</v>
      </c>
      <c r="E23" s="6">
        <f t="shared" si="1"/>
        <v>0</v>
      </c>
      <c r="F23" s="6">
        <v>0</v>
      </c>
      <c r="G23" s="6">
        <v>18500</v>
      </c>
      <c r="H23" s="6">
        <v>1500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2000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1000</v>
      </c>
      <c r="X23" s="6">
        <v>0</v>
      </c>
      <c r="Y23" s="6">
        <v>5000</v>
      </c>
      <c r="Z23" s="7">
        <v>0</v>
      </c>
      <c r="AA23" s="18">
        <v>28000</v>
      </c>
      <c r="AB23" s="8"/>
      <c r="AC23" s="8"/>
      <c r="AD23" s="8"/>
      <c r="AE23" s="8"/>
      <c r="AF23" s="8"/>
    </row>
    <row r="24" spans="1:32" ht="15.75" customHeight="1" x14ac:dyDescent="0.25">
      <c r="A24" s="5" t="s">
        <v>114</v>
      </c>
      <c r="B24" s="5" t="s">
        <v>90</v>
      </c>
      <c r="C24" s="5" t="s">
        <v>111</v>
      </c>
      <c r="D24" s="17">
        <f t="shared" si="0"/>
        <v>37100</v>
      </c>
      <c r="E24" s="6">
        <f t="shared" si="1"/>
        <v>-100</v>
      </c>
      <c r="F24" s="6">
        <v>0</v>
      </c>
      <c r="G24" s="6">
        <v>20500</v>
      </c>
      <c r="H24" s="6">
        <v>2000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1500</v>
      </c>
      <c r="P24" s="6">
        <v>2000</v>
      </c>
      <c r="Q24" s="6">
        <v>0</v>
      </c>
      <c r="R24" s="6">
        <v>4500</v>
      </c>
      <c r="S24" s="6">
        <v>1000</v>
      </c>
      <c r="T24" s="6">
        <v>1000</v>
      </c>
      <c r="U24" s="6">
        <v>0</v>
      </c>
      <c r="V24" s="6">
        <v>0</v>
      </c>
      <c r="W24" s="6">
        <v>0</v>
      </c>
      <c r="X24" s="6">
        <v>0</v>
      </c>
      <c r="Y24" s="6">
        <v>5000</v>
      </c>
      <c r="Z24" s="7">
        <v>-400</v>
      </c>
      <c r="AA24" s="18">
        <v>10200</v>
      </c>
      <c r="AB24" s="18">
        <v>10200</v>
      </c>
      <c r="AC24" s="19">
        <v>16800</v>
      </c>
      <c r="AD24" s="8"/>
      <c r="AE24" s="8"/>
      <c r="AF24" s="8"/>
    </row>
    <row r="25" spans="1:32" ht="15.75" customHeight="1" x14ac:dyDescent="0.25">
      <c r="A25" s="5" t="s">
        <v>84</v>
      </c>
      <c r="B25" s="5" t="s">
        <v>85</v>
      </c>
      <c r="C25" s="5" t="s">
        <v>79</v>
      </c>
      <c r="D25" s="17">
        <f t="shared" si="0"/>
        <v>30500</v>
      </c>
      <c r="E25" s="6">
        <f t="shared" si="1"/>
        <v>0</v>
      </c>
      <c r="F25" s="6">
        <v>0</v>
      </c>
      <c r="G25" s="6">
        <v>18500</v>
      </c>
      <c r="H25" s="6">
        <v>1500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4500</v>
      </c>
      <c r="S25" s="6">
        <v>0</v>
      </c>
      <c r="T25" s="6">
        <v>0</v>
      </c>
      <c r="U25" s="6">
        <v>0</v>
      </c>
      <c r="V25" s="6">
        <v>0</v>
      </c>
      <c r="W25" s="6">
        <v>1000</v>
      </c>
      <c r="X25" s="6">
        <v>0</v>
      </c>
      <c r="Y25" s="6">
        <v>5000</v>
      </c>
      <c r="Z25" s="7">
        <v>0</v>
      </c>
      <c r="AA25" s="18">
        <v>30500</v>
      </c>
      <c r="AB25" s="8"/>
      <c r="AC25" s="8"/>
      <c r="AD25" s="8"/>
      <c r="AE25" s="8"/>
      <c r="AF25" s="8"/>
    </row>
    <row r="26" spans="1:32" ht="15.75" customHeight="1" x14ac:dyDescent="0.25">
      <c r="A26" s="5" t="s">
        <v>84</v>
      </c>
      <c r="B26" s="5" t="s">
        <v>94</v>
      </c>
      <c r="C26" s="5" t="s">
        <v>95</v>
      </c>
      <c r="D26" s="17">
        <f t="shared" si="0"/>
        <v>38500</v>
      </c>
      <c r="E26" s="6">
        <f t="shared" si="1"/>
        <v>0</v>
      </c>
      <c r="F26" s="6">
        <v>0</v>
      </c>
      <c r="G26" s="6">
        <v>20500</v>
      </c>
      <c r="H26" s="6">
        <v>2000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1500</v>
      </c>
      <c r="P26" s="6">
        <v>2000</v>
      </c>
      <c r="Q26" s="6">
        <v>0</v>
      </c>
      <c r="R26" s="6">
        <v>4500</v>
      </c>
      <c r="S26" s="6">
        <v>1000</v>
      </c>
      <c r="T26" s="6">
        <v>1000</v>
      </c>
      <c r="U26" s="6">
        <v>0</v>
      </c>
      <c r="V26" s="6">
        <v>0</v>
      </c>
      <c r="W26" s="6">
        <v>1000</v>
      </c>
      <c r="X26" s="6">
        <v>0</v>
      </c>
      <c r="Y26" s="6">
        <v>5000</v>
      </c>
      <c r="Z26" s="7">
        <v>0</v>
      </c>
      <c r="AA26" s="18">
        <v>38500</v>
      </c>
      <c r="AB26" s="8"/>
      <c r="AC26" s="8"/>
      <c r="AD26" s="8"/>
      <c r="AE26" s="8"/>
      <c r="AF26" s="8"/>
    </row>
    <row r="27" spans="1:32" ht="15.75" customHeight="1" x14ac:dyDescent="0.25">
      <c r="A27" s="5" t="s">
        <v>120</v>
      </c>
      <c r="B27" s="5" t="s">
        <v>121</v>
      </c>
      <c r="C27" s="5" t="s">
        <v>122</v>
      </c>
      <c r="D27" s="17">
        <f t="shared" si="0"/>
        <v>45000</v>
      </c>
      <c r="E27" s="6">
        <f t="shared" si="1"/>
        <v>0</v>
      </c>
      <c r="F27" s="6">
        <v>0</v>
      </c>
      <c r="G27" s="6">
        <v>29500</v>
      </c>
      <c r="H27" s="6">
        <v>2500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2000</v>
      </c>
      <c r="P27" s="6">
        <v>0</v>
      </c>
      <c r="Q27" s="6">
        <v>0</v>
      </c>
      <c r="R27" s="6">
        <v>0</v>
      </c>
      <c r="S27" s="6">
        <v>3000</v>
      </c>
      <c r="T27" s="6">
        <v>2000</v>
      </c>
      <c r="U27" s="6">
        <v>0</v>
      </c>
      <c r="V27" s="6">
        <v>0</v>
      </c>
      <c r="W27" s="6">
        <v>1000</v>
      </c>
      <c r="X27" s="6">
        <v>0</v>
      </c>
      <c r="Y27" s="6">
        <v>5000</v>
      </c>
      <c r="Z27" s="7">
        <v>0</v>
      </c>
      <c r="AA27" s="18">
        <v>20000</v>
      </c>
      <c r="AB27" s="18">
        <v>15000</v>
      </c>
      <c r="AC27" s="18">
        <v>10000</v>
      </c>
      <c r="AD27" s="8"/>
      <c r="AE27" s="8"/>
      <c r="AF27" s="8"/>
    </row>
    <row r="28" spans="1:32" ht="15.75" customHeight="1" x14ac:dyDescent="0.25">
      <c r="A28" s="5" t="s">
        <v>86</v>
      </c>
      <c r="B28" s="5" t="s">
        <v>87</v>
      </c>
      <c r="C28" s="5" t="s">
        <v>79</v>
      </c>
      <c r="D28" s="17">
        <f t="shared" si="0"/>
        <v>32000</v>
      </c>
      <c r="E28" s="6">
        <f t="shared" si="1"/>
        <v>22000</v>
      </c>
      <c r="F28" s="6">
        <v>0</v>
      </c>
      <c r="G28" s="6">
        <v>9250</v>
      </c>
      <c r="H28" s="6">
        <v>750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2000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5000</v>
      </c>
      <c r="Z28" s="7">
        <v>15000</v>
      </c>
      <c r="AA28" s="18">
        <v>10000</v>
      </c>
      <c r="AB28" s="8"/>
      <c r="AC28" s="8"/>
      <c r="AD28" s="8"/>
      <c r="AE28" s="8"/>
      <c r="AF28" s="8"/>
    </row>
    <row r="29" spans="1:32" ht="15.75" customHeight="1" x14ac:dyDescent="0.25">
      <c r="A29" s="5" t="s">
        <v>140</v>
      </c>
      <c r="B29" s="5" t="s">
        <v>809</v>
      </c>
      <c r="C29" s="5" t="s">
        <v>79</v>
      </c>
      <c r="D29" s="17">
        <f t="shared" si="0"/>
        <v>27050</v>
      </c>
      <c r="E29" s="6">
        <f t="shared" si="1"/>
        <v>2050</v>
      </c>
      <c r="F29" s="6">
        <v>0</v>
      </c>
      <c r="G29" s="6">
        <v>18500</v>
      </c>
      <c r="H29" s="6">
        <v>1500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1000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5000</v>
      </c>
      <c r="Z29" s="7">
        <v>1050</v>
      </c>
      <c r="AA29" s="18">
        <v>10000</v>
      </c>
      <c r="AB29" s="18">
        <v>10000</v>
      </c>
      <c r="AC29" s="18">
        <v>5000</v>
      </c>
      <c r="AD29" s="8"/>
      <c r="AE29" s="8"/>
      <c r="AF29" s="8"/>
    </row>
    <row r="30" spans="1:32" ht="15.75" customHeight="1" x14ac:dyDescent="0.25">
      <c r="A30" s="5" t="s">
        <v>43</v>
      </c>
      <c r="B30" s="5" t="s">
        <v>44</v>
      </c>
      <c r="C30" s="5" t="s">
        <v>40</v>
      </c>
      <c r="D30" s="17">
        <f t="shared" si="0"/>
        <v>50150</v>
      </c>
      <c r="E30" s="6">
        <f t="shared" si="1"/>
        <v>150</v>
      </c>
      <c r="F30" s="6">
        <v>0</v>
      </c>
      <c r="G30" s="6">
        <v>22500</v>
      </c>
      <c r="H30" s="6">
        <v>2500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2000</v>
      </c>
      <c r="P30" s="6">
        <v>2000</v>
      </c>
      <c r="Q30" s="6">
        <v>0</v>
      </c>
      <c r="R30" s="6">
        <v>0</v>
      </c>
      <c r="S30" s="6">
        <v>2500</v>
      </c>
      <c r="T30" s="6">
        <v>1500</v>
      </c>
      <c r="U30" s="6">
        <v>0</v>
      </c>
      <c r="V30" s="6">
        <v>0</v>
      </c>
      <c r="W30" s="6">
        <v>1000</v>
      </c>
      <c r="X30" s="6">
        <v>0</v>
      </c>
      <c r="Y30" s="6">
        <v>5000</v>
      </c>
      <c r="Z30" s="7">
        <v>11150</v>
      </c>
      <c r="AA30" s="18">
        <v>20000</v>
      </c>
      <c r="AB30" s="18">
        <v>10000</v>
      </c>
      <c r="AC30" s="18">
        <v>15000</v>
      </c>
      <c r="AD30" s="18">
        <v>5000</v>
      </c>
      <c r="AE30" s="8"/>
      <c r="AF30" s="8"/>
    </row>
    <row r="31" spans="1:32" ht="15.75" customHeight="1" x14ac:dyDescent="0.25">
      <c r="A31" s="5" t="s">
        <v>55</v>
      </c>
      <c r="B31" s="5" t="s">
        <v>819</v>
      </c>
      <c r="C31" s="5" t="s">
        <v>49</v>
      </c>
      <c r="D31" s="17">
        <f t="shared" si="0"/>
        <v>26700</v>
      </c>
      <c r="E31" s="6">
        <f t="shared" si="1"/>
        <v>0</v>
      </c>
      <c r="F31" s="6">
        <v>0</v>
      </c>
      <c r="G31" s="6">
        <v>0</v>
      </c>
      <c r="H31" s="6">
        <v>2500</v>
      </c>
      <c r="I31" s="6">
        <v>0</v>
      </c>
      <c r="J31" s="6">
        <v>200</v>
      </c>
      <c r="K31" s="6">
        <v>0</v>
      </c>
      <c r="L31" s="6">
        <v>0</v>
      </c>
      <c r="M31" s="6">
        <v>0</v>
      </c>
      <c r="N31" s="6">
        <v>0</v>
      </c>
      <c r="O31" s="6">
        <v>2000</v>
      </c>
      <c r="P31" s="6">
        <v>2000</v>
      </c>
      <c r="Q31" s="6">
        <v>0</v>
      </c>
      <c r="R31" s="6">
        <v>5000</v>
      </c>
      <c r="S31" s="6">
        <v>2500</v>
      </c>
      <c r="T31" s="6">
        <v>1500</v>
      </c>
      <c r="U31" s="6">
        <v>0</v>
      </c>
      <c r="V31" s="6">
        <v>5000</v>
      </c>
      <c r="W31" s="6">
        <v>1000</v>
      </c>
      <c r="X31" s="6">
        <v>0</v>
      </c>
      <c r="Y31" s="6">
        <v>5000</v>
      </c>
      <c r="Z31" s="7">
        <v>0</v>
      </c>
      <c r="AA31" s="18">
        <v>10000</v>
      </c>
      <c r="AB31" s="18">
        <v>10000</v>
      </c>
      <c r="AC31" s="18">
        <v>6700</v>
      </c>
      <c r="AD31" s="8"/>
      <c r="AE31" s="8"/>
      <c r="AF31" s="8"/>
    </row>
    <row r="32" spans="1:32" ht="15.75" customHeight="1" x14ac:dyDescent="0.25">
      <c r="A32" s="5" t="s">
        <v>55</v>
      </c>
      <c r="B32" s="5" t="s">
        <v>820</v>
      </c>
      <c r="C32" s="5" t="s">
        <v>79</v>
      </c>
      <c r="D32" s="17">
        <f t="shared" si="0"/>
        <v>26000</v>
      </c>
      <c r="E32" s="6">
        <f t="shared" si="1"/>
        <v>0</v>
      </c>
      <c r="F32" s="6">
        <v>0</v>
      </c>
      <c r="G32" s="6">
        <v>18500</v>
      </c>
      <c r="H32" s="6">
        <v>1500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1000</v>
      </c>
      <c r="X32" s="6">
        <v>0</v>
      </c>
      <c r="Y32" s="6">
        <v>5000</v>
      </c>
      <c r="Z32" s="7">
        <v>0</v>
      </c>
      <c r="AA32" s="18">
        <v>10000</v>
      </c>
      <c r="AB32" s="18">
        <v>10000</v>
      </c>
      <c r="AC32" s="18">
        <v>6000</v>
      </c>
      <c r="AD32" s="8"/>
      <c r="AE32" s="8"/>
      <c r="AF32" s="8"/>
    </row>
    <row r="33" spans="1:32" ht="15.75" customHeight="1" x14ac:dyDescent="0.25">
      <c r="A33" s="5" t="s">
        <v>55</v>
      </c>
      <c r="B33" s="5" t="s">
        <v>818</v>
      </c>
      <c r="C33" s="5" t="s">
        <v>99</v>
      </c>
      <c r="D33" s="17">
        <f t="shared" si="0"/>
        <v>32000</v>
      </c>
      <c r="E33" s="6">
        <f t="shared" si="1"/>
        <v>0</v>
      </c>
      <c r="F33" s="6">
        <v>0</v>
      </c>
      <c r="G33" s="6">
        <v>20500</v>
      </c>
      <c r="H33" s="6">
        <v>2000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1500</v>
      </c>
      <c r="P33" s="6">
        <v>0</v>
      </c>
      <c r="Q33" s="6">
        <v>0</v>
      </c>
      <c r="R33" s="6">
        <v>0</v>
      </c>
      <c r="S33" s="6">
        <v>1000</v>
      </c>
      <c r="T33" s="6">
        <v>1000</v>
      </c>
      <c r="U33" s="6">
        <v>0</v>
      </c>
      <c r="V33" s="6">
        <v>0</v>
      </c>
      <c r="W33" s="6">
        <v>1000</v>
      </c>
      <c r="X33" s="6">
        <v>0</v>
      </c>
      <c r="Y33" s="6">
        <v>5000</v>
      </c>
      <c r="Z33" s="7">
        <v>0</v>
      </c>
      <c r="AA33" s="18">
        <v>10000</v>
      </c>
      <c r="AB33" s="18">
        <v>10000</v>
      </c>
      <c r="AC33" s="18">
        <v>12000</v>
      </c>
      <c r="AD33" s="8"/>
      <c r="AE33" s="8"/>
      <c r="AF33" s="8"/>
    </row>
    <row r="34" spans="1:32" ht="15.75" customHeight="1" x14ac:dyDescent="0.25">
      <c r="A34" s="5" t="s">
        <v>56</v>
      </c>
      <c r="B34" s="5" t="s">
        <v>57</v>
      </c>
      <c r="C34" s="5" t="s">
        <v>49</v>
      </c>
      <c r="D34" s="17">
        <f t="shared" ref="D34:D58" si="2">SUM(F34:Z34)</f>
        <v>24700</v>
      </c>
      <c r="E34" s="6">
        <f t="shared" ref="E34:E65" si="3">D34-SUM(AA34,AB34,AC34,AD34,AE34,AF34)</f>
        <v>200</v>
      </c>
      <c r="F34" s="6">
        <v>0</v>
      </c>
      <c r="G34" s="6">
        <v>0</v>
      </c>
      <c r="H34" s="6">
        <v>2500</v>
      </c>
      <c r="I34" s="6">
        <v>0</v>
      </c>
      <c r="J34" s="6">
        <v>200</v>
      </c>
      <c r="K34" s="6">
        <v>0</v>
      </c>
      <c r="L34" s="6">
        <v>0</v>
      </c>
      <c r="M34" s="6">
        <v>0</v>
      </c>
      <c r="N34" s="6">
        <v>0</v>
      </c>
      <c r="O34" s="6">
        <v>2000</v>
      </c>
      <c r="P34" s="6">
        <v>1000</v>
      </c>
      <c r="Q34" s="6">
        <v>0</v>
      </c>
      <c r="R34" s="6">
        <v>0</v>
      </c>
      <c r="S34" s="6">
        <v>2500</v>
      </c>
      <c r="T34" s="6">
        <v>1500</v>
      </c>
      <c r="U34" s="6">
        <v>0</v>
      </c>
      <c r="V34" s="6">
        <v>10000</v>
      </c>
      <c r="W34" s="6">
        <v>0</v>
      </c>
      <c r="X34" s="6">
        <v>0</v>
      </c>
      <c r="Y34" s="6">
        <v>5000</v>
      </c>
      <c r="Z34" s="7">
        <v>0</v>
      </c>
      <c r="AA34" s="18">
        <v>20000</v>
      </c>
      <c r="AB34" s="18">
        <v>4500</v>
      </c>
      <c r="AC34" s="8"/>
      <c r="AD34" s="8"/>
      <c r="AE34" s="8"/>
      <c r="AF34" s="8"/>
    </row>
    <row r="35" spans="1:32" ht="15.75" customHeight="1" x14ac:dyDescent="0.25">
      <c r="A35" s="5" t="s">
        <v>31</v>
      </c>
      <c r="B35" s="5" t="s">
        <v>822</v>
      </c>
      <c r="C35" s="5" t="s">
        <v>32</v>
      </c>
      <c r="D35" s="17">
        <f t="shared" si="2"/>
        <v>60750</v>
      </c>
      <c r="E35" s="6">
        <f t="shared" si="3"/>
        <v>5750</v>
      </c>
      <c r="F35" s="6">
        <v>0</v>
      </c>
      <c r="G35" s="6">
        <v>22500</v>
      </c>
      <c r="H35" s="6">
        <v>2500</v>
      </c>
      <c r="I35" s="6">
        <v>0</v>
      </c>
      <c r="J35" s="6">
        <v>2500</v>
      </c>
      <c r="K35" s="6">
        <v>0</v>
      </c>
      <c r="L35" s="6">
        <v>0</v>
      </c>
      <c r="M35" s="6">
        <v>0</v>
      </c>
      <c r="N35" s="6">
        <v>0</v>
      </c>
      <c r="O35" s="6">
        <v>2000</v>
      </c>
      <c r="P35" s="6">
        <v>0</v>
      </c>
      <c r="Q35" s="6">
        <v>0</v>
      </c>
      <c r="R35" s="6">
        <v>5000</v>
      </c>
      <c r="S35" s="6">
        <v>2500</v>
      </c>
      <c r="T35" s="6">
        <v>1500</v>
      </c>
      <c r="U35" s="6">
        <v>0</v>
      </c>
      <c r="V35" s="6">
        <v>0</v>
      </c>
      <c r="W35" s="6">
        <v>1000</v>
      </c>
      <c r="X35" s="6">
        <v>0</v>
      </c>
      <c r="Y35" s="6">
        <v>5000</v>
      </c>
      <c r="Z35" s="7">
        <v>16250</v>
      </c>
      <c r="AA35" s="18">
        <v>20000</v>
      </c>
      <c r="AB35" s="18">
        <v>20000</v>
      </c>
      <c r="AC35" s="18">
        <v>7500</v>
      </c>
      <c r="AD35" s="19">
        <v>7500</v>
      </c>
      <c r="AE35" s="8"/>
      <c r="AF35" s="8"/>
    </row>
    <row r="36" spans="1:32" ht="15.75" customHeight="1" x14ac:dyDescent="0.25">
      <c r="A36" s="5" t="s">
        <v>31</v>
      </c>
      <c r="B36" s="5" t="s">
        <v>823</v>
      </c>
      <c r="C36" s="5" t="s">
        <v>40</v>
      </c>
      <c r="D36" s="17">
        <f t="shared" si="2"/>
        <v>59500</v>
      </c>
      <c r="E36" s="6">
        <f t="shared" si="3"/>
        <v>4500</v>
      </c>
      <c r="F36" s="6">
        <v>0</v>
      </c>
      <c r="G36" s="6">
        <v>22500</v>
      </c>
      <c r="H36" s="6">
        <v>2500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2000</v>
      </c>
      <c r="P36" s="6">
        <v>2000</v>
      </c>
      <c r="Q36" s="6">
        <v>0</v>
      </c>
      <c r="R36" s="6">
        <v>5000</v>
      </c>
      <c r="S36" s="6">
        <v>2500</v>
      </c>
      <c r="T36" s="6">
        <v>1500</v>
      </c>
      <c r="U36" s="6">
        <v>0</v>
      </c>
      <c r="V36" s="6">
        <v>0</v>
      </c>
      <c r="W36" s="6">
        <v>1000</v>
      </c>
      <c r="X36" s="6">
        <v>0</v>
      </c>
      <c r="Y36" s="6">
        <v>5000</v>
      </c>
      <c r="Z36" s="7">
        <v>15500</v>
      </c>
      <c r="AA36" s="18">
        <v>20000</v>
      </c>
      <c r="AB36" s="18">
        <v>20000</v>
      </c>
      <c r="AC36" s="18">
        <v>7500</v>
      </c>
      <c r="AD36" s="19">
        <v>7500</v>
      </c>
      <c r="AE36" s="8"/>
      <c r="AF36" s="8"/>
    </row>
    <row r="37" spans="1:32" ht="15.75" customHeight="1" x14ac:dyDescent="0.25">
      <c r="A37" s="5" t="s">
        <v>33</v>
      </c>
      <c r="B37" s="5" t="s">
        <v>29</v>
      </c>
      <c r="C37" s="5" t="s">
        <v>32</v>
      </c>
      <c r="D37" s="17">
        <f t="shared" si="2"/>
        <v>44000</v>
      </c>
      <c r="E37" s="6">
        <f t="shared" si="3"/>
        <v>0</v>
      </c>
      <c r="F37" s="6">
        <v>0</v>
      </c>
      <c r="G37" s="6">
        <v>22500</v>
      </c>
      <c r="H37" s="6">
        <v>2500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2000</v>
      </c>
      <c r="P37" s="6">
        <v>2000</v>
      </c>
      <c r="Q37" s="6">
        <v>0</v>
      </c>
      <c r="R37" s="6">
        <v>5000</v>
      </c>
      <c r="S37" s="6">
        <v>2500</v>
      </c>
      <c r="T37" s="6">
        <v>1500</v>
      </c>
      <c r="U37" s="6">
        <v>0</v>
      </c>
      <c r="V37" s="6">
        <v>0</v>
      </c>
      <c r="W37" s="6">
        <v>1000</v>
      </c>
      <c r="X37" s="6">
        <v>0</v>
      </c>
      <c r="Y37" s="6">
        <v>5000</v>
      </c>
      <c r="Z37" s="7">
        <v>0</v>
      </c>
      <c r="AA37" s="18">
        <v>30000</v>
      </c>
      <c r="AB37" s="18">
        <v>14000</v>
      </c>
      <c r="AC37" s="8"/>
      <c r="AD37" s="8"/>
      <c r="AE37" s="8"/>
      <c r="AF37" s="8"/>
    </row>
    <row r="38" spans="1:32" ht="15.75" customHeight="1" x14ac:dyDescent="0.25">
      <c r="A38" s="5" t="s">
        <v>33</v>
      </c>
      <c r="B38" s="5" t="s">
        <v>824</v>
      </c>
      <c r="C38" s="5" t="s">
        <v>49</v>
      </c>
      <c r="D38" s="17">
        <f t="shared" si="2"/>
        <v>29200</v>
      </c>
      <c r="E38" s="6">
        <f t="shared" si="3"/>
        <v>0</v>
      </c>
      <c r="F38" s="6">
        <v>0</v>
      </c>
      <c r="G38" s="6">
        <v>0</v>
      </c>
      <c r="H38" s="6">
        <v>2500</v>
      </c>
      <c r="I38" s="6">
        <v>0</v>
      </c>
      <c r="J38" s="6">
        <v>200</v>
      </c>
      <c r="K38" s="6">
        <v>0</v>
      </c>
      <c r="L38" s="6">
        <v>0</v>
      </c>
      <c r="M38" s="6">
        <v>0</v>
      </c>
      <c r="N38" s="6">
        <v>0</v>
      </c>
      <c r="O38" s="6">
        <v>2000</v>
      </c>
      <c r="P38" s="6">
        <v>1000</v>
      </c>
      <c r="Q38" s="6">
        <v>0</v>
      </c>
      <c r="R38" s="6">
        <v>0</v>
      </c>
      <c r="S38" s="6">
        <v>2500</v>
      </c>
      <c r="T38" s="6">
        <v>1500</v>
      </c>
      <c r="U38" s="6">
        <v>0</v>
      </c>
      <c r="V38" s="6">
        <v>10000</v>
      </c>
      <c r="W38" s="6">
        <v>1000</v>
      </c>
      <c r="X38" s="6">
        <v>0</v>
      </c>
      <c r="Y38" s="6">
        <v>5000</v>
      </c>
      <c r="Z38" s="7">
        <v>3500</v>
      </c>
      <c r="AA38" s="18">
        <v>15000</v>
      </c>
      <c r="AB38" s="18">
        <v>10000</v>
      </c>
      <c r="AC38" s="18">
        <v>4200</v>
      </c>
      <c r="AD38" s="8"/>
      <c r="AE38" s="8"/>
      <c r="AF38" s="8"/>
    </row>
    <row r="39" spans="1:32" ht="15.75" customHeight="1" x14ac:dyDescent="0.25">
      <c r="A39" s="5" t="s">
        <v>101</v>
      </c>
      <c r="B39" s="5" t="s">
        <v>102</v>
      </c>
      <c r="C39" s="5" t="s">
        <v>99</v>
      </c>
      <c r="D39" s="17">
        <f t="shared" si="2"/>
        <v>34000</v>
      </c>
      <c r="E39" s="6">
        <f t="shared" si="3"/>
        <v>0</v>
      </c>
      <c r="F39" s="6">
        <v>0</v>
      </c>
      <c r="G39" s="6">
        <v>20500</v>
      </c>
      <c r="H39" s="6">
        <v>2000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1500</v>
      </c>
      <c r="P39" s="6">
        <v>2000</v>
      </c>
      <c r="Q39" s="6">
        <v>0</v>
      </c>
      <c r="R39" s="6">
        <v>0</v>
      </c>
      <c r="S39" s="6">
        <v>1000</v>
      </c>
      <c r="T39" s="6">
        <v>1000</v>
      </c>
      <c r="U39" s="6">
        <v>0</v>
      </c>
      <c r="V39" s="6">
        <v>0</v>
      </c>
      <c r="W39" s="6">
        <v>1000</v>
      </c>
      <c r="X39" s="6">
        <v>0</v>
      </c>
      <c r="Y39" s="6">
        <v>5000</v>
      </c>
      <c r="Z39" s="7">
        <v>0</v>
      </c>
      <c r="AA39" s="18">
        <v>10000</v>
      </c>
      <c r="AB39" s="18">
        <v>10000</v>
      </c>
      <c r="AC39" s="18">
        <v>10000</v>
      </c>
      <c r="AD39" s="19">
        <v>4000</v>
      </c>
      <c r="AE39" s="8"/>
      <c r="AF39" s="8"/>
    </row>
    <row r="40" spans="1:32" ht="15.75" customHeight="1" x14ac:dyDescent="0.25">
      <c r="A40" s="5" t="s">
        <v>103</v>
      </c>
      <c r="B40" s="5" t="s">
        <v>86</v>
      </c>
      <c r="C40" s="5" t="s">
        <v>99</v>
      </c>
      <c r="D40" s="17">
        <f t="shared" si="2"/>
        <v>34000</v>
      </c>
      <c r="E40" s="6">
        <f t="shared" si="3"/>
        <v>0</v>
      </c>
      <c r="F40" s="6">
        <v>0</v>
      </c>
      <c r="G40" s="6">
        <v>20500</v>
      </c>
      <c r="H40" s="6">
        <v>2000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1500</v>
      </c>
      <c r="P40" s="6">
        <v>2000</v>
      </c>
      <c r="Q40" s="6">
        <v>0</v>
      </c>
      <c r="R40" s="6">
        <v>0</v>
      </c>
      <c r="S40" s="6">
        <v>1000</v>
      </c>
      <c r="T40" s="6">
        <v>1000</v>
      </c>
      <c r="U40" s="6">
        <v>0</v>
      </c>
      <c r="V40" s="6">
        <v>0</v>
      </c>
      <c r="W40" s="6">
        <v>1000</v>
      </c>
      <c r="X40" s="6">
        <v>0</v>
      </c>
      <c r="Y40" s="6">
        <v>5000</v>
      </c>
      <c r="Z40" s="7">
        <v>0</v>
      </c>
      <c r="AA40" s="18">
        <v>30000</v>
      </c>
      <c r="AB40" s="18">
        <v>4000</v>
      </c>
      <c r="AC40" s="8"/>
      <c r="AD40" s="8"/>
      <c r="AE40" s="8"/>
      <c r="AF40" s="8"/>
    </row>
    <row r="41" spans="1:32" ht="15.75" customHeight="1" x14ac:dyDescent="0.25">
      <c r="A41" s="5" t="s">
        <v>45</v>
      </c>
      <c r="B41" s="5" t="s">
        <v>825</v>
      </c>
      <c r="C41" s="5" t="s">
        <v>40</v>
      </c>
      <c r="D41" s="17">
        <f t="shared" si="2"/>
        <v>13000</v>
      </c>
      <c r="E41" s="6">
        <f t="shared" si="3"/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2000</v>
      </c>
      <c r="P41" s="6">
        <v>1000</v>
      </c>
      <c r="Q41" s="6">
        <v>0</v>
      </c>
      <c r="R41" s="6">
        <v>0</v>
      </c>
      <c r="S41" s="6">
        <v>2500</v>
      </c>
      <c r="T41" s="6">
        <v>1500</v>
      </c>
      <c r="U41" s="6">
        <v>0</v>
      </c>
      <c r="V41" s="6">
        <v>0</v>
      </c>
      <c r="W41" s="6">
        <v>1000</v>
      </c>
      <c r="X41" s="6">
        <v>0</v>
      </c>
      <c r="Y41" s="6">
        <v>5000</v>
      </c>
      <c r="Z41" s="7">
        <v>0</v>
      </c>
      <c r="AA41" s="18">
        <v>10000</v>
      </c>
      <c r="AB41" s="18">
        <v>0</v>
      </c>
      <c r="AC41" s="18">
        <v>3000</v>
      </c>
      <c r="AD41" s="8"/>
      <c r="AE41" s="8"/>
      <c r="AF41" s="8"/>
    </row>
    <row r="42" spans="1:32" ht="15.75" customHeight="1" x14ac:dyDescent="0.25">
      <c r="A42" s="5" t="s">
        <v>45</v>
      </c>
      <c r="B42" s="5" t="s">
        <v>826</v>
      </c>
      <c r="C42" s="5" t="s">
        <v>59</v>
      </c>
      <c r="D42" s="17">
        <f t="shared" si="2"/>
        <v>19600</v>
      </c>
      <c r="E42" s="6">
        <f t="shared" si="3"/>
        <v>0</v>
      </c>
      <c r="F42" s="6">
        <v>0</v>
      </c>
      <c r="G42" s="6">
        <v>12600</v>
      </c>
      <c r="H42" s="6">
        <v>1500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500</v>
      </c>
      <c r="U42" s="6">
        <v>0</v>
      </c>
      <c r="V42" s="6">
        <v>0</v>
      </c>
      <c r="W42" s="6">
        <v>0</v>
      </c>
      <c r="X42" s="6">
        <v>0</v>
      </c>
      <c r="Y42" s="6">
        <v>5000</v>
      </c>
      <c r="Z42" s="7">
        <v>0</v>
      </c>
      <c r="AA42" s="18">
        <v>10000</v>
      </c>
      <c r="AB42" s="18">
        <v>7600</v>
      </c>
      <c r="AC42" s="18">
        <v>2000</v>
      </c>
      <c r="AD42" s="8"/>
      <c r="AE42" s="8"/>
      <c r="AF42" s="8"/>
    </row>
    <row r="43" spans="1:32" ht="15.75" customHeight="1" x14ac:dyDescent="0.25">
      <c r="A43" s="5" t="s">
        <v>28</v>
      </c>
      <c r="B43" s="5" t="s">
        <v>827</v>
      </c>
      <c r="C43" s="5" t="s">
        <v>30</v>
      </c>
      <c r="D43" s="17">
        <f t="shared" si="2"/>
        <v>25500</v>
      </c>
      <c r="E43" s="6">
        <f t="shared" si="3"/>
        <v>-1000</v>
      </c>
      <c r="F43" s="6">
        <v>0</v>
      </c>
      <c r="G43" s="6">
        <v>18500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2000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5000</v>
      </c>
      <c r="Z43" s="7">
        <v>0</v>
      </c>
      <c r="AA43" s="18">
        <v>26500</v>
      </c>
      <c r="AB43" s="8"/>
      <c r="AC43" s="8"/>
      <c r="AD43" s="8"/>
      <c r="AE43" s="8"/>
      <c r="AF43" s="8"/>
    </row>
    <row r="44" spans="1:32" ht="15.75" customHeight="1" x14ac:dyDescent="0.25">
      <c r="A44" s="5" t="s">
        <v>60</v>
      </c>
      <c r="B44" s="5" t="s">
        <v>58</v>
      </c>
      <c r="C44" s="5" t="s">
        <v>59</v>
      </c>
      <c r="D44" s="17">
        <f t="shared" si="2"/>
        <v>27500</v>
      </c>
      <c r="E44" s="6">
        <f t="shared" si="3"/>
        <v>500</v>
      </c>
      <c r="F44" s="6">
        <v>0</v>
      </c>
      <c r="G44" s="6">
        <v>18500</v>
      </c>
      <c r="H44" s="6">
        <v>1500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2000</v>
      </c>
      <c r="Q44" s="6">
        <v>0</v>
      </c>
      <c r="R44" s="6">
        <v>0</v>
      </c>
      <c r="S44" s="6">
        <v>0</v>
      </c>
      <c r="T44" s="6">
        <v>500</v>
      </c>
      <c r="U44" s="6">
        <v>0</v>
      </c>
      <c r="V44" s="6">
        <v>0</v>
      </c>
      <c r="W44" s="6">
        <v>0</v>
      </c>
      <c r="X44" s="6">
        <v>0</v>
      </c>
      <c r="Y44" s="6">
        <v>5000</v>
      </c>
      <c r="Z44" s="7">
        <v>0</v>
      </c>
      <c r="AA44" s="18">
        <v>10000</v>
      </c>
      <c r="AB44" s="18">
        <v>10000</v>
      </c>
      <c r="AC44" s="19">
        <v>7000</v>
      </c>
      <c r="AD44" s="8"/>
      <c r="AE44" s="8"/>
      <c r="AF44" s="8"/>
    </row>
    <row r="45" spans="1:32" ht="15.75" customHeight="1" x14ac:dyDescent="0.25">
      <c r="A45" s="5" t="s">
        <v>34</v>
      </c>
      <c r="B45" s="5" t="s">
        <v>35</v>
      </c>
      <c r="C45" s="5" t="s">
        <v>32</v>
      </c>
      <c r="D45" s="17">
        <f t="shared" si="2"/>
        <v>44000</v>
      </c>
      <c r="E45" s="6">
        <f t="shared" si="3"/>
        <v>0</v>
      </c>
      <c r="F45" s="6">
        <v>0</v>
      </c>
      <c r="G45" s="6">
        <v>22500</v>
      </c>
      <c r="H45" s="6">
        <v>2500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2000</v>
      </c>
      <c r="P45" s="6">
        <v>2000</v>
      </c>
      <c r="Q45" s="6">
        <v>0</v>
      </c>
      <c r="R45" s="6">
        <v>5000</v>
      </c>
      <c r="S45" s="6">
        <v>2500</v>
      </c>
      <c r="T45" s="6">
        <v>1500</v>
      </c>
      <c r="U45" s="6">
        <v>0</v>
      </c>
      <c r="V45" s="6">
        <v>0</v>
      </c>
      <c r="W45" s="6">
        <v>1000</v>
      </c>
      <c r="X45" s="6">
        <v>0</v>
      </c>
      <c r="Y45" s="6">
        <v>5000</v>
      </c>
      <c r="Z45" s="7">
        <v>0</v>
      </c>
      <c r="AA45" s="18">
        <v>0</v>
      </c>
      <c r="AB45" s="18">
        <v>10000</v>
      </c>
      <c r="AC45" s="18">
        <v>10000</v>
      </c>
      <c r="AD45" s="18">
        <v>24000</v>
      </c>
      <c r="AE45" s="8"/>
      <c r="AF45" s="8"/>
    </row>
    <row r="46" spans="1:32" ht="15.75" customHeight="1" x14ac:dyDescent="0.25">
      <c r="A46" s="5" t="s">
        <v>34</v>
      </c>
      <c r="B46" s="5" t="s">
        <v>107</v>
      </c>
      <c r="C46" s="5" t="s">
        <v>105</v>
      </c>
      <c r="D46" s="17">
        <f t="shared" si="2"/>
        <v>50575</v>
      </c>
      <c r="E46" s="6">
        <f t="shared" si="3"/>
        <v>575</v>
      </c>
      <c r="F46" s="6">
        <v>0</v>
      </c>
      <c r="G46" s="6">
        <v>20500</v>
      </c>
      <c r="H46" s="6">
        <v>2000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1500</v>
      </c>
      <c r="P46" s="6">
        <v>0</v>
      </c>
      <c r="Q46" s="6">
        <v>0</v>
      </c>
      <c r="R46" s="6">
        <v>4500</v>
      </c>
      <c r="S46" s="6">
        <v>1000</v>
      </c>
      <c r="T46" s="6">
        <v>1000</v>
      </c>
      <c r="U46" s="6">
        <v>0</v>
      </c>
      <c r="V46" s="6">
        <v>0</v>
      </c>
      <c r="W46" s="6">
        <v>1000</v>
      </c>
      <c r="X46" s="6">
        <v>0</v>
      </c>
      <c r="Y46" s="6">
        <v>5000</v>
      </c>
      <c r="Z46" s="7">
        <v>14075</v>
      </c>
      <c r="AA46" s="18">
        <v>14000</v>
      </c>
      <c r="AB46" s="18">
        <v>10000</v>
      </c>
      <c r="AC46" s="18">
        <v>10000</v>
      </c>
      <c r="AD46" s="18">
        <v>16000</v>
      </c>
      <c r="AE46" s="8"/>
      <c r="AF46" s="8"/>
    </row>
    <row r="47" spans="1:32" ht="15.75" customHeight="1" x14ac:dyDescent="0.25">
      <c r="A47" s="5" t="s">
        <v>115</v>
      </c>
      <c r="B47" s="5" t="s">
        <v>116</v>
      </c>
      <c r="C47" s="5" t="s">
        <v>111</v>
      </c>
      <c r="D47" s="17">
        <f t="shared" si="2"/>
        <v>34000</v>
      </c>
      <c r="E47" s="6">
        <f t="shared" si="3"/>
        <v>0</v>
      </c>
      <c r="F47" s="6">
        <v>0</v>
      </c>
      <c r="G47" s="6">
        <v>20500</v>
      </c>
      <c r="H47" s="6">
        <v>2000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1500</v>
      </c>
      <c r="P47" s="6">
        <v>2000</v>
      </c>
      <c r="Q47" s="6">
        <v>0</v>
      </c>
      <c r="R47" s="6">
        <v>0</v>
      </c>
      <c r="S47" s="6">
        <v>1000</v>
      </c>
      <c r="T47" s="6">
        <v>1000</v>
      </c>
      <c r="U47" s="6">
        <v>0</v>
      </c>
      <c r="V47" s="6">
        <v>0</v>
      </c>
      <c r="W47" s="6">
        <v>1000</v>
      </c>
      <c r="X47" s="6">
        <v>0</v>
      </c>
      <c r="Y47" s="6">
        <v>5000</v>
      </c>
      <c r="Z47" s="7">
        <v>0</v>
      </c>
      <c r="AA47" s="18">
        <v>15000</v>
      </c>
      <c r="AB47" s="18">
        <v>4000</v>
      </c>
      <c r="AC47" s="18">
        <v>15000</v>
      </c>
      <c r="AD47" s="8"/>
      <c r="AE47" s="8"/>
      <c r="AF47" s="8"/>
    </row>
    <row r="48" spans="1:32" ht="15.75" customHeight="1" x14ac:dyDescent="0.25">
      <c r="A48" s="5" t="s">
        <v>36</v>
      </c>
      <c r="B48" s="5" t="s">
        <v>37</v>
      </c>
      <c r="C48" s="5" t="s">
        <v>32</v>
      </c>
      <c r="D48" s="17">
        <f t="shared" si="2"/>
        <v>39000</v>
      </c>
      <c r="E48" s="6">
        <f t="shared" si="3"/>
        <v>0</v>
      </c>
      <c r="F48" s="6">
        <v>0</v>
      </c>
      <c r="G48" s="6">
        <v>22500</v>
      </c>
      <c r="H48" s="6">
        <v>2500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2000</v>
      </c>
      <c r="P48" s="6">
        <v>2000</v>
      </c>
      <c r="Q48" s="6">
        <v>0</v>
      </c>
      <c r="R48" s="6">
        <v>0</v>
      </c>
      <c r="S48" s="6">
        <v>2500</v>
      </c>
      <c r="T48" s="6">
        <v>1500</v>
      </c>
      <c r="U48" s="6">
        <v>0</v>
      </c>
      <c r="V48" s="6">
        <v>0</v>
      </c>
      <c r="W48" s="6">
        <v>1000</v>
      </c>
      <c r="X48" s="6">
        <v>0</v>
      </c>
      <c r="Y48" s="6">
        <v>5000</v>
      </c>
      <c r="Z48" s="7">
        <v>0</v>
      </c>
      <c r="AA48" s="18">
        <v>12500</v>
      </c>
      <c r="AB48" s="18">
        <v>15000</v>
      </c>
      <c r="AC48" s="18">
        <v>11500</v>
      </c>
      <c r="AD48" s="8"/>
      <c r="AE48" s="8"/>
      <c r="AF48" s="8"/>
    </row>
    <row r="49" spans="1:32" ht="15.75" customHeight="1" x14ac:dyDescent="0.25">
      <c r="A49" s="5" t="s">
        <v>89</v>
      </c>
      <c r="B49" s="5" t="s">
        <v>90</v>
      </c>
      <c r="C49" s="5" t="s">
        <v>79</v>
      </c>
      <c r="D49" s="17">
        <f t="shared" si="2"/>
        <v>27500</v>
      </c>
      <c r="E49" s="6">
        <f t="shared" si="3"/>
        <v>0</v>
      </c>
      <c r="F49" s="6">
        <v>0</v>
      </c>
      <c r="G49" s="6">
        <v>18500</v>
      </c>
      <c r="H49" s="6">
        <v>1500</v>
      </c>
      <c r="I49" s="6">
        <v>500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2000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5000</v>
      </c>
      <c r="Z49" s="7">
        <v>0</v>
      </c>
      <c r="AA49" s="18">
        <v>27500</v>
      </c>
      <c r="AB49" s="8"/>
      <c r="AC49" s="8"/>
      <c r="AD49" s="8"/>
      <c r="AE49" s="8"/>
      <c r="AF49" s="8"/>
    </row>
    <row r="50" spans="1:32" ht="15.75" customHeight="1" x14ac:dyDescent="0.25">
      <c r="A50" s="5" t="s">
        <v>89</v>
      </c>
      <c r="B50" s="5" t="s">
        <v>91</v>
      </c>
      <c r="C50" s="5" t="s">
        <v>79</v>
      </c>
      <c r="D50" s="17">
        <f t="shared" si="2"/>
        <v>27000</v>
      </c>
      <c r="E50" s="6">
        <f t="shared" si="3"/>
        <v>0</v>
      </c>
      <c r="F50" s="6">
        <v>0</v>
      </c>
      <c r="G50" s="6">
        <v>18500</v>
      </c>
      <c r="H50" s="6">
        <v>1500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2000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5000</v>
      </c>
      <c r="Z50" s="7">
        <v>0</v>
      </c>
      <c r="AA50" s="18">
        <v>27000</v>
      </c>
      <c r="AB50" s="8"/>
      <c r="AC50" s="8"/>
      <c r="AD50" s="8"/>
      <c r="AE50" s="8"/>
      <c r="AF50" s="8"/>
    </row>
    <row r="51" spans="1:32" ht="15.75" customHeight="1" x14ac:dyDescent="0.25">
      <c r="A51" s="5" t="s">
        <v>123</v>
      </c>
      <c r="B51" s="5" t="s">
        <v>124</v>
      </c>
      <c r="C51" s="5" t="s">
        <v>122</v>
      </c>
      <c r="D51" s="17">
        <f t="shared" si="2"/>
        <v>45000</v>
      </c>
      <c r="E51" s="6">
        <f t="shared" si="3"/>
        <v>0</v>
      </c>
      <c r="F51" s="6">
        <v>0</v>
      </c>
      <c r="G51" s="6">
        <v>22500</v>
      </c>
      <c r="H51" s="6">
        <v>2500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2000</v>
      </c>
      <c r="P51" s="6">
        <v>0</v>
      </c>
      <c r="Q51" s="6">
        <v>0</v>
      </c>
      <c r="R51" s="6">
        <v>5000</v>
      </c>
      <c r="S51" s="6">
        <v>3000</v>
      </c>
      <c r="T51" s="6">
        <v>2000</v>
      </c>
      <c r="U51" s="6">
        <v>0</v>
      </c>
      <c r="V51" s="6">
        <v>0</v>
      </c>
      <c r="W51" s="6">
        <v>1000</v>
      </c>
      <c r="X51" s="6">
        <v>0</v>
      </c>
      <c r="Y51" s="6">
        <v>5000</v>
      </c>
      <c r="Z51" s="7">
        <v>2000</v>
      </c>
      <c r="AA51" s="18">
        <v>0</v>
      </c>
      <c r="AB51" s="18">
        <v>15000</v>
      </c>
      <c r="AC51" s="18">
        <v>30000</v>
      </c>
      <c r="AD51" s="8"/>
      <c r="AE51" s="8"/>
      <c r="AF51" s="8"/>
    </row>
    <row r="52" spans="1:32" ht="15.75" customHeight="1" x14ac:dyDescent="0.25">
      <c r="A52" s="5" t="s">
        <v>123</v>
      </c>
      <c r="B52" s="5" t="s">
        <v>125</v>
      </c>
      <c r="C52" s="5" t="s">
        <v>122</v>
      </c>
      <c r="D52" s="17">
        <f t="shared" si="2"/>
        <v>52050</v>
      </c>
      <c r="E52" s="6">
        <f t="shared" si="3"/>
        <v>0</v>
      </c>
      <c r="F52" s="6">
        <v>0</v>
      </c>
      <c r="G52" s="6">
        <v>22500</v>
      </c>
      <c r="H52" s="6">
        <v>2500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2000</v>
      </c>
      <c r="P52" s="6">
        <v>2000</v>
      </c>
      <c r="Q52" s="6">
        <v>0</v>
      </c>
      <c r="R52" s="6">
        <v>5000</v>
      </c>
      <c r="S52" s="6">
        <v>3000</v>
      </c>
      <c r="T52" s="6">
        <v>2000</v>
      </c>
      <c r="U52" s="6">
        <v>0</v>
      </c>
      <c r="V52" s="6">
        <v>0</v>
      </c>
      <c r="W52" s="6">
        <v>1000</v>
      </c>
      <c r="X52" s="6">
        <v>0</v>
      </c>
      <c r="Y52" s="6">
        <v>5000</v>
      </c>
      <c r="Z52" s="7">
        <v>7050</v>
      </c>
      <c r="AA52" s="18">
        <v>25000</v>
      </c>
      <c r="AB52" s="18">
        <v>15000</v>
      </c>
      <c r="AC52" s="18">
        <v>12050</v>
      </c>
      <c r="AD52" s="8"/>
      <c r="AE52" s="8"/>
      <c r="AF52" s="8"/>
    </row>
    <row r="53" spans="1:32" ht="15.75" customHeight="1" x14ac:dyDescent="0.25">
      <c r="A53" s="5" t="s">
        <v>108</v>
      </c>
      <c r="B53" s="5" t="s">
        <v>830</v>
      </c>
      <c r="C53" s="5" t="s">
        <v>105</v>
      </c>
      <c r="D53" s="17">
        <f t="shared" si="2"/>
        <v>44150</v>
      </c>
      <c r="E53" s="6">
        <f t="shared" si="3"/>
        <v>0</v>
      </c>
      <c r="F53" s="6">
        <v>0</v>
      </c>
      <c r="G53" s="6">
        <v>20500</v>
      </c>
      <c r="H53" s="6">
        <v>2000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1500</v>
      </c>
      <c r="P53" s="6">
        <v>0</v>
      </c>
      <c r="Q53" s="6">
        <v>0</v>
      </c>
      <c r="R53" s="6">
        <v>0</v>
      </c>
      <c r="S53" s="6">
        <v>1000</v>
      </c>
      <c r="T53" s="6">
        <v>1000</v>
      </c>
      <c r="U53" s="6">
        <v>0</v>
      </c>
      <c r="V53" s="6">
        <v>0</v>
      </c>
      <c r="W53" s="6">
        <v>1000</v>
      </c>
      <c r="X53" s="6">
        <v>0</v>
      </c>
      <c r="Y53" s="6">
        <v>5000</v>
      </c>
      <c r="Z53" s="7">
        <v>12150</v>
      </c>
      <c r="AA53" s="18">
        <v>10000</v>
      </c>
      <c r="AB53" s="18">
        <v>15000</v>
      </c>
      <c r="AC53" s="18">
        <v>10000</v>
      </c>
      <c r="AD53" s="19">
        <v>9150</v>
      </c>
      <c r="AE53" s="8"/>
      <c r="AF53" s="8"/>
    </row>
    <row r="54" spans="1:32" ht="15.75" customHeight="1" x14ac:dyDescent="0.25">
      <c r="A54" s="5" t="s">
        <v>108</v>
      </c>
      <c r="B54" s="5" t="s">
        <v>829</v>
      </c>
      <c r="C54" s="5" t="s">
        <v>118</v>
      </c>
      <c r="D54" s="17">
        <f t="shared" si="2"/>
        <v>40750</v>
      </c>
      <c r="E54" s="6">
        <f t="shared" si="3"/>
        <v>0</v>
      </c>
      <c r="F54" s="6">
        <v>0</v>
      </c>
      <c r="G54" s="6">
        <v>0</v>
      </c>
      <c r="H54" s="6">
        <v>2000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1500</v>
      </c>
      <c r="P54" s="6">
        <v>2000</v>
      </c>
      <c r="Q54" s="6">
        <v>0</v>
      </c>
      <c r="R54" s="6">
        <v>4500</v>
      </c>
      <c r="S54" s="6">
        <v>1000</v>
      </c>
      <c r="T54" s="6">
        <v>1000</v>
      </c>
      <c r="U54" s="6">
        <v>3500</v>
      </c>
      <c r="V54" s="6">
        <v>10000</v>
      </c>
      <c r="W54" s="6">
        <v>1000</v>
      </c>
      <c r="X54" s="6">
        <v>7000</v>
      </c>
      <c r="Y54" s="6">
        <v>0</v>
      </c>
      <c r="Z54" s="7">
        <v>7250</v>
      </c>
      <c r="AA54" s="18">
        <v>10000</v>
      </c>
      <c r="AB54" s="18">
        <v>15000</v>
      </c>
      <c r="AC54" s="18">
        <v>10000</v>
      </c>
      <c r="AD54" s="19">
        <v>5750</v>
      </c>
      <c r="AE54" s="8"/>
      <c r="AF54" s="8"/>
    </row>
    <row r="55" spans="1:32" ht="15.75" customHeight="1" x14ac:dyDescent="0.25">
      <c r="A55" s="5" t="s">
        <v>96</v>
      </c>
      <c r="B55" s="5" t="s">
        <v>97</v>
      </c>
      <c r="C55" s="5" t="s">
        <v>95</v>
      </c>
      <c r="D55" s="17">
        <f t="shared" si="2"/>
        <v>36500</v>
      </c>
      <c r="E55" s="6">
        <f t="shared" si="3"/>
        <v>0</v>
      </c>
      <c r="F55" s="6">
        <v>0</v>
      </c>
      <c r="G55" s="6">
        <v>20500</v>
      </c>
      <c r="H55" s="6">
        <v>2000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1500</v>
      </c>
      <c r="P55" s="6">
        <v>0</v>
      </c>
      <c r="Q55" s="6">
        <v>0</v>
      </c>
      <c r="R55" s="6">
        <v>4500</v>
      </c>
      <c r="S55" s="6">
        <v>1000</v>
      </c>
      <c r="T55" s="6">
        <v>1000</v>
      </c>
      <c r="U55" s="6">
        <v>0</v>
      </c>
      <c r="V55" s="6">
        <v>0</v>
      </c>
      <c r="W55" s="6">
        <v>1000</v>
      </c>
      <c r="X55" s="6">
        <v>0</v>
      </c>
      <c r="Y55" s="6">
        <v>5000</v>
      </c>
      <c r="Z55" s="7">
        <v>0</v>
      </c>
      <c r="AA55" s="18">
        <v>36500</v>
      </c>
      <c r="AB55" s="8"/>
      <c r="AC55" s="8"/>
      <c r="AD55" s="8"/>
      <c r="AE55" s="8"/>
      <c r="AF55" s="8"/>
    </row>
    <row r="56" spans="1:32" ht="15.75" customHeight="1" x14ac:dyDescent="0.25">
      <c r="A56" s="5" t="s">
        <v>96</v>
      </c>
      <c r="B56" s="5" t="s">
        <v>119</v>
      </c>
      <c r="C56" s="5" t="s">
        <v>118</v>
      </c>
      <c r="D56" s="17">
        <f t="shared" si="2"/>
        <v>33500</v>
      </c>
      <c r="E56" s="6">
        <f t="shared" si="3"/>
        <v>0</v>
      </c>
      <c r="F56" s="6">
        <v>0</v>
      </c>
      <c r="G56" s="6">
        <v>0</v>
      </c>
      <c r="H56" s="6">
        <v>2000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1500</v>
      </c>
      <c r="P56" s="6">
        <v>2000</v>
      </c>
      <c r="Q56" s="6">
        <v>0</v>
      </c>
      <c r="R56" s="6">
        <v>4500</v>
      </c>
      <c r="S56" s="6">
        <v>1000</v>
      </c>
      <c r="T56" s="6">
        <v>1000</v>
      </c>
      <c r="U56" s="6">
        <v>3500</v>
      </c>
      <c r="V56" s="6">
        <v>10000</v>
      </c>
      <c r="W56" s="6">
        <v>1000</v>
      </c>
      <c r="X56" s="6">
        <v>7000</v>
      </c>
      <c r="Y56" s="6">
        <v>0</v>
      </c>
      <c r="Z56" s="7">
        <v>0</v>
      </c>
      <c r="AA56" s="18">
        <v>33500</v>
      </c>
      <c r="AB56" s="8"/>
      <c r="AC56" s="8"/>
      <c r="AD56" s="8"/>
      <c r="AE56" s="8"/>
      <c r="AF56" s="8"/>
    </row>
    <row r="57" spans="1:32" ht="15.75" customHeight="1" x14ac:dyDescent="0.25">
      <c r="A57" s="5" t="s">
        <v>92</v>
      </c>
      <c r="B57" s="5" t="s">
        <v>93</v>
      </c>
      <c r="C57" s="5" t="s">
        <v>79</v>
      </c>
      <c r="D57" s="17">
        <f t="shared" si="2"/>
        <v>44550</v>
      </c>
      <c r="E57" s="6">
        <f t="shared" si="3"/>
        <v>9550</v>
      </c>
      <c r="F57" s="6">
        <v>0</v>
      </c>
      <c r="G57" s="6">
        <v>18500</v>
      </c>
      <c r="H57" s="6">
        <v>1500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4500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5000</v>
      </c>
      <c r="Z57" s="7">
        <v>15050</v>
      </c>
      <c r="AA57" s="18">
        <v>15000</v>
      </c>
      <c r="AB57" s="19">
        <v>15000</v>
      </c>
      <c r="AC57" s="18">
        <v>5000</v>
      </c>
      <c r="AD57" s="8"/>
      <c r="AE57" s="8"/>
      <c r="AF57" s="8"/>
    </row>
    <row r="58" spans="1:32" ht="15.75" customHeight="1" x14ac:dyDescent="0.25">
      <c r="A58" s="5" t="s">
        <v>92</v>
      </c>
      <c r="B58" s="5" t="s">
        <v>104</v>
      </c>
      <c r="C58" s="5" t="s">
        <v>99</v>
      </c>
      <c r="D58" s="17">
        <f t="shared" si="2"/>
        <v>48200</v>
      </c>
      <c r="E58" s="6">
        <f t="shared" si="3"/>
        <v>13200</v>
      </c>
      <c r="F58" s="6">
        <v>0</v>
      </c>
      <c r="G58" s="6">
        <v>20500</v>
      </c>
      <c r="H58" s="6">
        <v>2000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1500</v>
      </c>
      <c r="P58" s="6">
        <v>2000</v>
      </c>
      <c r="Q58" s="6">
        <v>0</v>
      </c>
      <c r="R58" s="6">
        <v>4500</v>
      </c>
      <c r="S58" s="6">
        <v>1000</v>
      </c>
      <c r="T58" s="6">
        <v>1000</v>
      </c>
      <c r="U58" s="6">
        <v>0</v>
      </c>
      <c r="V58" s="6">
        <v>0</v>
      </c>
      <c r="W58" s="6">
        <v>0</v>
      </c>
      <c r="X58" s="6">
        <v>0</v>
      </c>
      <c r="Y58" s="6">
        <v>5000</v>
      </c>
      <c r="Z58" s="7">
        <v>10700</v>
      </c>
      <c r="AA58" s="18">
        <v>15000</v>
      </c>
      <c r="AB58" s="19">
        <v>15000</v>
      </c>
      <c r="AC58" s="18">
        <v>5000</v>
      </c>
      <c r="AD58" s="8"/>
      <c r="AE58" s="8"/>
      <c r="AF58" s="8"/>
    </row>
    <row r="59" spans="1:32" ht="15.75" customHeight="1" x14ac:dyDescent="0.25">
      <c r="A59" s="20"/>
      <c r="B59" s="20"/>
      <c r="C59" s="20"/>
      <c r="D59" s="21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3"/>
      <c r="AA59" s="24"/>
      <c r="AB59" s="24"/>
      <c r="AC59" s="24"/>
      <c r="AD59" s="24"/>
      <c r="AE59" s="24"/>
      <c r="AF59" s="24"/>
    </row>
    <row r="60" spans="1:32" ht="15.75" customHeight="1" x14ac:dyDescent="0.25">
      <c r="A60" s="20"/>
      <c r="B60" s="20"/>
      <c r="C60" s="20"/>
      <c r="D60" s="21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3"/>
      <c r="AA60" s="24"/>
      <c r="AB60" s="24"/>
      <c r="AC60" s="24"/>
      <c r="AD60" s="24"/>
      <c r="AE60" s="24"/>
      <c r="AF60" s="24"/>
    </row>
    <row r="61" spans="1:32" ht="15.75" customHeight="1" x14ac:dyDescent="0.25">
      <c r="A61" s="20"/>
      <c r="B61" s="20"/>
      <c r="C61" s="20"/>
      <c r="D61" s="21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3"/>
      <c r="AA61" s="24"/>
      <c r="AB61" s="24"/>
      <c r="AC61" s="24"/>
      <c r="AD61" s="24"/>
      <c r="AE61" s="24"/>
      <c r="AF61" s="24"/>
    </row>
    <row r="62" spans="1:32" ht="15.75" customHeight="1" x14ac:dyDescent="0.25">
      <c r="A62" s="20"/>
      <c r="B62" s="20"/>
      <c r="C62" s="20"/>
      <c r="D62" s="21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3"/>
      <c r="AA62" s="24"/>
      <c r="AB62" s="24"/>
      <c r="AC62" s="24"/>
      <c r="AD62" s="24"/>
      <c r="AE62" s="24"/>
      <c r="AF62" s="24"/>
    </row>
    <row r="63" spans="1:32" ht="15.75" customHeight="1" x14ac:dyDescent="0.25">
      <c r="A63" s="20"/>
      <c r="B63" s="20"/>
      <c r="C63" s="20"/>
      <c r="D63" s="21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3"/>
      <c r="AA63" s="24"/>
      <c r="AB63" s="24"/>
      <c r="AC63" s="24"/>
      <c r="AD63" s="24"/>
      <c r="AE63" s="24"/>
      <c r="AF63" s="24"/>
    </row>
    <row r="64" spans="1:32" ht="15.75" customHeight="1" x14ac:dyDescent="0.25">
      <c r="A64" s="20"/>
      <c r="B64" s="20"/>
      <c r="C64" s="20"/>
      <c r="D64" s="21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3"/>
      <c r="AA64" s="24"/>
      <c r="AB64" s="24"/>
      <c r="AC64" s="24"/>
      <c r="AD64" s="24"/>
      <c r="AE64" s="24"/>
      <c r="AF64" s="24"/>
    </row>
    <row r="65" spans="1:32" ht="15.75" customHeight="1" x14ac:dyDescent="0.25">
      <c r="A65" s="20"/>
      <c r="B65" s="20"/>
      <c r="C65" s="20"/>
      <c r="D65" s="21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3"/>
      <c r="AA65" s="24"/>
      <c r="AB65" s="24"/>
      <c r="AC65" s="24"/>
      <c r="AD65" s="24"/>
      <c r="AE65" s="24"/>
      <c r="AF65" s="24"/>
    </row>
    <row r="66" spans="1:32" ht="15.75" customHeight="1" x14ac:dyDescent="0.25">
      <c r="A66" s="20"/>
      <c r="B66" s="20"/>
      <c r="C66" s="20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3"/>
      <c r="AA66" s="24"/>
      <c r="AB66" s="24"/>
      <c r="AC66" s="24"/>
      <c r="AD66" s="24"/>
      <c r="AE66" s="24"/>
      <c r="AF66" s="24"/>
    </row>
    <row r="67" spans="1:32" ht="15.75" customHeight="1" x14ac:dyDescent="0.25">
      <c r="A67" s="20"/>
      <c r="B67" s="20"/>
      <c r="C67" s="20"/>
      <c r="D67" s="21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3"/>
      <c r="AA67" s="24"/>
      <c r="AB67" s="24"/>
      <c r="AC67" s="24"/>
      <c r="AD67" s="24"/>
      <c r="AE67" s="24"/>
      <c r="AF67" s="24"/>
    </row>
    <row r="68" spans="1:32" ht="15.75" customHeight="1" x14ac:dyDescent="0.25">
      <c r="A68" s="20"/>
      <c r="B68" s="20"/>
      <c r="C68" s="20"/>
      <c r="D68" s="21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3"/>
      <c r="AA68" s="24"/>
      <c r="AB68" s="24"/>
      <c r="AC68" s="24"/>
      <c r="AD68" s="24"/>
      <c r="AE68" s="24"/>
      <c r="AF68" s="24"/>
    </row>
    <row r="69" spans="1:32" ht="15.75" customHeight="1" x14ac:dyDescent="0.25">
      <c r="A69" s="20"/>
      <c r="B69" s="20"/>
      <c r="C69" s="20"/>
      <c r="D69" s="21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3"/>
      <c r="AA69" s="24"/>
      <c r="AB69" s="24"/>
      <c r="AC69" s="24"/>
      <c r="AD69" s="24"/>
      <c r="AE69" s="24"/>
      <c r="AF69" s="24"/>
    </row>
    <row r="70" spans="1:32" ht="15.75" customHeight="1" x14ac:dyDescent="0.25">
      <c r="A70" s="20"/>
      <c r="B70" s="20"/>
      <c r="C70" s="20"/>
      <c r="D70" s="21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3"/>
      <c r="AA70" s="24"/>
      <c r="AB70" s="24"/>
      <c r="AC70" s="24"/>
      <c r="AD70" s="24"/>
      <c r="AE70" s="24"/>
      <c r="AF70" s="24"/>
    </row>
    <row r="71" spans="1:32" ht="15.75" customHeight="1" x14ac:dyDescent="0.25">
      <c r="A71" s="20"/>
      <c r="B71" s="20"/>
      <c r="C71" s="20"/>
      <c r="D71" s="21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3"/>
      <c r="AA71" s="24"/>
      <c r="AB71" s="24"/>
      <c r="AC71" s="24"/>
      <c r="AD71" s="24"/>
      <c r="AE71" s="24"/>
      <c r="AF71" s="24"/>
    </row>
    <row r="72" spans="1:32" ht="15.75" customHeight="1" x14ac:dyDescent="0.25">
      <c r="A72" s="20"/>
      <c r="B72" s="20"/>
      <c r="C72" s="20"/>
      <c r="D72" s="21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3"/>
      <c r="AA72" s="24"/>
      <c r="AB72" s="24"/>
      <c r="AC72" s="24"/>
      <c r="AD72" s="24"/>
      <c r="AE72" s="24"/>
      <c r="AF72" s="24"/>
    </row>
    <row r="73" spans="1:32" ht="15.75" customHeight="1" x14ac:dyDescent="0.25">
      <c r="A73" s="20"/>
      <c r="B73" s="20"/>
      <c r="C73" s="20"/>
      <c r="D73" s="21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3"/>
      <c r="AA73" s="24"/>
      <c r="AB73" s="24"/>
      <c r="AC73" s="24"/>
      <c r="AD73" s="24"/>
      <c r="AE73" s="24"/>
      <c r="AF73" s="24"/>
    </row>
    <row r="74" spans="1:32" ht="15.75" customHeight="1" x14ac:dyDescent="0.25">
      <c r="A74" s="20"/>
      <c r="B74" s="20"/>
      <c r="C74" s="20"/>
      <c r="D74" s="21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3"/>
      <c r="AA74" s="24"/>
      <c r="AB74" s="24"/>
      <c r="AC74" s="24"/>
      <c r="AD74" s="24"/>
      <c r="AE74" s="24"/>
      <c r="AF74" s="24"/>
    </row>
    <row r="75" spans="1:32" ht="15.75" customHeight="1" x14ac:dyDescent="0.25">
      <c r="A75" s="20"/>
      <c r="B75" s="20"/>
      <c r="C75" s="20"/>
      <c r="D75" s="21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3"/>
      <c r="AA75" s="24"/>
      <c r="AB75" s="24"/>
      <c r="AC75" s="24"/>
      <c r="AD75" s="24"/>
      <c r="AE75" s="24"/>
      <c r="AF75" s="24"/>
    </row>
    <row r="76" spans="1:32" ht="15.75" customHeight="1" x14ac:dyDescent="0.25">
      <c r="A76" s="20"/>
      <c r="B76" s="20"/>
      <c r="C76" s="20"/>
      <c r="D76" s="21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3"/>
      <c r="AA76" s="24"/>
      <c r="AB76" s="24"/>
      <c r="AC76" s="24"/>
      <c r="AD76" s="24"/>
      <c r="AE76" s="24"/>
      <c r="AF76" s="24"/>
    </row>
    <row r="77" spans="1:32" ht="15.75" customHeight="1" x14ac:dyDescent="0.25">
      <c r="A77" s="20"/>
      <c r="B77" s="20"/>
      <c r="C77" s="20"/>
      <c r="D77" s="21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3"/>
      <c r="AA77" s="24"/>
      <c r="AB77" s="24"/>
      <c r="AC77" s="24"/>
      <c r="AD77" s="24"/>
      <c r="AE77" s="24"/>
      <c r="AF77" s="24"/>
    </row>
    <row r="78" spans="1:32" ht="15.75" customHeight="1" x14ac:dyDescent="0.25">
      <c r="A78" s="20"/>
      <c r="B78" s="20"/>
      <c r="C78" s="20"/>
      <c r="D78" s="21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3"/>
      <c r="AA78" s="24"/>
      <c r="AB78" s="24"/>
      <c r="AC78" s="24"/>
      <c r="AD78" s="24"/>
      <c r="AE78" s="24"/>
      <c r="AF78" s="24"/>
    </row>
    <row r="79" spans="1:32" ht="15.75" customHeight="1" x14ac:dyDescent="0.25">
      <c r="A79" s="20"/>
      <c r="B79" s="20"/>
      <c r="C79" s="20"/>
      <c r="D79" s="21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3"/>
      <c r="AA79" s="24"/>
      <c r="AB79" s="24"/>
      <c r="AC79" s="24"/>
      <c r="AD79" s="24"/>
      <c r="AE79" s="24"/>
      <c r="AF79" s="24"/>
    </row>
    <row r="80" spans="1:32" ht="15.75" customHeight="1" x14ac:dyDescent="0.25">
      <c r="A80" s="20"/>
      <c r="B80" s="20"/>
      <c r="C80" s="20"/>
      <c r="D80" s="21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3"/>
      <c r="AA80" s="24"/>
      <c r="AB80" s="24"/>
      <c r="AC80" s="24"/>
      <c r="AD80" s="24"/>
      <c r="AE80" s="24"/>
      <c r="AF80" s="24"/>
    </row>
    <row r="81" spans="1:32" ht="15.75" customHeight="1" x14ac:dyDescent="0.25">
      <c r="A81" s="20"/>
      <c r="B81" s="20"/>
      <c r="C81" s="20"/>
      <c r="D81" s="21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3"/>
      <c r="AA81" s="24"/>
      <c r="AB81" s="24"/>
      <c r="AC81" s="24"/>
      <c r="AD81" s="24"/>
      <c r="AE81" s="24"/>
      <c r="AF81" s="24"/>
    </row>
    <row r="82" spans="1:32" ht="15.75" customHeight="1" x14ac:dyDescent="0.25">
      <c r="A82" s="20"/>
      <c r="B82" s="20"/>
      <c r="C82" s="20"/>
      <c r="D82" s="21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3"/>
      <c r="AA82" s="24"/>
      <c r="AB82" s="24"/>
      <c r="AC82" s="24"/>
      <c r="AD82" s="24"/>
      <c r="AE82" s="24"/>
      <c r="AF82" s="24"/>
    </row>
    <row r="83" spans="1:32" ht="15.75" customHeight="1" x14ac:dyDescent="0.25">
      <c r="A83" s="20"/>
      <c r="B83" s="20"/>
      <c r="C83" s="20"/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3"/>
      <c r="AA83" s="24"/>
      <c r="AB83" s="24"/>
      <c r="AC83" s="24"/>
      <c r="AD83" s="24"/>
      <c r="AE83" s="24"/>
      <c r="AF83" s="24"/>
    </row>
    <row r="84" spans="1:32" ht="15.75" customHeight="1" x14ac:dyDescent="0.25">
      <c r="A84" s="20"/>
      <c r="B84" s="20"/>
      <c r="C84" s="20"/>
      <c r="D84" s="21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3"/>
      <c r="AA84" s="24"/>
      <c r="AB84" s="24"/>
      <c r="AC84" s="24"/>
      <c r="AD84" s="24"/>
      <c r="AE84" s="24"/>
      <c r="AF84" s="24"/>
    </row>
    <row r="85" spans="1:32" ht="15.75" customHeight="1" x14ac:dyDescent="0.25">
      <c r="A85" s="20"/>
      <c r="B85" s="20"/>
      <c r="C85" s="20"/>
      <c r="D85" s="21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3"/>
      <c r="AA85" s="24"/>
      <c r="AB85" s="24"/>
      <c r="AC85" s="24"/>
      <c r="AD85" s="24"/>
      <c r="AE85" s="24"/>
      <c r="AF85" s="24"/>
    </row>
    <row r="86" spans="1:32" ht="15.75" customHeight="1" x14ac:dyDescent="0.25">
      <c r="A86" s="20"/>
      <c r="B86" s="20"/>
      <c r="C86" s="20"/>
      <c r="D86" s="21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3"/>
      <c r="AA86" s="24"/>
      <c r="AB86" s="24"/>
      <c r="AC86" s="24"/>
      <c r="AD86" s="24"/>
      <c r="AE86" s="24"/>
      <c r="AF86" s="24"/>
    </row>
    <row r="87" spans="1:32" ht="15.75" customHeight="1" x14ac:dyDescent="0.25">
      <c r="A87" s="20"/>
      <c r="B87" s="20"/>
      <c r="C87" s="20"/>
      <c r="D87" s="21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3"/>
      <c r="AA87" s="24"/>
      <c r="AB87" s="24"/>
      <c r="AC87" s="24"/>
      <c r="AD87" s="24"/>
      <c r="AE87" s="24"/>
      <c r="AF87" s="24"/>
    </row>
    <row r="88" spans="1:32" ht="15.75" customHeight="1" x14ac:dyDescent="0.25">
      <c r="A88" s="20"/>
      <c r="B88" s="20"/>
      <c r="C88" s="20"/>
      <c r="D88" s="21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3"/>
      <c r="AA88" s="24"/>
      <c r="AB88" s="24"/>
      <c r="AC88" s="24"/>
      <c r="AD88" s="24"/>
      <c r="AE88" s="24"/>
      <c r="AF88" s="24"/>
    </row>
    <row r="89" spans="1:32" ht="15.75" customHeight="1" x14ac:dyDescent="0.25">
      <c r="A89" s="20"/>
      <c r="B89" s="20"/>
      <c r="C89" s="20"/>
      <c r="D89" s="21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3"/>
      <c r="AA89" s="24"/>
      <c r="AB89" s="24"/>
      <c r="AC89" s="24"/>
      <c r="AD89" s="24"/>
      <c r="AE89" s="24"/>
      <c r="AF89" s="24"/>
    </row>
    <row r="90" spans="1:32" ht="15.75" customHeight="1" x14ac:dyDescent="0.25">
      <c r="A90" s="20"/>
      <c r="B90" s="20"/>
      <c r="C90" s="20"/>
      <c r="D90" s="21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3"/>
      <c r="AA90" s="24"/>
      <c r="AB90" s="24"/>
      <c r="AC90" s="24"/>
      <c r="AD90" s="24"/>
      <c r="AE90" s="24"/>
      <c r="AF90" s="24"/>
    </row>
    <row r="91" spans="1:32" ht="15.75" customHeight="1" x14ac:dyDescent="0.25">
      <c r="A91" s="20"/>
      <c r="B91" s="20"/>
      <c r="C91" s="20"/>
      <c r="D91" s="21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3"/>
      <c r="AA91" s="24"/>
      <c r="AB91" s="24"/>
      <c r="AC91" s="24"/>
      <c r="AD91" s="24"/>
      <c r="AE91" s="24"/>
      <c r="AF91" s="24"/>
    </row>
    <row r="92" spans="1:32" ht="15.75" customHeight="1" x14ac:dyDescent="0.25">
      <c r="A92" s="20"/>
      <c r="B92" s="20"/>
      <c r="C92" s="20"/>
      <c r="D92" s="21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3"/>
      <c r="AA92" s="24"/>
      <c r="AB92" s="24"/>
      <c r="AC92" s="24"/>
      <c r="AD92" s="24"/>
      <c r="AE92" s="24"/>
      <c r="AF92" s="24"/>
    </row>
    <row r="93" spans="1:32" ht="15.75" customHeight="1" x14ac:dyDescent="0.25">
      <c r="A93" s="20"/>
      <c r="B93" s="20"/>
      <c r="C93" s="20"/>
      <c r="D93" s="21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3"/>
      <c r="AA93" s="24"/>
      <c r="AB93" s="24"/>
      <c r="AC93" s="24"/>
      <c r="AD93" s="24"/>
      <c r="AE93" s="24"/>
      <c r="AF93" s="24"/>
    </row>
    <row r="94" spans="1:32" ht="15.75" customHeight="1" x14ac:dyDescent="0.25">
      <c r="A94" s="20"/>
      <c r="B94" s="20"/>
      <c r="C94" s="20"/>
      <c r="D94" s="21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3"/>
      <c r="AA94" s="24"/>
      <c r="AB94" s="24"/>
      <c r="AC94" s="24"/>
      <c r="AD94" s="24"/>
      <c r="AE94" s="24"/>
      <c r="AF94" s="24"/>
    </row>
    <row r="95" spans="1:32" ht="15.75" customHeight="1" x14ac:dyDescent="0.25">
      <c r="A95" s="20"/>
      <c r="B95" s="20"/>
      <c r="C95" s="20"/>
      <c r="D95" s="21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3"/>
      <c r="AA95" s="24"/>
      <c r="AB95" s="24"/>
      <c r="AC95" s="24"/>
      <c r="AD95" s="24"/>
      <c r="AE95" s="24"/>
      <c r="AF95" s="24"/>
    </row>
    <row r="96" spans="1:32" ht="15.75" customHeight="1" x14ac:dyDescent="0.25">
      <c r="A96" s="20"/>
      <c r="B96" s="20"/>
      <c r="C96" s="20"/>
      <c r="D96" s="21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3"/>
      <c r="AA96" s="24"/>
      <c r="AB96" s="24"/>
      <c r="AC96" s="24"/>
      <c r="AD96" s="24"/>
      <c r="AE96" s="24"/>
      <c r="AF96" s="24"/>
    </row>
    <row r="97" spans="1:32" ht="15.75" customHeight="1" x14ac:dyDescent="0.25">
      <c r="A97" s="20"/>
      <c r="B97" s="20"/>
      <c r="C97" s="20"/>
      <c r="D97" s="21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3"/>
      <c r="AA97" s="24"/>
      <c r="AB97" s="24"/>
      <c r="AC97" s="24"/>
      <c r="AD97" s="24"/>
      <c r="AE97" s="24"/>
      <c r="AF97" s="24"/>
    </row>
    <row r="98" spans="1:32" ht="15.75" customHeight="1" x14ac:dyDescent="0.25">
      <c r="A98" s="20"/>
      <c r="B98" s="20"/>
      <c r="C98" s="20"/>
      <c r="D98" s="21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3"/>
      <c r="AA98" s="24"/>
      <c r="AB98" s="24"/>
      <c r="AC98" s="24"/>
      <c r="AD98" s="24"/>
      <c r="AE98" s="24"/>
      <c r="AF98" s="24"/>
    </row>
    <row r="99" spans="1:32" ht="15.75" customHeight="1" x14ac:dyDescent="0.25">
      <c r="A99" s="20"/>
      <c r="B99" s="20"/>
      <c r="C99" s="20"/>
      <c r="D99" s="21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3"/>
      <c r="AA99" s="24"/>
      <c r="AB99" s="24"/>
      <c r="AC99" s="24"/>
      <c r="AD99" s="24"/>
      <c r="AE99" s="24"/>
      <c r="AF99" s="24"/>
    </row>
    <row r="100" spans="1:32" ht="15.75" customHeight="1" x14ac:dyDescent="0.25">
      <c r="A100" s="20"/>
      <c r="B100" s="20"/>
      <c r="C100" s="20"/>
      <c r="D100" s="21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3"/>
      <c r="AA100" s="24"/>
      <c r="AB100" s="24"/>
      <c r="AC100" s="24"/>
      <c r="AD100" s="24"/>
      <c r="AE100" s="24"/>
      <c r="AF100" s="24"/>
    </row>
    <row r="101" spans="1:32" ht="15.75" customHeight="1" x14ac:dyDescent="0.25">
      <c r="A101" s="20"/>
      <c r="B101" s="20"/>
      <c r="C101" s="20"/>
      <c r="D101" s="21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3"/>
      <c r="AA101" s="24"/>
      <c r="AB101" s="24"/>
      <c r="AC101" s="24"/>
      <c r="AD101" s="24"/>
      <c r="AE101" s="24"/>
      <c r="AF101" s="24"/>
    </row>
    <row r="102" spans="1:32" ht="15.75" customHeight="1" x14ac:dyDescent="0.25">
      <c r="A102" s="20"/>
      <c r="B102" s="20"/>
      <c r="C102" s="20"/>
      <c r="D102" s="21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3"/>
      <c r="AA102" s="24"/>
      <c r="AB102" s="24"/>
      <c r="AC102" s="24"/>
      <c r="AD102" s="24"/>
      <c r="AE102" s="24"/>
      <c r="AF102" s="24"/>
    </row>
    <row r="103" spans="1:32" ht="15.75" customHeight="1" x14ac:dyDescent="0.25">
      <c r="A103" s="20"/>
      <c r="B103" s="20"/>
      <c r="C103" s="20"/>
      <c r="D103" s="21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3"/>
      <c r="AA103" s="24"/>
      <c r="AB103" s="24"/>
      <c r="AC103" s="24"/>
      <c r="AD103" s="24"/>
      <c r="AE103" s="24"/>
      <c r="AF103" s="24"/>
    </row>
    <row r="104" spans="1:32" ht="15.75" customHeight="1" x14ac:dyDescent="0.25">
      <c r="A104" s="20"/>
      <c r="B104" s="20"/>
      <c r="C104" s="20"/>
      <c r="D104" s="21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3"/>
      <c r="AA104" s="24"/>
      <c r="AB104" s="24"/>
      <c r="AC104" s="24"/>
      <c r="AD104" s="24"/>
      <c r="AE104" s="24"/>
      <c r="AF104" s="24"/>
    </row>
    <row r="105" spans="1:32" ht="15.75" customHeight="1" x14ac:dyDescent="0.25">
      <c r="A105" s="20"/>
      <c r="B105" s="20"/>
      <c r="C105" s="20"/>
      <c r="D105" s="21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3"/>
      <c r="AA105" s="24"/>
      <c r="AB105" s="24"/>
      <c r="AC105" s="24"/>
      <c r="AD105" s="24"/>
      <c r="AE105" s="24"/>
      <c r="AF105" s="24"/>
    </row>
    <row r="106" spans="1:32" ht="15.75" customHeight="1" x14ac:dyDescent="0.25">
      <c r="A106" s="20"/>
      <c r="B106" s="20"/>
      <c r="C106" s="20"/>
      <c r="D106" s="21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3"/>
      <c r="AA106" s="24"/>
      <c r="AB106" s="24"/>
      <c r="AC106" s="24"/>
      <c r="AD106" s="24"/>
      <c r="AE106" s="24"/>
      <c r="AF106" s="24"/>
    </row>
    <row r="107" spans="1:32" ht="15.75" customHeight="1" x14ac:dyDescent="0.25">
      <c r="A107" s="20"/>
      <c r="B107" s="20"/>
      <c r="C107" s="20"/>
      <c r="D107" s="21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3"/>
      <c r="AA107" s="24"/>
      <c r="AB107" s="24"/>
      <c r="AC107" s="24"/>
      <c r="AD107" s="24"/>
      <c r="AE107" s="24"/>
      <c r="AF107" s="24"/>
    </row>
    <row r="108" spans="1:32" ht="15.75" customHeight="1" x14ac:dyDescent="0.25">
      <c r="A108" s="20"/>
      <c r="B108" s="20"/>
      <c r="C108" s="20"/>
      <c r="D108" s="21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3"/>
      <c r="AA108" s="24"/>
      <c r="AB108" s="24"/>
      <c r="AC108" s="24"/>
      <c r="AD108" s="24"/>
      <c r="AE108" s="24"/>
      <c r="AF108" s="24"/>
    </row>
    <row r="109" spans="1:32" ht="15.75" customHeight="1" x14ac:dyDescent="0.25">
      <c r="A109" s="20"/>
      <c r="B109" s="20"/>
      <c r="C109" s="20"/>
      <c r="D109" s="21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3"/>
      <c r="AA109" s="24"/>
      <c r="AB109" s="24"/>
      <c r="AC109" s="24"/>
      <c r="AD109" s="24"/>
      <c r="AE109" s="24"/>
      <c r="AF109" s="24"/>
    </row>
    <row r="110" spans="1:32" ht="15.75" customHeight="1" x14ac:dyDescent="0.25">
      <c r="A110" s="20"/>
      <c r="B110" s="20"/>
      <c r="C110" s="20"/>
      <c r="D110" s="21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3"/>
      <c r="AA110" s="24"/>
      <c r="AB110" s="24"/>
      <c r="AC110" s="24"/>
      <c r="AD110" s="24"/>
      <c r="AE110" s="24"/>
      <c r="AF110" s="24"/>
    </row>
    <row r="111" spans="1:32" ht="15.75" customHeight="1" x14ac:dyDescent="0.25">
      <c r="A111" s="20"/>
      <c r="B111" s="20"/>
      <c r="C111" s="20"/>
      <c r="D111" s="21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3"/>
      <c r="AA111" s="24"/>
      <c r="AB111" s="24"/>
      <c r="AC111" s="24"/>
      <c r="AD111" s="24"/>
      <c r="AE111" s="24"/>
      <c r="AF111" s="24"/>
    </row>
    <row r="112" spans="1:32" ht="15.75" customHeight="1" x14ac:dyDescent="0.25">
      <c r="A112" s="20"/>
      <c r="B112" s="20"/>
      <c r="C112" s="20"/>
      <c r="D112" s="21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3"/>
      <c r="AA112" s="24"/>
      <c r="AB112" s="24"/>
      <c r="AC112" s="24"/>
      <c r="AD112" s="24"/>
      <c r="AE112" s="24"/>
      <c r="AF112" s="24"/>
    </row>
    <row r="113" spans="1:32" ht="15.75" customHeight="1" x14ac:dyDescent="0.25">
      <c r="A113" s="20"/>
      <c r="B113" s="20"/>
      <c r="C113" s="20"/>
      <c r="D113" s="21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3"/>
      <c r="AA113" s="24"/>
      <c r="AB113" s="24"/>
      <c r="AC113" s="24"/>
      <c r="AD113" s="24"/>
      <c r="AE113" s="24"/>
      <c r="AF113" s="24"/>
    </row>
    <row r="114" spans="1:32" ht="15.75" customHeight="1" x14ac:dyDescent="0.25">
      <c r="A114" s="20"/>
      <c r="B114" s="20"/>
      <c r="C114" s="20"/>
      <c r="D114" s="21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3"/>
      <c r="AA114" s="24"/>
      <c r="AB114" s="24"/>
      <c r="AC114" s="24"/>
      <c r="AD114" s="24"/>
      <c r="AE114" s="24"/>
      <c r="AF114" s="24"/>
    </row>
    <row r="115" spans="1:32" ht="15.75" customHeight="1" x14ac:dyDescent="0.25">
      <c r="A115" s="20"/>
      <c r="B115" s="20"/>
      <c r="C115" s="20"/>
      <c r="D115" s="21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3"/>
      <c r="AA115" s="24"/>
      <c r="AB115" s="24"/>
      <c r="AC115" s="24"/>
      <c r="AD115" s="24"/>
      <c r="AE115" s="24"/>
      <c r="AF115" s="24"/>
    </row>
    <row r="116" spans="1:32" ht="15.75" customHeight="1" x14ac:dyDescent="0.25">
      <c r="A116" s="20"/>
      <c r="B116" s="20"/>
      <c r="C116" s="20"/>
      <c r="D116" s="21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3"/>
      <c r="AA116" s="24"/>
      <c r="AB116" s="24"/>
      <c r="AC116" s="24"/>
      <c r="AD116" s="24"/>
      <c r="AE116" s="24"/>
      <c r="AF116" s="24"/>
    </row>
    <row r="117" spans="1:32" ht="15.75" customHeight="1" x14ac:dyDescent="0.25">
      <c r="A117" s="20"/>
      <c r="B117" s="20"/>
      <c r="C117" s="20"/>
      <c r="D117" s="21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3"/>
      <c r="AA117" s="24"/>
      <c r="AB117" s="24"/>
      <c r="AC117" s="24"/>
      <c r="AD117" s="24"/>
      <c r="AE117" s="24"/>
      <c r="AF117" s="24"/>
    </row>
    <row r="118" spans="1:32" ht="15.75" customHeight="1" x14ac:dyDescent="0.25">
      <c r="A118" s="20"/>
      <c r="B118" s="20"/>
      <c r="C118" s="20"/>
      <c r="D118" s="21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3"/>
      <c r="AA118" s="24"/>
      <c r="AB118" s="24"/>
      <c r="AC118" s="24"/>
      <c r="AD118" s="24"/>
      <c r="AE118" s="24"/>
      <c r="AF118" s="24"/>
    </row>
    <row r="119" spans="1:32" ht="15.75" customHeight="1" x14ac:dyDescent="0.25">
      <c r="A119" s="20"/>
      <c r="B119" s="20"/>
      <c r="C119" s="20"/>
      <c r="D119" s="21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3"/>
      <c r="AA119" s="24"/>
      <c r="AB119" s="24"/>
      <c r="AC119" s="24"/>
      <c r="AD119" s="24"/>
      <c r="AE119" s="24"/>
      <c r="AF119" s="24"/>
    </row>
    <row r="120" spans="1:32" ht="15.75" customHeight="1" x14ac:dyDescent="0.25">
      <c r="A120" s="20"/>
      <c r="B120" s="20"/>
      <c r="C120" s="20"/>
      <c r="D120" s="21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3"/>
      <c r="AA120" s="24"/>
      <c r="AB120" s="24"/>
      <c r="AC120" s="24"/>
      <c r="AD120" s="24"/>
      <c r="AE120" s="24"/>
      <c r="AF120" s="24"/>
    </row>
    <row r="121" spans="1:32" ht="15.75" customHeight="1" x14ac:dyDescent="0.25">
      <c r="A121" s="20"/>
      <c r="B121" s="20"/>
      <c r="C121" s="20"/>
      <c r="D121" s="21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3"/>
      <c r="AA121" s="24"/>
      <c r="AB121" s="24"/>
      <c r="AC121" s="24"/>
      <c r="AD121" s="24"/>
      <c r="AE121" s="24"/>
      <c r="AF121" s="24"/>
    </row>
    <row r="122" spans="1:32" ht="15.75" customHeight="1" x14ac:dyDescent="0.25">
      <c r="A122" s="20"/>
      <c r="B122" s="20"/>
      <c r="C122" s="20"/>
      <c r="D122" s="21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3"/>
      <c r="AA122" s="24"/>
      <c r="AB122" s="24"/>
      <c r="AC122" s="24"/>
      <c r="AD122" s="24"/>
      <c r="AE122" s="24"/>
      <c r="AF122" s="24"/>
    </row>
    <row r="123" spans="1:32" ht="15.75" customHeight="1" x14ac:dyDescent="0.25">
      <c r="A123" s="20"/>
      <c r="B123" s="20"/>
      <c r="C123" s="20"/>
      <c r="D123" s="21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3"/>
      <c r="AA123" s="24"/>
      <c r="AB123" s="24"/>
      <c r="AC123" s="24"/>
      <c r="AD123" s="24"/>
      <c r="AE123" s="24"/>
      <c r="AF123" s="24"/>
    </row>
    <row r="124" spans="1:32" ht="15.75" customHeight="1" x14ac:dyDescent="0.25">
      <c r="A124" s="20"/>
      <c r="B124" s="20"/>
      <c r="C124" s="20"/>
      <c r="D124" s="21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3"/>
      <c r="AA124" s="24"/>
      <c r="AB124" s="24"/>
      <c r="AC124" s="24"/>
      <c r="AD124" s="24"/>
      <c r="AE124" s="24"/>
      <c r="AF124" s="24"/>
    </row>
    <row r="125" spans="1:32" ht="15.75" customHeight="1" x14ac:dyDescent="0.25">
      <c r="A125" s="20"/>
      <c r="B125" s="20"/>
      <c r="C125" s="20"/>
      <c r="D125" s="21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3"/>
      <c r="AA125" s="24"/>
      <c r="AB125" s="24"/>
      <c r="AC125" s="24"/>
      <c r="AD125" s="24"/>
      <c r="AE125" s="24"/>
      <c r="AF125" s="24"/>
    </row>
    <row r="126" spans="1:32" ht="15.75" customHeight="1" x14ac:dyDescent="0.25">
      <c r="A126" s="20"/>
      <c r="B126" s="20"/>
      <c r="C126" s="20"/>
      <c r="D126" s="21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3"/>
      <c r="AA126" s="24"/>
      <c r="AB126" s="24"/>
      <c r="AC126" s="24"/>
      <c r="AD126" s="24"/>
      <c r="AE126" s="24"/>
      <c r="AF126" s="24"/>
    </row>
    <row r="127" spans="1:32" ht="15.75" customHeight="1" x14ac:dyDescent="0.25">
      <c r="A127" s="20"/>
      <c r="B127" s="20"/>
      <c r="C127" s="20"/>
      <c r="D127" s="21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3"/>
      <c r="AA127" s="24"/>
      <c r="AB127" s="24"/>
      <c r="AC127" s="24"/>
      <c r="AD127" s="24"/>
      <c r="AE127" s="24"/>
      <c r="AF127" s="24"/>
    </row>
    <row r="128" spans="1:32" ht="15.75" customHeight="1" x14ac:dyDescent="0.25">
      <c r="A128" s="20"/>
      <c r="B128" s="20"/>
      <c r="C128" s="20"/>
      <c r="D128" s="21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3"/>
      <c r="AA128" s="24"/>
      <c r="AB128" s="24"/>
      <c r="AC128" s="24"/>
      <c r="AD128" s="24"/>
      <c r="AE128" s="24"/>
      <c r="AF128" s="24"/>
    </row>
    <row r="129" spans="1:32" ht="15.75" customHeight="1" x14ac:dyDescent="0.25">
      <c r="A129" s="20"/>
      <c r="B129" s="20"/>
      <c r="C129" s="20"/>
      <c r="D129" s="21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3"/>
      <c r="AA129" s="24"/>
      <c r="AB129" s="24"/>
      <c r="AC129" s="24"/>
      <c r="AD129" s="24"/>
      <c r="AE129" s="24"/>
      <c r="AF129" s="24"/>
    </row>
    <row r="130" spans="1:32" ht="15.75" customHeight="1" x14ac:dyDescent="0.25">
      <c r="A130" s="20"/>
      <c r="B130" s="20"/>
      <c r="C130" s="20"/>
      <c r="D130" s="21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3"/>
      <c r="AA130" s="24"/>
      <c r="AB130" s="24"/>
      <c r="AC130" s="24"/>
      <c r="AD130" s="24"/>
      <c r="AE130" s="24"/>
      <c r="AF130" s="24"/>
    </row>
    <row r="131" spans="1:32" ht="15.75" customHeight="1" x14ac:dyDescent="0.25">
      <c r="A131" s="20"/>
      <c r="B131" s="20"/>
      <c r="C131" s="20"/>
      <c r="D131" s="21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3"/>
      <c r="AA131" s="24"/>
      <c r="AB131" s="24"/>
      <c r="AC131" s="24"/>
      <c r="AD131" s="24"/>
      <c r="AE131" s="24"/>
      <c r="AF131" s="24"/>
    </row>
    <row r="132" spans="1:32" ht="15.75" customHeight="1" x14ac:dyDescent="0.25">
      <c r="A132" s="20"/>
      <c r="B132" s="20"/>
      <c r="C132" s="20"/>
      <c r="D132" s="21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3"/>
      <c r="AA132" s="24"/>
      <c r="AB132" s="24"/>
      <c r="AC132" s="24"/>
      <c r="AD132" s="24"/>
      <c r="AE132" s="24"/>
      <c r="AF132" s="24"/>
    </row>
    <row r="133" spans="1:32" ht="15.75" customHeight="1" x14ac:dyDescent="0.25">
      <c r="A133" s="20"/>
      <c r="B133" s="20"/>
      <c r="C133" s="20"/>
      <c r="D133" s="21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3"/>
      <c r="AA133" s="24"/>
      <c r="AB133" s="24"/>
      <c r="AC133" s="24"/>
      <c r="AD133" s="24"/>
      <c r="AE133" s="24"/>
      <c r="AF133" s="24"/>
    </row>
    <row r="134" spans="1:32" ht="15.75" customHeight="1" x14ac:dyDescent="0.25">
      <c r="A134" s="20"/>
      <c r="B134" s="20"/>
      <c r="C134" s="20"/>
      <c r="D134" s="21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3"/>
      <c r="AA134" s="24"/>
      <c r="AB134" s="24"/>
      <c r="AC134" s="24"/>
      <c r="AD134" s="24"/>
      <c r="AE134" s="24"/>
      <c r="AF134" s="24"/>
    </row>
    <row r="135" spans="1:32" ht="15.75" customHeight="1" x14ac:dyDescent="0.25">
      <c r="A135" s="20"/>
      <c r="B135" s="20"/>
      <c r="C135" s="20"/>
      <c r="D135" s="21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3"/>
      <c r="AA135" s="24"/>
      <c r="AB135" s="24"/>
      <c r="AC135" s="24"/>
      <c r="AD135" s="24"/>
      <c r="AE135" s="24"/>
      <c r="AF135" s="24"/>
    </row>
    <row r="136" spans="1:32" ht="15.75" customHeight="1" x14ac:dyDescent="0.25">
      <c r="A136" s="20"/>
      <c r="B136" s="20"/>
      <c r="C136" s="20"/>
      <c r="D136" s="21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3"/>
      <c r="AA136" s="24"/>
      <c r="AB136" s="24"/>
      <c r="AC136" s="24"/>
      <c r="AD136" s="24"/>
      <c r="AE136" s="24"/>
      <c r="AF136" s="24"/>
    </row>
    <row r="137" spans="1:32" ht="15.75" customHeight="1" x14ac:dyDescent="0.25">
      <c r="A137" s="20"/>
      <c r="B137" s="20"/>
      <c r="C137" s="20"/>
      <c r="D137" s="21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3"/>
      <c r="AA137" s="24"/>
      <c r="AB137" s="24"/>
      <c r="AC137" s="24"/>
      <c r="AD137" s="24"/>
      <c r="AE137" s="24"/>
      <c r="AF137" s="24"/>
    </row>
    <row r="138" spans="1:32" ht="15.75" customHeight="1" x14ac:dyDescent="0.25">
      <c r="A138" s="20"/>
      <c r="B138" s="20"/>
      <c r="C138" s="20"/>
      <c r="D138" s="21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3"/>
      <c r="AA138" s="24"/>
      <c r="AB138" s="24"/>
      <c r="AC138" s="24"/>
      <c r="AD138" s="24"/>
      <c r="AE138" s="24"/>
      <c r="AF138" s="24"/>
    </row>
    <row r="139" spans="1:32" ht="15.75" customHeight="1" x14ac:dyDescent="0.25">
      <c r="A139" s="20"/>
      <c r="B139" s="20"/>
      <c r="C139" s="20"/>
      <c r="D139" s="21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3"/>
      <c r="AA139" s="24"/>
      <c r="AB139" s="24"/>
      <c r="AC139" s="24"/>
      <c r="AD139" s="24"/>
      <c r="AE139" s="24"/>
      <c r="AF139" s="24"/>
    </row>
    <row r="140" spans="1:32" ht="15.75" customHeight="1" x14ac:dyDescent="0.25">
      <c r="A140" s="20"/>
      <c r="B140" s="20"/>
      <c r="C140" s="20"/>
      <c r="D140" s="21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3"/>
      <c r="AA140" s="24"/>
      <c r="AB140" s="24"/>
      <c r="AC140" s="24"/>
      <c r="AD140" s="24"/>
      <c r="AE140" s="24"/>
      <c r="AF140" s="24"/>
    </row>
    <row r="141" spans="1:32" ht="15.75" customHeight="1" x14ac:dyDescent="0.25">
      <c r="A141" s="20"/>
      <c r="B141" s="20"/>
      <c r="C141" s="20"/>
      <c r="D141" s="21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3"/>
      <c r="AA141" s="24"/>
      <c r="AB141" s="24"/>
      <c r="AC141" s="24"/>
      <c r="AD141" s="24"/>
      <c r="AE141" s="24"/>
      <c r="AF141" s="24"/>
    </row>
    <row r="142" spans="1:32" ht="15.75" customHeight="1" x14ac:dyDescent="0.25">
      <c r="A142" s="20"/>
      <c r="B142" s="20"/>
      <c r="C142" s="20"/>
      <c r="D142" s="21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3"/>
      <c r="AA142" s="24"/>
      <c r="AB142" s="24"/>
      <c r="AC142" s="24"/>
      <c r="AD142" s="24"/>
      <c r="AE142" s="24"/>
      <c r="AF142" s="24"/>
    </row>
    <row r="143" spans="1:32" ht="15.75" customHeight="1" x14ac:dyDescent="0.25">
      <c r="A143" s="20"/>
      <c r="B143" s="20"/>
      <c r="C143" s="20"/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3"/>
      <c r="AA143" s="24"/>
      <c r="AB143" s="24"/>
      <c r="AC143" s="24"/>
      <c r="AD143" s="24"/>
      <c r="AE143" s="24"/>
      <c r="AF143" s="24"/>
    </row>
    <row r="144" spans="1:32" ht="15.75" customHeight="1" x14ac:dyDescent="0.25">
      <c r="A144" s="20"/>
      <c r="B144" s="20"/>
      <c r="C144" s="20"/>
      <c r="D144" s="21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3"/>
      <c r="AA144" s="24"/>
      <c r="AB144" s="24"/>
      <c r="AC144" s="24"/>
      <c r="AD144" s="24"/>
      <c r="AE144" s="24"/>
      <c r="AF144" s="24"/>
    </row>
    <row r="145" spans="1:32" ht="15.75" customHeight="1" x14ac:dyDescent="0.25">
      <c r="A145" s="20"/>
      <c r="B145" s="20"/>
      <c r="C145" s="20"/>
      <c r="D145" s="21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3"/>
      <c r="AA145" s="24"/>
      <c r="AB145" s="24"/>
      <c r="AC145" s="24"/>
      <c r="AD145" s="24"/>
      <c r="AE145" s="24"/>
      <c r="AF145" s="24"/>
    </row>
    <row r="146" spans="1:32" ht="15.75" customHeight="1" x14ac:dyDescent="0.25">
      <c r="A146" s="20"/>
      <c r="B146" s="20"/>
      <c r="C146" s="20"/>
      <c r="D146" s="21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3"/>
      <c r="AA146" s="24"/>
      <c r="AB146" s="24"/>
      <c r="AC146" s="24"/>
      <c r="AD146" s="24"/>
      <c r="AE146" s="24"/>
      <c r="AF146" s="24"/>
    </row>
    <row r="147" spans="1:32" ht="15.75" customHeight="1" x14ac:dyDescent="0.25">
      <c r="A147" s="20"/>
      <c r="B147" s="20"/>
      <c r="C147" s="20"/>
      <c r="D147" s="21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3"/>
      <c r="AA147" s="24"/>
      <c r="AB147" s="24"/>
      <c r="AC147" s="24"/>
      <c r="AD147" s="24"/>
      <c r="AE147" s="24"/>
      <c r="AF147" s="24"/>
    </row>
    <row r="148" spans="1:32" ht="15.75" customHeight="1" x14ac:dyDescent="0.25">
      <c r="A148" s="20"/>
      <c r="B148" s="20"/>
      <c r="C148" s="20"/>
      <c r="D148" s="21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3"/>
      <c r="AA148" s="24"/>
      <c r="AB148" s="24"/>
      <c r="AC148" s="24"/>
      <c r="AD148" s="24"/>
      <c r="AE148" s="24"/>
      <c r="AF148" s="24"/>
    </row>
    <row r="149" spans="1:32" ht="15.75" customHeight="1" x14ac:dyDescent="0.25">
      <c r="A149" s="20"/>
      <c r="B149" s="20"/>
      <c r="C149" s="20"/>
      <c r="D149" s="21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3"/>
      <c r="AA149" s="24"/>
      <c r="AB149" s="24"/>
      <c r="AC149" s="24"/>
      <c r="AD149" s="24"/>
      <c r="AE149" s="24"/>
      <c r="AF149" s="24"/>
    </row>
    <row r="150" spans="1:32" ht="15.75" customHeight="1" x14ac:dyDescent="0.25">
      <c r="A150" s="20"/>
      <c r="B150" s="20"/>
      <c r="C150" s="20"/>
      <c r="D150" s="21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3"/>
      <c r="AA150" s="24"/>
      <c r="AB150" s="24"/>
      <c r="AC150" s="24"/>
      <c r="AD150" s="24"/>
      <c r="AE150" s="24"/>
      <c r="AF150" s="24"/>
    </row>
    <row r="151" spans="1:32" ht="15.75" customHeight="1" x14ac:dyDescent="0.25">
      <c r="A151" s="20"/>
      <c r="B151" s="20"/>
      <c r="C151" s="20"/>
      <c r="D151" s="21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3"/>
      <c r="AA151" s="24"/>
      <c r="AB151" s="24"/>
      <c r="AC151" s="24"/>
      <c r="AD151" s="24"/>
      <c r="AE151" s="24"/>
      <c r="AF151" s="24"/>
    </row>
    <row r="152" spans="1:32" ht="15.75" customHeight="1" x14ac:dyDescent="0.25">
      <c r="A152" s="20"/>
      <c r="B152" s="20"/>
      <c r="C152" s="20"/>
      <c r="D152" s="21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3"/>
      <c r="AA152" s="24"/>
      <c r="AB152" s="24"/>
      <c r="AC152" s="24"/>
      <c r="AD152" s="24"/>
      <c r="AE152" s="24"/>
      <c r="AF152" s="24"/>
    </row>
    <row r="153" spans="1:32" ht="15.75" customHeight="1" x14ac:dyDescent="0.25">
      <c r="A153" s="20"/>
      <c r="B153" s="20"/>
      <c r="C153" s="20"/>
      <c r="D153" s="21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3"/>
      <c r="AA153" s="24"/>
      <c r="AB153" s="24"/>
      <c r="AC153" s="24"/>
      <c r="AD153" s="24"/>
      <c r="AE153" s="24"/>
      <c r="AF153" s="24"/>
    </row>
    <row r="154" spans="1:32" ht="15.75" customHeight="1" x14ac:dyDescent="0.25">
      <c r="A154" s="20"/>
      <c r="B154" s="20"/>
      <c r="C154" s="20"/>
      <c r="D154" s="21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3"/>
      <c r="AA154" s="24"/>
      <c r="AB154" s="24"/>
      <c r="AC154" s="24"/>
      <c r="AD154" s="24"/>
      <c r="AE154" s="24"/>
      <c r="AF154" s="24"/>
    </row>
    <row r="155" spans="1:32" ht="15.75" customHeight="1" x14ac:dyDescent="0.25">
      <c r="A155" s="20"/>
      <c r="B155" s="20"/>
      <c r="C155" s="20"/>
      <c r="D155" s="21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3"/>
      <c r="AA155" s="24"/>
      <c r="AB155" s="24"/>
      <c r="AC155" s="24"/>
      <c r="AD155" s="24"/>
      <c r="AE155" s="24"/>
      <c r="AF155" s="24"/>
    </row>
    <row r="156" spans="1:32" ht="15.75" customHeight="1" x14ac:dyDescent="0.25">
      <c r="A156" s="20"/>
      <c r="B156" s="20"/>
      <c r="C156" s="20"/>
      <c r="D156" s="21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3"/>
      <c r="AA156" s="24"/>
      <c r="AB156" s="24"/>
      <c r="AC156" s="24"/>
      <c r="AD156" s="24"/>
      <c r="AE156" s="24"/>
      <c r="AF156" s="24"/>
    </row>
    <row r="157" spans="1:32" ht="15.75" customHeight="1" x14ac:dyDescent="0.25">
      <c r="A157" s="20"/>
      <c r="B157" s="20"/>
      <c r="C157" s="20"/>
      <c r="D157" s="21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3"/>
      <c r="AA157" s="24"/>
      <c r="AB157" s="24"/>
      <c r="AC157" s="24"/>
      <c r="AD157" s="24"/>
      <c r="AE157" s="24"/>
      <c r="AF157" s="24"/>
    </row>
    <row r="158" spans="1:32" ht="15.75" customHeight="1" x14ac:dyDescent="0.25">
      <c r="A158" s="20"/>
      <c r="B158" s="20"/>
      <c r="C158" s="20"/>
      <c r="D158" s="21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3"/>
      <c r="AA158" s="24"/>
      <c r="AB158" s="24"/>
      <c r="AC158" s="24"/>
      <c r="AD158" s="24"/>
      <c r="AE158" s="24"/>
      <c r="AF158" s="24"/>
    </row>
    <row r="159" spans="1:32" ht="15.75" customHeight="1" x14ac:dyDescent="0.25">
      <c r="A159" s="20"/>
      <c r="B159" s="20"/>
      <c r="C159" s="20"/>
      <c r="D159" s="21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3"/>
      <c r="AA159" s="24"/>
      <c r="AB159" s="24"/>
      <c r="AC159" s="24"/>
      <c r="AD159" s="24"/>
      <c r="AE159" s="24"/>
      <c r="AF159" s="24"/>
    </row>
    <row r="160" spans="1:32" ht="15.75" customHeight="1" x14ac:dyDescent="0.25">
      <c r="A160" s="20"/>
      <c r="B160" s="20"/>
      <c r="C160" s="20"/>
      <c r="D160" s="21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3"/>
      <c r="AA160" s="24"/>
      <c r="AB160" s="24"/>
      <c r="AC160" s="24"/>
      <c r="AD160" s="24"/>
      <c r="AE160" s="24"/>
      <c r="AF160" s="24"/>
    </row>
    <row r="161" spans="1:32" ht="15.75" customHeight="1" x14ac:dyDescent="0.25">
      <c r="A161" s="20"/>
      <c r="B161" s="20"/>
      <c r="C161" s="20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3"/>
      <c r="AA161" s="24"/>
      <c r="AB161" s="24"/>
      <c r="AC161" s="24"/>
      <c r="AD161" s="24"/>
      <c r="AE161" s="24"/>
      <c r="AF161" s="24"/>
    </row>
    <row r="162" spans="1:32" ht="15.75" customHeight="1" x14ac:dyDescent="0.25">
      <c r="A162" s="20"/>
      <c r="B162" s="20"/>
      <c r="C162" s="20"/>
      <c r="D162" s="21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3"/>
      <c r="AA162" s="24"/>
      <c r="AB162" s="24"/>
      <c r="AC162" s="24"/>
      <c r="AD162" s="24"/>
      <c r="AE162" s="24"/>
      <c r="AF162" s="24"/>
    </row>
    <row r="163" spans="1:32" ht="15.75" customHeight="1" x14ac:dyDescent="0.25">
      <c r="A163" s="20"/>
      <c r="B163" s="20"/>
      <c r="C163" s="20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3"/>
      <c r="AA163" s="24"/>
      <c r="AB163" s="24"/>
      <c r="AC163" s="24"/>
      <c r="AD163" s="24"/>
      <c r="AE163" s="24"/>
      <c r="AF163" s="24"/>
    </row>
    <row r="164" spans="1:32" ht="15.75" customHeight="1" x14ac:dyDescent="0.25">
      <c r="A164" s="20"/>
      <c r="B164" s="20"/>
      <c r="C164" s="20"/>
      <c r="D164" s="21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3"/>
      <c r="AA164" s="24"/>
      <c r="AB164" s="24"/>
      <c r="AC164" s="24"/>
      <c r="AD164" s="24"/>
      <c r="AE164" s="24"/>
      <c r="AF164" s="24"/>
    </row>
    <row r="165" spans="1:32" ht="15.75" customHeight="1" x14ac:dyDescent="0.25">
      <c r="A165" s="20"/>
      <c r="B165" s="20"/>
      <c r="C165" s="20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3"/>
      <c r="AA165" s="24"/>
      <c r="AB165" s="24"/>
      <c r="AC165" s="24"/>
      <c r="AD165" s="24"/>
      <c r="AE165" s="24"/>
      <c r="AF165" s="24"/>
    </row>
    <row r="166" spans="1:32" ht="15.75" customHeight="1" x14ac:dyDescent="0.25">
      <c r="A166" s="20"/>
      <c r="B166" s="20"/>
      <c r="C166" s="20"/>
      <c r="D166" s="21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3"/>
      <c r="AA166" s="24"/>
      <c r="AB166" s="24"/>
      <c r="AC166" s="24"/>
      <c r="AD166" s="24"/>
      <c r="AE166" s="24"/>
      <c r="AF166" s="24"/>
    </row>
    <row r="167" spans="1:32" ht="15.75" customHeight="1" x14ac:dyDescent="0.25">
      <c r="A167" s="20"/>
      <c r="B167" s="20"/>
      <c r="C167" s="20"/>
      <c r="D167" s="21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3"/>
      <c r="AA167" s="24"/>
      <c r="AB167" s="24"/>
      <c r="AC167" s="24"/>
      <c r="AD167" s="24"/>
      <c r="AE167" s="24"/>
      <c r="AF167" s="24"/>
    </row>
    <row r="168" spans="1:32" ht="15.75" customHeight="1" x14ac:dyDescent="0.25">
      <c r="A168" s="20"/>
      <c r="B168" s="20"/>
      <c r="C168" s="20"/>
      <c r="D168" s="21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3"/>
      <c r="AA168" s="24"/>
      <c r="AB168" s="24"/>
      <c r="AC168" s="24"/>
      <c r="AD168" s="24"/>
      <c r="AE168" s="24"/>
      <c r="AF168" s="24"/>
    </row>
    <row r="169" spans="1:32" ht="15.75" customHeight="1" x14ac:dyDescent="0.25">
      <c r="A169" s="20"/>
      <c r="B169" s="20"/>
      <c r="C169" s="20"/>
      <c r="D169" s="21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3"/>
      <c r="AA169" s="24"/>
      <c r="AB169" s="24"/>
      <c r="AC169" s="24"/>
      <c r="AD169" s="24"/>
      <c r="AE169" s="24"/>
      <c r="AF169" s="24"/>
    </row>
    <row r="170" spans="1:32" ht="15.75" customHeight="1" x14ac:dyDescent="0.25">
      <c r="A170" s="20"/>
      <c r="B170" s="20"/>
      <c r="C170" s="20"/>
      <c r="D170" s="21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3"/>
      <c r="AA170" s="24"/>
      <c r="AB170" s="24"/>
      <c r="AC170" s="24"/>
      <c r="AD170" s="24"/>
      <c r="AE170" s="24"/>
      <c r="AF170" s="24"/>
    </row>
    <row r="171" spans="1:32" ht="15.75" customHeight="1" x14ac:dyDescent="0.25">
      <c r="A171" s="20"/>
      <c r="B171" s="20"/>
      <c r="C171" s="20"/>
      <c r="D171" s="21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3"/>
      <c r="AA171" s="24"/>
      <c r="AB171" s="24"/>
      <c r="AC171" s="24"/>
      <c r="AD171" s="24"/>
      <c r="AE171" s="24"/>
      <c r="AF171" s="24"/>
    </row>
    <row r="172" spans="1:32" ht="15.75" customHeight="1" x14ac:dyDescent="0.25">
      <c r="A172" s="20"/>
      <c r="B172" s="20"/>
      <c r="C172" s="20"/>
      <c r="D172" s="21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3"/>
      <c r="AA172" s="24"/>
      <c r="AB172" s="24"/>
      <c r="AC172" s="24"/>
      <c r="AD172" s="24"/>
      <c r="AE172" s="24"/>
      <c r="AF172" s="24"/>
    </row>
    <row r="173" spans="1:32" ht="15.75" customHeight="1" x14ac:dyDescent="0.25">
      <c r="A173" s="20"/>
      <c r="B173" s="20"/>
      <c r="C173" s="20"/>
      <c r="D173" s="21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3"/>
      <c r="AA173" s="24"/>
      <c r="AB173" s="24"/>
      <c r="AC173" s="24"/>
      <c r="AD173" s="24"/>
      <c r="AE173" s="24"/>
      <c r="AF173" s="24"/>
    </row>
    <row r="174" spans="1:32" ht="15.75" customHeight="1" x14ac:dyDescent="0.25">
      <c r="A174" s="20"/>
      <c r="B174" s="20"/>
      <c r="C174" s="20"/>
      <c r="D174" s="21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3"/>
      <c r="AA174" s="24"/>
      <c r="AB174" s="24"/>
      <c r="AC174" s="24"/>
      <c r="AD174" s="24"/>
      <c r="AE174" s="24"/>
      <c r="AF174" s="24"/>
    </row>
    <row r="175" spans="1:32" ht="15.75" customHeight="1" x14ac:dyDescent="0.25">
      <c r="A175" s="20"/>
      <c r="B175" s="20"/>
      <c r="C175" s="20"/>
      <c r="D175" s="21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3"/>
      <c r="AA175" s="24"/>
      <c r="AB175" s="24"/>
      <c r="AC175" s="24"/>
      <c r="AD175" s="24"/>
      <c r="AE175" s="24"/>
      <c r="AF175" s="24"/>
    </row>
    <row r="176" spans="1:32" ht="15.75" customHeight="1" x14ac:dyDescent="0.25">
      <c r="A176" s="20"/>
      <c r="B176" s="20"/>
      <c r="C176" s="20"/>
      <c r="D176" s="21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3"/>
      <c r="AA176" s="24"/>
      <c r="AB176" s="24"/>
      <c r="AC176" s="24"/>
      <c r="AD176" s="24"/>
      <c r="AE176" s="24"/>
      <c r="AF176" s="24"/>
    </row>
    <row r="177" spans="1:32" ht="15.75" customHeight="1" x14ac:dyDescent="0.25">
      <c r="A177" s="20"/>
      <c r="B177" s="20"/>
      <c r="C177" s="20"/>
      <c r="D177" s="21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3"/>
      <c r="AA177" s="24"/>
      <c r="AB177" s="24"/>
      <c r="AC177" s="24"/>
      <c r="AD177" s="24"/>
      <c r="AE177" s="24"/>
      <c r="AF177" s="24"/>
    </row>
    <row r="178" spans="1:32" ht="15.75" customHeight="1" x14ac:dyDescent="0.25">
      <c r="A178" s="20"/>
      <c r="B178" s="20"/>
      <c r="C178" s="20"/>
      <c r="D178" s="21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3"/>
      <c r="AA178" s="24"/>
      <c r="AB178" s="24"/>
      <c r="AC178" s="24"/>
      <c r="AD178" s="24"/>
      <c r="AE178" s="24"/>
      <c r="AF178" s="24"/>
    </row>
    <row r="179" spans="1:32" ht="15.75" customHeight="1" x14ac:dyDescent="0.25">
      <c r="A179" s="20"/>
      <c r="B179" s="20"/>
      <c r="C179" s="20"/>
      <c r="D179" s="21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3"/>
      <c r="AA179" s="24"/>
      <c r="AB179" s="24"/>
      <c r="AC179" s="24"/>
      <c r="AD179" s="24"/>
      <c r="AE179" s="24"/>
      <c r="AF179" s="24"/>
    </row>
    <row r="180" spans="1:32" ht="15.75" customHeight="1" x14ac:dyDescent="0.25">
      <c r="A180" s="20"/>
      <c r="B180" s="20"/>
      <c r="C180" s="20"/>
      <c r="D180" s="21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3"/>
      <c r="AA180" s="24"/>
      <c r="AB180" s="24"/>
      <c r="AC180" s="24"/>
      <c r="AD180" s="24"/>
      <c r="AE180" s="24"/>
      <c r="AF180" s="24"/>
    </row>
    <row r="181" spans="1:32" ht="15.75" customHeight="1" x14ac:dyDescent="0.25">
      <c r="A181" s="20"/>
      <c r="B181" s="20"/>
      <c r="C181" s="20"/>
      <c r="D181" s="21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3"/>
      <c r="AA181" s="24"/>
      <c r="AB181" s="24"/>
      <c r="AC181" s="24"/>
      <c r="AD181" s="24"/>
      <c r="AE181" s="24"/>
      <c r="AF181" s="24"/>
    </row>
    <row r="182" spans="1:32" ht="15.75" customHeight="1" x14ac:dyDescent="0.25">
      <c r="A182" s="20"/>
      <c r="B182" s="20"/>
      <c r="C182" s="20"/>
      <c r="D182" s="21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3"/>
      <c r="AA182" s="24"/>
      <c r="AB182" s="24"/>
      <c r="AC182" s="24"/>
      <c r="AD182" s="24"/>
      <c r="AE182" s="24"/>
      <c r="AF182" s="24"/>
    </row>
    <row r="183" spans="1:32" ht="15.75" customHeight="1" x14ac:dyDescent="0.25">
      <c r="A183" s="20"/>
      <c r="B183" s="20"/>
      <c r="C183" s="20"/>
      <c r="D183" s="21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3"/>
      <c r="AA183" s="24"/>
      <c r="AB183" s="24"/>
      <c r="AC183" s="24"/>
      <c r="AD183" s="24"/>
      <c r="AE183" s="24"/>
      <c r="AF183" s="24"/>
    </row>
    <row r="184" spans="1:32" ht="15.75" customHeight="1" x14ac:dyDescent="0.25">
      <c r="A184" s="20"/>
      <c r="B184" s="20"/>
      <c r="C184" s="20"/>
      <c r="D184" s="21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3"/>
      <c r="AA184" s="24"/>
      <c r="AB184" s="24"/>
      <c r="AC184" s="24"/>
      <c r="AD184" s="24"/>
      <c r="AE184" s="24"/>
      <c r="AF184" s="24"/>
    </row>
    <row r="185" spans="1:32" ht="15.75" customHeight="1" x14ac:dyDescent="0.25">
      <c r="A185" s="20"/>
      <c r="B185" s="20"/>
      <c r="C185" s="20"/>
      <c r="D185" s="21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3"/>
      <c r="AA185" s="24"/>
      <c r="AB185" s="24"/>
      <c r="AC185" s="24"/>
      <c r="AD185" s="24"/>
      <c r="AE185" s="24"/>
      <c r="AF185" s="24"/>
    </row>
    <row r="186" spans="1:32" ht="15.75" customHeight="1" x14ac:dyDescent="0.25">
      <c r="A186" s="20"/>
      <c r="B186" s="20"/>
      <c r="C186" s="20"/>
      <c r="D186" s="21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3"/>
      <c r="AA186" s="24"/>
      <c r="AB186" s="24"/>
      <c r="AC186" s="24"/>
      <c r="AD186" s="24"/>
      <c r="AE186" s="24"/>
      <c r="AF186" s="24"/>
    </row>
    <row r="187" spans="1:32" ht="15.75" customHeight="1" x14ac:dyDescent="0.25">
      <c r="A187" s="20"/>
      <c r="B187" s="20"/>
      <c r="C187" s="20"/>
      <c r="D187" s="21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3"/>
      <c r="AA187" s="24"/>
      <c r="AB187" s="24"/>
      <c r="AC187" s="24"/>
      <c r="AD187" s="24"/>
      <c r="AE187" s="24"/>
      <c r="AF187" s="24"/>
    </row>
    <row r="188" spans="1:32" ht="15.75" customHeight="1" x14ac:dyDescent="0.25">
      <c r="A188" s="20"/>
      <c r="B188" s="20"/>
      <c r="C188" s="20"/>
      <c r="D188" s="21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3"/>
      <c r="AA188" s="24"/>
      <c r="AB188" s="24"/>
      <c r="AC188" s="24"/>
      <c r="AD188" s="24"/>
      <c r="AE188" s="24"/>
      <c r="AF188" s="24"/>
    </row>
    <row r="189" spans="1:32" ht="15.75" customHeight="1" x14ac:dyDescent="0.25">
      <c r="A189" s="20"/>
      <c r="B189" s="20"/>
      <c r="C189" s="20"/>
      <c r="D189" s="21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3"/>
      <c r="AA189" s="24"/>
      <c r="AB189" s="24"/>
      <c r="AC189" s="24"/>
      <c r="AD189" s="24"/>
      <c r="AE189" s="24"/>
      <c r="AF189" s="24"/>
    </row>
    <row r="190" spans="1:32" ht="15.75" customHeight="1" x14ac:dyDescent="0.25">
      <c r="A190" s="20"/>
      <c r="B190" s="20"/>
      <c r="C190" s="20"/>
      <c r="D190" s="21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3"/>
      <c r="AA190" s="24"/>
      <c r="AB190" s="24"/>
      <c r="AC190" s="24"/>
      <c r="AD190" s="24"/>
      <c r="AE190" s="24"/>
      <c r="AF190" s="24"/>
    </row>
    <row r="191" spans="1:32" ht="15.75" customHeight="1" x14ac:dyDescent="0.25">
      <c r="A191" s="20"/>
      <c r="B191" s="20"/>
      <c r="C191" s="20"/>
      <c r="D191" s="21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3"/>
      <c r="AA191" s="24"/>
      <c r="AB191" s="24"/>
      <c r="AC191" s="24"/>
      <c r="AD191" s="24"/>
      <c r="AE191" s="24"/>
      <c r="AF191" s="24"/>
    </row>
    <row r="192" spans="1:32" ht="15.75" customHeight="1" x14ac:dyDescent="0.25">
      <c r="A192" s="20"/>
      <c r="B192" s="20"/>
      <c r="C192" s="20"/>
      <c r="D192" s="21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3"/>
      <c r="AA192" s="24"/>
      <c r="AB192" s="24"/>
      <c r="AC192" s="24"/>
      <c r="AD192" s="24"/>
      <c r="AE192" s="24"/>
      <c r="AF192" s="24"/>
    </row>
    <row r="193" spans="1:32" ht="15.75" customHeight="1" x14ac:dyDescent="0.25">
      <c r="A193" s="20"/>
      <c r="B193" s="20"/>
      <c r="C193" s="20"/>
      <c r="D193" s="21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3"/>
      <c r="AA193" s="24"/>
      <c r="AB193" s="24"/>
      <c r="AC193" s="24"/>
      <c r="AD193" s="24"/>
      <c r="AE193" s="24"/>
      <c r="AF193" s="24"/>
    </row>
    <row r="194" spans="1:32" ht="15.75" customHeight="1" x14ac:dyDescent="0.25">
      <c r="A194" s="20"/>
      <c r="B194" s="20"/>
      <c r="C194" s="20"/>
      <c r="D194" s="21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3"/>
      <c r="AA194" s="24"/>
      <c r="AB194" s="24"/>
      <c r="AC194" s="24"/>
      <c r="AD194" s="24"/>
      <c r="AE194" s="24"/>
      <c r="AF194" s="24"/>
    </row>
    <row r="195" spans="1:32" ht="15.75" customHeight="1" x14ac:dyDescent="0.25">
      <c r="A195" s="20"/>
      <c r="B195" s="20"/>
      <c r="C195" s="20"/>
      <c r="D195" s="21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3"/>
      <c r="AA195" s="24"/>
      <c r="AB195" s="24"/>
      <c r="AC195" s="24"/>
      <c r="AD195" s="24"/>
      <c r="AE195" s="24"/>
      <c r="AF195" s="24"/>
    </row>
    <row r="196" spans="1:32" ht="15.75" customHeight="1" x14ac:dyDescent="0.25">
      <c r="A196" s="20"/>
      <c r="B196" s="20"/>
      <c r="C196" s="20"/>
      <c r="D196" s="21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3"/>
      <c r="AA196" s="24"/>
      <c r="AB196" s="24"/>
      <c r="AC196" s="24"/>
      <c r="AD196" s="24"/>
      <c r="AE196" s="24"/>
      <c r="AF196" s="24"/>
    </row>
    <row r="197" spans="1:32" ht="15.75" customHeight="1" x14ac:dyDescent="0.25">
      <c r="A197" s="20"/>
      <c r="B197" s="20"/>
      <c r="C197" s="20"/>
      <c r="D197" s="21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3"/>
      <c r="AA197" s="24"/>
      <c r="AB197" s="24"/>
      <c r="AC197" s="24"/>
      <c r="AD197" s="24"/>
      <c r="AE197" s="24"/>
      <c r="AF197" s="24"/>
    </row>
    <row r="198" spans="1:32" ht="15.75" customHeight="1" x14ac:dyDescent="0.25">
      <c r="A198" s="20"/>
      <c r="B198" s="20"/>
      <c r="C198" s="20"/>
      <c r="D198" s="21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3"/>
      <c r="AA198" s="24"/>
      <c r="AB198" s="24"/>
      <c r="AC198" s="24"/>
      <c r="AD198" s="24"/>
      <c r="AE198" s="24"/>
      <c r="AF198" s="24"/>
    </row>
    <row r="199" spans="1:32" ht="15.75" customHeight="1" x14ac:dyDescent="0.25">
      <c r="A199" s="20"/>
      <c r="B199" s="20"/>
      <c r="C199" s="20"/>
      <c r="D199" s="21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3"/>
      <c r="AA199" s="24"/>
      <c r="AB199" s="24"/>
      <c r="AC199" s="24"/>
      <c r="AD199" s="24"/>
      <c r="AE199" s="24"/>
      <c r="AF199" s="24"/>
    </row>
    <row r="200" spans="1:32" ht="15.75" customHeight="1" x14ac:dyDescent="0.25">
      <c r="A200" s="20"/>
      <c r="B200" s="20"/>
      <c r="C200" s="20"/>
      <c r="D200" s="21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3"/>
      <c r="AA200" s="24"/>
      <c r="AB200" s="24"/>
      <c r="AC200" s="24"/>
      <c r="AD200" s="24"/>
      <c r="AE200" s="24"/>
      <c r="AF200" s="24"/>
    </row>
    <row r="201" spans="1:32" ht="15.75" customHeight="1" x14ac:dyDescent="0.25">
      <c r="A201" s="20"/>
      <c r="B201" s="20"/>
      <c r="C201" s="20"/>
      <c r="D201" s="21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3"/>
      <c r="AA201" s="24"/>
      <c r="AB201" s="24"/>
      <c r="AC201" s="24"/>
      <c r="AD201" s="24"/>
      <c r="AE201" s="24"/>
      <c r="AF201" s="24"/>
    </row>
    <row r="202" spans="1:32" ht="15.75" customHeight="1" x14ac:dyDescent="0.25">
      <c r="A202" s="20"/>
      <c r="B202" s="20"/>
      <c r="C202" s="20"/>
      <c r="D202" s="21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3"/>
      <c r="AA202" s="24"/>
      <c r="AB202" s="24"/>
      <c r="AC202" s="24"/>
      <c r="AD202" s="24"/>
      <c r="AE202" s="24"/>
      <c r="AF202" s="24"/>
    </row>
    <row r="203" spans="1:32" ht="15.75" customHeight="1" x14ac:dyDescent="0.25">
      <c r="A203" s="20"/>
      <c r="B203" s="20"/>
      <c r="C203" s="20"/>
      <c r="D203" s="21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3"/>
      <c r="AA203" s="24"/>
      <c r="AB203" s="24"/>
      <c r="AC203" s="24"/>
      <c r="AD203" s="24"/>
      <c r="AE203" s="24"/>
      <c r="AF203" s="24"/>
    </row>
    <row r="204" spans="1:32" ht="15.75" customHeight="1" x14ac:dyDescent="0.25">
      <c r="A204" s="20"/>
      <c r="B204" s="20"/>
      <c r="C204" s="20"/>
      <c r="D204" s="21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3"/>
      <c r="AA204" s="24"/>
      <c r="AB204" s="24"/>
      <c r="AC204" s="24"/>
      <c r="AD204" s="24"/>
      <c r="AE204" s="24"/>
      <c r="AF204" s="24"/>
    </row>
    <row r="205" spans="1:32" ht="15.75" customHeight="1" x14ac:dyDescent="0.25">
      <c r="A205" s="20"/>
      <c r="B205" s="20"/>
      <c r="C205" s="20"/>
      <c r="D205" s="21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3"/>
      <c r="AA205" s="24"/>
      <c r="AB205" s="24"/>
      <c r="AC205" s="24"/>
      <c r="AD205" s="24"/>
      <c r="AE205" s="24"/>
      <c r="AF205" s="24"/>
    </row>
    <row r="206" spans="1:32" ht="15.75" customHeight="1" x14ac:dyDescent="0.25">
      <c r="A206" s="20"/>
      <c r="B206" s="20"/>
      <c r="C206" s="20"/>
      <c r="D206" s="21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3"/>
      <c r="AA206" s="24"/>
      <c r="AB206" s="24"/>
      <c r="AC206" s="24"/>
      <c r="AD206" s="24"/>
      <c r="AE206" s="24"/>
      <c r="AF206" s="24"/>
    </row>
    <row r="207" spans="1:32" ht="15.75" customHeight="1" x14ac:dyDescent="0.25">
      <c r="A207" s="20"/>
      <c r="B207" s="20"/>
      <c r="C207" s="20"/>
      <c r="D207" s="21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3"/>
      <c r="AA207" s="24"/>
      <c r="AB207" s="24"/>
      <c r="AC207" s="24"/>
      <c r="AD207" s="24"/>
      <c r="AE207" s="24"/>
      <c r="AF207" s="24"/>
    </row>
    <row r="208" spans="1:32" ht="15.75" customHeight="1" x14ac:dyDescent="0.25">
      <c r="A208" s="20"/>
      <c r="B208" s="20"/>
      <c r="C208" s="20"/>
      <c r="D208" s="21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3"/>
      <c r="AA208" s="24"/>
      <c r="AB208" s="24"/>
      <c r="AC208" s="24"/>
      <c r="AD208" s="24"/>
      <c r="AE208" s="24"/>
      <c r="AF208" s="24"/>
    </row>
    <row r="209" spans="1:32" ht="15.75" customHeight="1" x14ac:dyDescent="0.25">
      <c r="A209" s="20"/>
      <c r="B209" s="20"/>
      <c r="C209" s="20"/>
      <c r="D209" s="21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3"/>
      <c r="AA209" s="24"/>
      <c r="AB209" s="24"/>
      <c r="AC209" s="24"/>
      <c r="AD209" s="24"/>
      <c r="AE209" s="24"/>
      <c r="AF209" s="24"/>
    </row>
    <row r="210" spans="1:32" ht="15.75" customHeight="1" x14ac:dyDescent="0.25">
      <c r="A210" s="20"/>
      <c r="B210" s="20"/>
      <c r="C210" s="20"/>
      <c r="D210" s="21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3"/>
      <c r="AA210" s="24"/>
      <c r="AB210" s="24"/>
      <c r="AC210" s="24"/>
      <c r="AD210" s="24"/>
      <c r="AE210" s="24"/>
      <c r="AF210" s="24"/>
    </row>
    <row r="211" spans="1:32" ht="15.75" customHeight="1" x14ac:dyDescent="0.25">
      <c r="A211" s="20"/>
      <c r="B211" s="20"/>
      <c r="C211" s="20"/>
      <c r="D211" s="21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3"/>
      <c r="AA211" s="24"/>
      <c r="AB211" s="24"/>
      <c r="AC211" s="24"/>
      <c r="AD211" s="24"/>
      <c r="AE211" s="24"/>
      <c r="AF211" s="24"/>
    </row>
    <row r="212" spans="1:32" ht="15.75" customHeight="1" x14ac:dyDescent="0.25">
      <c r="A212" s="20"/>
      <c r="B212" s="20"/>
      <c r="C212" s="20"/>
      <c r="D212" s="21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3"/>
      <c r="AA212" s="24"/>
      <c r="AB212" s="24"/>
      <c r="AC212" s="24"/>
      <c r="AD212" s="24"/>
      <c r="AE212" s="24"/>
      <c r="AF212" s="24"/>
    </row>
    <row r="213" spans="1:32" ht="15.75" customHeight="1" x14ac:dyDescent="0.25">
      <c r="A213" s="20"/>
      <c r="B213" s="20"/>
      <c r="C213" s="20"/>
      <c r="D213" s="21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3"/>
      <c r="AA213" s="24"/>
      <c r="AB213" s="24"/>
      <c r="AC213" s="24"/>
      <c r="AD213" s="24"/>
      <c r="AE213" s="24"/>
      <c r="AF213" s="24"/>
    </row>
    <row r="214" spans="1:32" ht="15.75" customHeight="1" x14ac:dyDescent="0.25">
      <c r="A214" s="20"/>
      <c r="B214" s="20"/>
      <c r="C214" s="20"/>
      <c r="D214" s="21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3"/>
      <c r="AA214" s="24"/>
      <c r="AB214" s="24"/>
      <c r="AC214" s="24"/>
      <c r="AD214" s="24"/>
      <c r="AE214" s="24"/>
      <c r="AF214" s="24"/>
    </row>
    <row r="215" spans="1:32" ht="15.75" customHeight="1" x14ac:dyDescent="0.25">
      <c r="A215" s="20"/>
      <c r="B215" s="20"/>
      <c r="C215" s="20"/>
      <c r="D215" s="21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3"/>
      <c r="AA215" s="24"/>
      <c r="AB215" s="24"/>
      <c r="AC215" s="24"/>
      <c r="AD215" s="24"/>
      <c r="AE215" s="24"/>
      <c r="AF215" s="24"/>
    </row>
    <row r="216" spans="1:32" ht="15.75" customHeight="1" x14ac:dyDescent="0.25">
      <c r="A216" s="20"/>
      <c r="B216" s="20"/>
      <c r="C216" s="20"/>
      <c r="D216" s="21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3"/>
      <c r="AA216" s="24"/>
      <c r="AB216" s="24"/>
      <c r="AC216" s="24"/>
      <c r="AD216" s="24"/>
      <c r="AE216" s="24"/>
      <c r="AF216" s="24"/>
    </row>
    <row r="217" spans="1:32" ht="15.75" customHeight="1" x14ac:dyDescent="0.25">
      <c r="A217" s="20"/>
      <c r="B217" s="20"/>
      <c r="C217" s="20"/>
      <c r="D217" s="21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3"/>
      <c r="AA217" s="24"/>
      <c r="AB217" s="24"/>
      <c r="AC217" s="24"/>
      <c r="AD217" s="24"/>
      <c r="AE217" s="24"/>
      <c r="AF217" s="24"/>
    </row>
    <row r="218" spans="1:32" ht="15.75" customHeight="1" x14ac:dyDescent="0.25">
      <c r="A218" s="20"/>
      <c r="B218" s="20"/>
      <c r="C218" s="20"/>
      <c r="D218" s="21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3"/>
      <c r="AA218" s="24"/>
      <c r="AB218" s="24"/>
      <c r="AC218" s="24"/>
      <c r="AD218" s="24"/>
      <c r="AE218" s="24"/>
      <c r="AF218" s="24"/>
    </row>
    <row r="219" spans="1:32" ht="15.75" customHeight="1" x14ac:dyDescent="0.25">
      <c r="A219" s="20"/>
      <c r="B219" s="20"/>
      <c r="C219" s="20"/>
      <c r="D219" s="21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3"/>
      <c r="AA219" s="24"/>
      <c r="AB219" s="24"/>
      <c r="AC219" s="24"/>
      <c r="AD219" s="24"/>
      <c r="AE219" s="24"/>
      <c r="AF219" s="24"/>
    </row>
    <row r="220" spans="1:32" ht="15.75" customHeight="1" x14ac:dyDescent="0.25">
      <c r="A220" s="20"/>
      <c r="B220" s="20"/>
      <c r="C220" s="20"/>
      <c r="D220" s="21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3"/>
      <c r="AA220" s="24"/>
      <c r="AB220" s="24"/>
      <c r="AC220" s="24"/>
      <c r="AD220" s="24"/>
      <c r="AE220" s="24"/>
      <c r="AF220" s="24"/>
    </row>
    <row r="221" spans="1:32" ht="15.75" customHeight="1" x14ac:dyDescent="0.25">
      <c r="A221" s="20"/>
      <c r="B221" s="20"/>
      <c r="C221" s="20"/>
      <c r="D221" s="21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3"/>
      <c r="AA221" s="24"/>
      <c r="AB221" s="24"/>
      <c r="AC221" s="24"/>
      <c r="AD221" s="24"/>
      <c r="AE221" s="24"/>
      <c r="AF221" s="24"/>
    </row>
    <row r="222" spans="1:32" ht="15.75" customHeight="1" x14ac:dyDescent="0.25">
      <c r="A222" s="20"/>
      <c r="B222" s="20"/>
      <c r="C222" s="20"/>
      <c r="D222" s="21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3"/>
      <c r="AA222" s="24"/>
      <c r="AB222" s="24"/>
      <c r="AC222" s="24"/>
      <c r="AD222" s="24"/>
      <c r="AE222" s="24"/>
      <c r="AF222" s="24"/>
    </row>
    <row r="223" spans="1:32" ht="15.75" customHeight="1" x14ac:dyDescent="0.25">
      <c r="A223" s="20"/>
      <c r="B223" s="20"/>
      <c r="C223" s="20"/>
      <c r="D223" s="21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3"/>
      <c r="AA223" s="24"/>
      <c r="AB223" s="24"/>
      <c r="AC223" s="24"/>
      <c r="AD223" s="24"/>
      <c r="AE223" s="24"/>
      <c r="AF223" s="24"/>
    </row>
    <row r="224" spans="1:32" ht="15.75" customHeight="1" x14ac:dyDescent="0.25">
      <c r="A224" s="20"/>
      <c r="B224" s="20"/>
      <c r="C224" s="20"/>
      <c r="D224" s="21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3"/>
      <c r="AA224" s="24"/>
      <c r="AB224" s="24"/>
      <c r="AC224" s="24"/>
      <c r="AD224" s="24"/>
      <c r="AE224" s="24"/>
      <c r="AF224" s="24"/>
    </row>
    <row r="225" spans="1:32" ht="15.75" customHeight="1" x14ac:dyDescent="0.25">
      <c r="A225" s="20"/>
      <c r="B225" s="20"/>
      <c r="C225" s="20"/>
      <c r="D225" s="21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3"/>
      <c r="AA225" s="24"/>
      <c r="AB225" s="24"/>
      <c r="AC225" s="24"/>
      <c r="AD225" s="24"/>
      <c r="AE225" s="24"/>
      <c r="AF225" s="24"/>
    </row>
    <row r="226" spans="1:32" ht="15.75" customHeight="1" x14ac:dyDescent="0.25">
      <c r="A226" s="20"/>
      <c r="B226" s="20"/>
      <c r="C226" s="20"/>
      <c r="D226" s="21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3"/>
      <c r="AA226" s="24"/>
      <c r="AB226" s="24"/>
      <c r="AC226" s="24"/>
      <c r="AD226" s="24"/>
      <c r="AE226" s="24"/>
      <c r="AF226" s="24"/>
    </row>
    <row r="227" spans="1:32" ht="15.75" customHeight="1" x14ac:dyDescent="0.25">
      <c r="A227" s="20"/>
      <c r="B227" s="20"/>
      <c r="C227" s="20"/>
      <c r="D227" s="21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3"/>
      <c r="AA227" s="24"/>
      <c r="AB227" s="24"/>
      <c r="AC227" s="24"/>
      <c r="AD227" s="24"/>
      <c r="AE227" s="24"/>
      <c r="AF227" s="24"/>
    </row>
    <row r="228" spans="1:32" ht="15.75" customHeight="1" x14ac:dyDescent="0.25">
      <c r="A228" s="20"/>
      <c r="B228" s="20"/>
      <c r="C228" s="20"/>
      <c r="D228" s="21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3"/>
      <c r="AA228" s="24"/>
      <c r="AB228" s="24"/>
      <c r="AC228" s="24"/>
      <c r="AD228" s="24"/>
      <c r="AE228" s="24"/>
      <c r="AF228" s="24"/>
    </row>
    <row r="229" spans="1:32" ht="15.75" customHeight="1" x14ac:dyDescent="0.25">
      <c r="A229" s="20"/>
      <c r="B229" s="20"/>
      <c r="C229" s="20"/>
      <c r="D229" s="21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3"/>
      <c r="AA229" s="24"/>
      <c r="AB229" s="24"/>
      <c r="AC229" s="24"/>
      <c r="AD229" s="24"/>
      <c r="AE229" s="24"/>
      <c r="AF229" s="24"/>
    </row>
    <row r="230" spans="1:32" ht="15.75" customHeight="1" x14ac:dyDescent="0.25">
      <c r="A230" s="20"/>
      <c r="B230" s="20"/>
      <c r="C230" s="20"/>
      <c r="D230" s="21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3"/>
      <c r="AA230" s="24"/>
      <c r="AB230" s="24"/>
      <c r="AC230" s="24"/>
      <c r="AD230" s="24"/>
      <c r="AE230" s="24"/>
      <c r="AF230" s="24"/>
    </row>
    <row r="231" spans="1:32" ht="15.75" customHeight="1" x14ac:dyDescent="0.25">
      <c r="A231" s="20"/>
      <c r="B231" s="20"/>
      <c r="C231" s="20"/>
      <c r="D231" s="21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3"/>
      <c r="AA231" s="24"/>
      <c r="AB231" s="24"/>
      <c r="AC231" s="24"/>
      <c r="AD231" s="24"/>
      <c r="AE231" s="24"/>
      <c r="AF231" s="24"/>
    </row>
    <row r="232" spans="1:32" ht="15.75" customHeight="1" x14ac:dyDescent="0.25">
      <c r="A232" s="20"/>
      <c r="B232" s="20"/>
      <c r="C232" s="20"/>
      <c r="D232" s="21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3"/>
      <c r="AA232" s="24"/>
      <c r="AB232" s="24"/>
      <c r="AC232" s="24"/>
      <c r="AD232" s="24"/>
      <c r="AE232" s="24"/>
      <c r="AF232" s="24"/>
    </row>
    <row r="233" spans="1:32" ht="15.75" customHeight="1" x14ac:dyDescent="0.25">
      <c r="A233" s="20"/>
      <c r="B233" s="20"/>
      <c r="C233" s="20"/>
      <c r="D233" s="21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3"/>
      <c r="AA233" s="24"/>
      <c r="AB233" s="24"/>
      <c r="AC233" s="24"/>
      <c r="AD233" s="24"/>
      <c r="AE233" s="24"/>
      <c r="AF233" s="24"/>
    </row>
    <row r="234" spans="1:32" ht="15.75" customHeight="1" x14ac:dyDescent="0.25">
      <c r="A234" s="20"/>
      <c r="B234" s="20"/>
      <c r="C234" s="20"/>
      <c r="D234" s="21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3"/>
      <c r="AA234" s="24"/>
      <c r="AB234" s="24"/>
      <c r="AC234" s="24"/>
      <c r="AD234" s="24"/>
      <c r="AE234" s="24"/>
      <c r="AF234" s="24"/>
    </row>
    <row r="235" spans="1:32" ht="15.75" customHeight="1" x14ac:dyDescent="0.25">
      <c r="A235" s="20"/>
      <c r="B235" s="20"/>
      <c r="C235" s="20"/>
      <c r="D235" s="21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3"/>
      <c r="AA235" s="24"/>
      <c r="AB235" s="24"/>
      <c r="AC235" s="24"/>
      <c r="AD235" s="24"/>
      <c r="AE235" s="24"/>
      <c r="AF235" s="24"/>
    </row>
    <row r="236" spans="1:32" ht="15.75" customHeight="1" x14ac:dyDescent="0.25">
      <c r="A236" s="20"/>
      <c r="B236" s="20"/>
      <c r="C236" s="20"/>
      <c r="D236" s="21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3"/>
      <c r="AA236" s="24"/>
      <c r="AB236" s="24"/>
      <c r="AC236" s="24"/>
      <c r="AD236" s="24"/>
      <c r="AE236" s="24"/>
      <c r="AF236" s="24"/>
    </row>
    <row r="237" spans="1:32" ht="15.75" customHeight="1" x14ac:dyDescent="0.25">
      <c r="A237" s="20"/>
      <c r="B237" s="20"/>
      <c r="C237" s="20"/>
      <c r="D237" s="21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3"/>
      <c r="AA237" s="24"/>
      <c r="AB237" s="24"/>
      <c r="AC237" s="24"/>
      <c r="AD237" s="24"/>
      <c r="AE237" s="24"/>
      <c r="AF237" s="24"/>
    </row>
    <row r="238" spans="1:32" ht="15.75" customHeight="1" x14ac:dyDescent="0.25">
      <c r="A238" s="20"/>
      <c r="B238" s="20"/>
      <c r="C238" s="20"/>
      <c r="D238" s="21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3"/>
      <c r="AA238" s="24"/>
      <c r="AB238" s="24"/>
      <c r="AC238" s="24"/>
      <c r="AD238" s="24"/>
      <c r="AE238" s="24"/>
      <c r="AF238" s="24"/>
    </row>
    <row r="239" spans="1:32" ht="15.75" customHeight="1" x14ac:dyDescent="0.25">
      <c r="A239" s="20"/>
      <c r="B239" s="20"/>
      <c r="C239" s="20"/>
      <c r="D239" s="21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3"/>
      <c r="AA239" s="24"/>
      <c r="AB239" s="24"/>
      <c r="AC239" s="24"/>
      <c r="AD239" s="24"/>
      <c r="AE239" s="24"/>
      <c r="AF239" s="24"/>
    </row>
    <row r="240" spans="1:32" ht="15.75" customHeight="1" x14ac:dyDescent="0.25">
      <c r="A240" s="20"/>
      <c r="B240" s="20"/>
      <c r="C240" s="20"/>
      <c r="D240" s="21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3"/>
      <c r="AA240" s="24"/>
      <c r="AB240" s="24"/>
      <c r="AC240" s="24"/>
      <c r="AD240" s="24"/>
      <c r="AE240" s="24"/>
      <c r="AF240" s="24"/>
    </row>
    <row r="241" spans="1:32" ht="15.75" customHeight="1" x14ac:dyDescent="0.25">
      <c r="A241" s="20"/>
      <c r="B241" s="20"/>
      <c r="C241" s="20"/>
      <c r="D241" s="21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3"/>
      <c r="AA241" s="24"/>
      <c r="AB241" s="24"/>
      <c r="AC241" s="24"/>
      <c r="AD241" s="24"/>
      <c r="AE241" s="24"/>
      <c r="AF241" s="24"/>
    </row>
    <row r="242" spans="1:32" ht="15.75" customHeight="1" x14ac:dyDescent="0.25">
      <c r="A242" s="20"/>
      <c r="B242" s="20"/>
      <c r="C242" s="20"/>
      <c r="D242" s="21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3"/>
      <c r="AA242" s="24"/>
      <c r="AB242" s="24"/>
      <c r="AC242" s="24"/>
      <c r="AD242" s="24"/>
      <c r="AE242" s="24"/>
      <c r="AF242" s="24"/>
    </row>
    <row r="243" spans="1:32" ht="15.75" customHeight="1" x14ac:dyDescent="0.25">
      <c r="A243" s="20"/>
      <c r="B243" s="20"/>
      <c r="C243" s="20"/>
      <c r="D243" s="21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3"/>
      <c r="AA243" s="24"/>
      <c r="AB243" s="24"/>
      <c r="AC243" s="24"/>
      <c r="AD243" s="24"/>
      <c r="AE243" s="24"/>
      <c r="AF243" s="24"/>
    </row>
    <row r="244" spans="1:32" ht="15.75" customHeight="1" x14ac:dyDescent="0.25">
      <c r="A244" s="20"/>
      <c r="B244" s="20"/>
      <c r="C244" s="20"/>
      <c r="D244" s="21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3"/>
      <c r="AA244" s="24"/>
      <c r="AB244" s="24"/>
      <c r="AC244" s="24"/>
      <c r="AD244" s="24"/>
      <c r="AE244" s="24"/>
      <c r="AF244" s="24"/>
    </row>
    <row r="245" spans="1:32" ht="15.75" customHeight="1" x14ac:dyDescent="0.25">
      <c r="A245" s="20"/>
      <c r="B245" s="20"/>
      <c r="C245" s="20"/>
      <c r="D245" s="21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3"/>
      <c r="AA245" s="24"/>
      <c r="AB245" s="24"/>
      <c r="AC245" s="24"/>
      <c r="AD245" s="24"/>
      <c r="AE245" s="24"/>
      <c r="AF245" s="24"/>
    </row>
    <row r="246" spans="1:32" ht="15.75" customHeight="1" x14ac:dyDescent="0.25">
      <c r="A246" s="20"/>
      <c r="B246" s="20"/>
      <c r="C246" s="20"/>
      <c r="D246" s="21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3"/>
      <c r="AA246" s="24"/>
      <c r="AB246" s="24"/>
      <c r="AC246" s="24"/>
      <c r="AD246" s="24"/>
      <c r="AE246" s="24"/>
      <c r="AF246" s="24"/>
    </row>
    <row r="247" spans="1:32" ht="15.75" customHeight="1" x14ac:dyDescent="0.25">
      <c r="A247" s="20"/>
      <c r="B247" s="20"/>
      <c r="C247" s="20"/>
      <c r="D247" s="21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3"/>
      <c r="AA247" s="24"/>
      <c r="AB247" s="24"/>
      <c r="AC247" s="24"/>
      <c r="AD247" s="24"/>
      <c r="AE247" s="24"/>
      <c r="AF247" s="24"/>
    </row>
    <row r="248" spans="1:32" ht="15.75" customHeight="1" x14ac:dyDescent="0.25">
      <c r="A248" s="20"/>
      <c r="B248" s="20"/>
      <c r="C248" s="20"/>
      <c r="D248" s="21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3"/>
      <c r="AA248" s="24"/>
      <c r="AB248" s="24"/>
      <c r="AC248" s="24"/>
      <c r="AD248" s="24"/>
      <c r="AE248" s="24"/>
      <c r="AF248" s="24"/>
    </row>
    <row r="249" spans="1:32" ht="15.75" customHeight="1" x14ac:dyDescent="0.25">
      <c r="A249" s="20"/>
      <c r="B249" s="20"/>
      <c r="C249" s="20"/>
      <c r="D249" s="21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3"/>
      <c r="AA249" s="24"/>
      <c r="AB249" s="24"/>
      <c r="AC249" s="24"/>
      <c r="AD249" s="24"/>
      <c r="AE249" s="24"/>
      <c r="AF249" s="24"/>
    </row>
    <row r="250" spans="1:32" ht="15.75" customHeight="1" x14ac:dyDescent="0.25">
      <c r="A250" s="20"/>
      <c r="B250" s="20"/>
      <c r="C250" s="20"/>
      <c r="D250" s="21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3"/>
      <c r="AA250" s="24"/>
      <c r="AB250" s="24"/>
      <c r="AC250" s="24"/>
      <c r="AD250" s="24"/>
      <c r="AE250" s="24"/>
      <c r="AF250" s="24"/>
    </row>
    <row r="251" spans="1:32" ht="15.75" customHeight="1" x14ac:dyDescent="0.25">
      <c r="A251" s="20"/>
      <c r="B251" s="20"/>
      <c r="C251" s="20"/>
      <c r="D251" s="21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3"/>
      <c r="AA251" s="24"/>
      <c r="AB251" s="24"/>
      <c r="AC251" s="24"/>
      <c r="AD251" s="24"/>
      <c r="AE251" s="24"/>
      <c r="AF251" s="24"/>
    </row>
    <row r="252" spans="1:32" ht="15.75" customHeight="1" x14ac:dyDescent="0.25">
      <c r="A252" s="20"/>
      <c r="B252" s="20"/>
      <c r="C252" s="20"/>
      <c r="D252" s="21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3"/>
      <c r="AA252" s="24"/>
      <c r="AB252" s="24"/>
      <c r="AC252" s="24"/>
      <c r="AD252" s="24"/>
      <c r="AE252" s="24"/>
      <c r="AF252" s="24"/>
    </row>
    <row r="253" spans="1:32" ht="15.75" customHeight="1" x14ac:dyDescent="0.25">
      <c r="A253" s="20"/>
      <c r="B253" s="20"/>
      <c r="C253" s="20"/>
      <c r="D253" s="21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3"/>
      <c r="AA253" s="24"/>
      <c r="AB253" s="24"/>
      <c r="AC253" s="24"/>
      <c r="AD253" s="24"/>
      <c r="AE253" s="24"/>
      <c r="AF253" s="24"/>
    </row>
    <row r="254" spans="1:32" ht="15.75" customHeight="1" x14ac:dyDescent="0.25">
      <c r="A254" s="20"/>
      <c r="B254" s="20"/>
      <c r="C254" s="20"/>
      <c r="D254" s="21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3"/>
      <c r="AA254" s="24"/>
      <c r="AB254" s="24"/>
      <c r="AC254" s="24"/>
      <c r="AD254" s="24"/>
      <c r="AE254" s="24"/>
      <c r="AF254" s="24"/>
    </row>
    <row r="255" spans="1:32" ht="15.75" customHeight="1" x14ac:dyDescent="0.25">
      <c r="A255" s="20"/>
      <c r="B255" s="20"/>
      <c r="C255" s="20"/>
      <c r="D255" s="21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3"/>
      <c r="AA255" s="24"/>
      <c r="AB255" s="24"/>
      <c r="AC255" s="24"/>
      <c r="AD255" s="24"/>
      <c r="AE255" s="24"/>
      <c r="AF255" s="24"/>
    </row>
    <row r="256" spans="1:32" ht="15.75" customHeight="1" x14ac:dyDescent="0.25">
      <c r="A256" s="20"/>
      <c r="B256" s="20"/>
      <c r="C256" s="20"/>
      <c r="D256" s="21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3"/>
      <c r="AA256" s="24"/>
      <c r="AB256" s="24"/>
      <c r="AC256" s="24"/>
      <c r="AD256" s="24"/>
      <c r="AE256" s="24"/>
      <c r="AF256" s="24"/>
    </row>
    <row r="257" spans="1:32" ht="15.75" customHeight="1" x14ac:dyDescent="0.25">
      <c r="A257" s="20"/>
      <c r="B257" s="20"/>
      <c r="C257" s="20"/>
      <c r="D257" s="21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3"/>
      <c r="AA257" s="24"/>
      <c r="AB257" s="24"/>
      <c r="AC257" s="24"/>
      <c r="AD257" s="24"/>
      <c r="AE257" s="24"/>
      <c r="AF257" s="24"/>
    </row>
    <row r="258" spans="1:32" ht="15.75" customHeight="1" x14ac:dyDescent="0.25">
      <c r="A258" s="20"/>
      <c r="B258" s="20"/>
      <c r="C258" s="20"/>
      <c r="D258" s="21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3"/>
      <c r="AA258" s="24"/>
      <c r="AB258" s="24"/>
      <c r="AC258" s="24"/>
      <c r="AD258" s="24"/>
      <c r="AE258" s="24"/>
      <c r="AF258" s="24"/>
    </row>
    <row r="259" spans="1:32" ht="15.7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ht="15.7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ht="15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ht="15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ht="15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ht="15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ht="15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ht="15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ht="15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ht="15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ht="15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ht="15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ht="15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ht="15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ht="15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ht="15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ht="15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ht="15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ht="15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ht="15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ht="15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ht="15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ht="15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ht="15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ht="15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ht="15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ht="15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ht="15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ht="15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ht="15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ht="15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ht="15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ht="15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ht="15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ht="15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ht="15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ht="15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ht="15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ht="15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ht="15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ht="15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ht="15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ht="15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ht="15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ht="15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spans="1:32" ht="15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spans="1:32" ht="15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spans="1:32" ht="15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spans="1:32" ht="15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spans="1:32" ht="15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spans="1:32" ht="15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spans="1:32" ht="15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spans="1:32" ht="15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spans="1:32" ht="15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spans="1:32" ht="15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spans="1:32" ht="15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spans="1:32" ht="15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spans="1:32" ht="15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spans="1:32" ht="15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spans="1:32" ht="15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spans="1:32" ht="15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spans="1:32" ht="15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spans="1:32" ht="15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spans="1:32" ht="15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spans="1:32" ht="15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spans="1:32" ht="15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spans="1:32" ht="15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spans="1:32" ht="15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spans="1:32" ht="15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spans="1:32" ht="15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spans="1:32" ht="15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spans="1:32" ht="15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spans="1:32" ht="15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spans="1:32" ht="15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spans="1:32" ht="15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spans="1:32" ht="15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spans="1:32" ht="15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spans="1:32" ht="15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spans="1:32" ht="15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spans="1:32" ht="15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spans="1:32" ht="15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spans="1:32" ht="15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spans="1:32" ht="15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spans="1:32" ht="15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spans="1:32" ht="15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spans="1:32" ht="15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spans="1:32" ht="15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spans="1:32" ht="15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spans="1:32" ht="15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spans="1:32" ht="15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spans="1:32" ht="15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spans="1:32" ht="15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spans="1:32" ht="15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spans="1:32" ht="15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spans="1:32" ht="15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spans="1:32" ht="15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spans="1:32" ht="15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spans="1:32" ht="15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spans="1:32" ht="15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ht="15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ht="15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ht="15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ht="15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ht="15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ht="15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ht="15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ht="15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ht="15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ht="15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ht="15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ht="15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ht="15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ht="15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ht="15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ht="15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ht="15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ht="15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ht="15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ht="15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ht="15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ht="15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ht="15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ht="15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ht="15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ht="15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ht="15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ht="15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ht="15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ht="15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ht="15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ht="15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ht="15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ht="15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ht="15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ht="15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ht="15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ht="15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ht="15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ht="15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ht="15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ht="15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ht="15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ht="15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ht="15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ht="15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ht="15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ht="15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ht="15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ht="15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ht="15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ht="15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ht="15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ht="15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ht="15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ht="15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ht="15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ht="15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ht="15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ht="15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ht="15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ht="15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ht="15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ht="15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ht="15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ht="15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ht="15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ht="15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ht="15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ht="15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ht="15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ht="15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ht="15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ht="15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ht="15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ht="15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ht="15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ht="15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ht="15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ht="15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ht="15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ht="15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ht="15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ht="15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ht="15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ht="15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ht="15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ht="15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ht="15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ht="15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ht="15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ht="15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ht="15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ht="15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ht="15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ht="15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ht="15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ht="15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ht="15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ht="15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ht="15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ht="15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ht="15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ht="15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ht="15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ht="15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ht="15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ht="15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ht="15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ht="15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ht="15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ht="15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ht="15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ht="15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ht="15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ht="15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ht="15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ht="15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ht="15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ht="15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ht="15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ht="15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ht="15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ht="15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ht="15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ht="15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spans="1:32" ht="15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spans="1:32" ht="15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spans="1:32" ht="15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spans="1:32" ht="15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spans="1:32" ht="15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spans="1:32" ht="15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spans="1:32" ht="15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spans="1:32" ht="15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spans="1:32" ht="15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spans="1:32" ht="15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spans="1:32" ht="15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spans="1:32" ht="15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spans="1:32" ht="15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spans="1:32" ht="15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spans="1:32" ht="15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spans="1:32" ht="15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spans="1:32" ht="15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spans="1:32" ht="15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spans="1:32" ht="15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spans="1:32" ht="15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spans="1:32" ht="15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spans="1:32" ht="15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spans="1:32" ht="15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spans="1:32" ht="15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spans="1:32" ht="15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spans="1:32" ht="15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spans="1:32" ht="15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spans="1:32" ht="15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spans="1:32" ht="15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spans="1:32" ht="15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spans="1:32" ht="15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spans="1:32" ht="15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spans="1:32" ht="15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spans="1:32" ht="15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spans="1:32" ht="15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spans="1:32" ht="15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spans="1:32" ht="15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spans="1:32" ht="15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spans="1:32" ht="15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spans="1:32" ht="15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spans="1:32" ht="15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spans="1:32" ht="15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spans="1:32" ht="15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spans="1:32" ht="15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spans="1:32" ht="15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spans="1:32" ht="15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spans="1:32" ht="15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spans="1:32" ht="15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spans="1:32" ht="15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spans="1:32" ht="15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spans="1:32" ht="15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spans="1:32" ht="15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spans="1:32" ht="15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spans="1:32" ht="15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ht="15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ht="15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ht="15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ht="15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ht="15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ht="15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ht="15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ht="15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ht="15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ht="15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ht="15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ht="15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ht="15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ht="15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ht="15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ht="15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ht="15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ht="15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ht="15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ht="15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ht="15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ht="15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ht="15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ht="15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ht="15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ht="15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ht="15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ht="15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ht="15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ht="15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ht="15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ht="15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ht="15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ht="15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ht="15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ht="15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ht="15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ht="15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ht="15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ht="15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ht="15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ht="15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ht="15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ht="15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ht="15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ht="15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ht="15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ht="15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ht="15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ht="15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ht="15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ht="15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ht="15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ht="15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ht="15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ht="15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ht="15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ht="15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ht="15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ht="15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ht="15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ht="15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ht="15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ht="15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ht="15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ht="15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ht="15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ht="15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ht="15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ht="15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ht="15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ht="15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ht="15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ht="15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ht="15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ht="15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ht="15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ht="15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ht="15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ht="15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ht="15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ht="15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ht="15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ht="15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ht="15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ht="15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ht="15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ht="15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ht="15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ht="15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ht="15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ht="15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ht="15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ht="15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ht="15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ht="15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ht="15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ht="15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ht="15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ht="15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ht="15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ht="15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ht="15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ht="15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ht="15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ht="15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ht="15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ht="15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ht="15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ht="15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ht="15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ht="15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ht="15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ht="15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ht="15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ht="15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ht="15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ht="15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ht="15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ht="15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ht="15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ht="15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ht="15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ht="15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ht="15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ht="15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spans="1:32" ht="15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spans="1:32" ht="15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spans="1:32" ht="15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spans="1:32" ht="15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spans="1:32" ht="15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spans="1:32" ht="15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spans="1:32" ht="15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spans="1:32" ht="15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spans="1:32" ht="15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spans="1:32" ht="15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spans="1:32" ht="15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spans="1:32" ht="15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spans="1:32" ht="15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spans="1:32" ht="15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spans="1:32" ht="15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spans="1:32" ht="15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spans="1:32" ht="15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spans="1:32" ht="15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spans="1:32" ht="15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spans="1:32" ht="15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spans="1:32" ht="15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spans="1:32" ht="15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spans="1:32" ht="15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spans="1:32" ht="15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spans="1:32" ht="15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spans="1:32" ht="15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spans="1:32" ht="15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spans="1:32" ht="15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spans="1:32" ht="15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spans="1:32" ht="15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spans="1:32" ht="15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spans="1:32" ht="15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spans="1:32" ht="15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spans="1:32" ht="15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spans="1:32" ht="15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spans="1:32" ht="15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spans="1:32" ht="15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spans="1:32" ht="15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spans="1:32" ht="15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spans="1:32" ht="15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spans="1:32" ht="15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spans="1:32" ht="15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spans="1:32" ht="15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spans="1:32" ht="15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spans="1:32" ht="15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spans="1:32" ht="15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spans="1:32" ht="15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spans="1:32" ht="15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spans="1:32" ht="15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spans="1:32" ht="15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spans="1:32" ht="15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spans="1:32" ht="15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spans="1:32" ht="15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spans="1:32" ht="15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ht="15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ht="15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ht="15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ht="15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ht="15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ht="15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ht="15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ht="15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ht="15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ht="15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ht="15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ht="15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ht="15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ht="15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ht="15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ht="15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ht="15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ht="15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ht="15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ht="15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ht="15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ht="15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ht="15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ht="15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ht="15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spans="1:32" ht="15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spans="1:32" ht="15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spans="1:32" ht="15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spans="1:32" ht="15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spans="1:32" ht="15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spans="1:32" ht="15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spans="1:32" ht="15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spans="1:32" ht="15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spans="1:32" ht="15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spans="1:32" ht="15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spans="1:32" ht="15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spans="1:32" ht="15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spans="1:32" ht="15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spans="1:32" ht="15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spans="1:32" ht="15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spans="1:32" ht="15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spans="1:32" ht="15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spans="1:32" ht="15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spans="1:32" ht="15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spans="1:32" ht="15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spans="1:32" ht="15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spans="1:32" ht="15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spans="1:32" ht="15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spans="1:32" ht="15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spans="1:32" ht="15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spans="1:32" ht="15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spans="1:32" ht="15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spans="1:32" ht="15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spans="1:32" ht="15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spans="1:32" ht="15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spans="1:32" ht="15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spans="1:32" ht="15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spans="1:32" ht="15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spans="1:32" ht="15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spans="1:32" ht="15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spans="1:32" ht="15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spans="1:32" ht="15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spans="1:32" ht="15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spans="1:32" ht="15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spans="1:32" ht="15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spans="1:32" ht="15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spans="1:32" ht="15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spans="1:32" ht="15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spans="1:32" ht="15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spans="1:32" ht="15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spans="1:32" ht="15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spans="1:32" ht="15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spans="1:32" ht="15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spans="1:32" ht="15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spans="1:32" ht="15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spans="1:32" ht="15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spans="1:32" ht="15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spans="1:32" ht="15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spans="1:32" ht="15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spans="1:32" ht="15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spans="1:32" ht="15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spans="1:32" ht="15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spans="1:32" ht="15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spans="1:32" ht="15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spans="1:32" ht="15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spans="1:32" ht="15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spans="1:32" ht="15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spans="1:32" ht="15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spans="1:32" ht="15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spans="1:32" ht="15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spans="1:32" ht="15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spans="1:32" ht="15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spans="1:32" ht="15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spans="1:32" ht="15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spans="1:32" ht="15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spans="1:32" ht="15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spans="1:32" ht="15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spans="1:32" ht="15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spans="1:32" ht="15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spans="1:32" ht="15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spans="1:32" ht="15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spans="1:32" ht="15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spans="1:32" ht="15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spans="1:32" ht="15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spans="1:32" ht="15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spans="1:32" ht="15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spans="1:32" ht="15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spans="1:32" ht="15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spans="1:32" ht="15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spans="1:32" ht="15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spans="1:32" ht="15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spans="1:32" ht="15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spans="1:32" ht="15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spans="1:32" ht="15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spans="1:32" ht="15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spans="1:32" ht="15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spans="1:32" ht="15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spans="1:32" ht="15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spans="1:32" ht="15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spans="1:32" ht="15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spans="1:32" ht="15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spans="1:32" ht="15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spans="1:32" ht="15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spans="1:32" ht="15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spans="1:32" ht="15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spans="1:32" ht="15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spans="1:32" ht="15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spans="1:32" ht="15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spans="1:32" ht="15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spans="1:32" ht="15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spans="1:32" ht="15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spans="1:32" ht="15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spans="1:32" ht="15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spans="1:32" ht="15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spans="1:32" ht="15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spans="1:32" ht="15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spans="1:32" ht="15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spans="1:32" ht="15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spans="1:32" ht="15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spans="1:32" ht="15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spans="1:32" ht="15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spans="1:32" ht="15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spans="1:32" ht="15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spans="1:32" ht="15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spans="1:32" ht="15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spans="1:32" ht="15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spans="1:32" ht="15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spans="1:32" ht="15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spans="1:32" ht="15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spans="1:32" ht="15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spans="1:32" ht="15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spans="1:32" ht="15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spans="1:32" ht="15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spans="1:32" ht="15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spans="1:32" ht="15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spans="1:32" ht="15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spans="1:32" ht="15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spans="1:32" ht="15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spans="1:32" ht="15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spans="1:32" ht="15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spans="1:32" ht="15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spans="1:32" ht="15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spans="1:32" ht="15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spans="1:32" ht="15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spans="1:32" ht="15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spans="1:32" ht="15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spans="1:32" ht="15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spans="1:32" ht="15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spans="1:32" ht="15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spans="1:32" ht="15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spans="1:32" ht="15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spans="1:32" ht="15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spans="1:32" ht="15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spans="1:32" ht="15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spans="1:32" ht="15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spans="1:32" ht="15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spans="1:32" ht="15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spans="1:32" ht="15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spans="1:32" ht="15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spans="1:32" ht="15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spans="1:32" ht="15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spans="1:32" ht="15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spans="1:32" ht="15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spans="1:32" ht="15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spans="1:32" ht="15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spans="1:32" ht="15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spans="1:32" ht="15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spans="1:32" ht="15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spans="1:32" ht="15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spans="1:32" ht="15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spans="1:32" ht="15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spans="1:32" ht="15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spans="1:32" ht="15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spans="1:32" ht="15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spans="1:32" ht="15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spans="1:32" ht="15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spans="1:32" ht="15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spans="1:32" ht="15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spans="1:32" ht="15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spans="1:32" ht="15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spans="1:32" ht="15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spans="1:32" ht="15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spans="1:32" ht="15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spans="1:32" ht="15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spans="1:32" ht="15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spans="1:32" ht="15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spans="1:32" ht="15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spans="1:32" ht="15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spans="1:32" ht="15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spans="1:32" ht="15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spans="1:32" ht="15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spans="1:32" ht="15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spans="1:32" ht="15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spans="1:32" ht="15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spans="1:32" ht="15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spans="1:32" ht="15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spans="1:32" ht="15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spans="1:32" ht="15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spans="1:32" ht="15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spans="1:32" ht="15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spans="1:32" ht="15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spans="1:32" ht="15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spans="1:32" ht="15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spans="1:32" ht="15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spans="1:32" ht="15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spans="1:32" ht="15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spans="1:32" ht="15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spans="1:32" ht="15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spans="1:32" ht="15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spans="1:32" ht="15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spans="1:32" ht="15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spans="1:32" ht="15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spans="1:32" ht="15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spans="1:32" ht="15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spans="1:32" ht="15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spans="1:32" ht="15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spans="1:32" ht="15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 spans="1:32" ht="15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 spans="1:32" ht="15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 spans="1:32" ht="15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 spans="1:32" ht="15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 spans="1:32" ht="15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 spans="1:32" ht="15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 spans="1:32" ht="15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 spans="1:32" ht="15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 spans="1:32" ht="15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 spans="1:32" ht="15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 spans="1:32" ht="15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 spans="1:32" ht="15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 spans="1:32" ht="15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 spans="1:32" ht="15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 spans="1:32" ht="15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 spans="1:32" ht="15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 spans="1:32" ht="15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 spans="1:32" ht="15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 spans="1:32" ht="15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 spans="1:32" ht="15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 spans="1:32" ht="15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 spans="1:32" ht="15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 spans="1:32" ht="15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 spans="1:32" ht="15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 spans="1:32" ht="15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 spans="1:32" ht="15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 spans="1:32" ht="15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 spans="1:32" ht="15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 spans="1:32" ht="15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 spans="1:32" ht="15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 spans="1:32" ht="15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 spans="1:32" ht="15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 spans="1:32" ht="15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 spans="1:32" ht="15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 spans="1:32" ht="15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 spans="1:32" ht="15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 spans="1:32" ht="15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 spans="1:32" ht="15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 spans="1:32" ht="15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 spans="1:32" ht="15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</sheetData>
  <sortState xmlns:xlrd2="http://schemas.microsoft.com/office/spreadsheetml/2017/richdata2" ref="A2:AF58">
    <sortCondition ref="A2:A58"/>
  </sortState>
  <printOptions horizontalCentered="1"/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G10" sqref="G10"/>
    </sheetView>
  </sheetViews>
  <sheetFormatPr defaultColWidth="14.42578125" defaultRowHeight="15" customHeight="1" x14ac:dyDescent="0.25"/>
  <cols>
    <col min="1" max="1" width="3.85546875" customWidth="1"/>
    <col min="2" max="2" width="20.5703125" customWidth="1"/>
    <col min="3" max="3" width="11.85546875" customWidth="1"/>
    <col min="4" max="4" width="24" customWidth="1"/>
    <col min="5" max="5" width="25.5703125" customWidth="1"/>
    <col min="6" max="6" width="17" customWidth="1"/>
    <col min="7" max="7" width="20.28515625" customWidth="1"/>
    <col min="8" max="8" width="11.85546875" customWidth="1"/>
    <col min="9" max="9" width="24" customWidth="1"/>
    <col min="10" max="10" width="25.5703125" customWidth="1"/>
    <col min="11" max="11" width="17" customWidth="1"/>
    <col min="12" max="12" width="17.7109375" customWidth="1"/>
    <col min="13" max="13" width="11.85546875" customWidth="1"/>
    <col min="14" max="14" width="24" customWidth="1"/>
    <col min="15" max="15" width="25.5703125" customWidth="1"/>
    <col min="16" max="16" width="17" customWidth="1"/>
    <col min="17" max="26" width="18.85546875" customWidth="1"/>
  </cols>
  <sheetData>
    <row r="1" spans="1:26" ht="15.75" x14ac:dyDescent="0.25">
      <c r="A1" s="116" t="s">
        <v>141</v>
      </c>
      <c r="B1" s="112" t="s">
        <v>142</v>
      </c>
      <c r="C1" s="113"/>
      <c r="D1" s="114">
        <v>31500</v>
      </c>
      <c r="E1" s="113"/>
      <c r="F1" s="115"/>
      <c r="G1" s="112" t="s">
        <v>143</v>
      </c>
      <c r="H1" s="113"/>
      <c r="I1" s="114">
        <v>22050</v>
      </c>
      <c r="J1" s="113"/>
      <c r="K1" s="113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1.5" x14ac:dyDescent="0.25">
      <c r="A2" s="117"/>
      <c r="B2" s="26" t="s">
        <v>144</v>
      </c>
      <c r="C2" s="26" t="s">
        <v>145</v>
      </c>
      <c r="D2" s="26" t="s">
        <v>146</v>
      </c>
      <c r="E2" s="27" t="s">
        <v>147</v>
      </c>
      <c r="F2" s="28" t="s">
        <v>148</v>
      </c>
      <c r="G2" s="29" t="s">
        <v>144</v>
      </c>
      <c r="H2" s="26" t="s">
        <v>145</v>
      </c>
      <c r="I2" s="26" t="s">
        <v>146</v>
      </c>
      <c r="J2" s="27" t="s">
        <v>147</v>
      </c>
      <c r="K2" s="30" t="s">
        <v>148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117"/>
      <c r="B3" s="5" t="s">
        <v>149</v>
      </c>
      <c r="C3" s="5" t="s">
        <v>81</v>
      </c>
      <c r="D3" s="5">
        <v>0</v>
      </c>
      <c r="E3" s="32">
        <f t="shared" ref="E3:E12" si="0">(D3/$D$17)</f>
        <v>0</v>
      </c>
      <c r="F3" s="33">
        <f t="shared" ref="F3:F12" si="1">E3*$D$1</f>
        <v>0</v>
      </c>
      <c r="G3" s="34" t="s">
        <v>150</v>
      </c>
      <c r="H3" s="5" t="s">
        <v>72</v>
      </c>
      <c r="I3" s="5">
        <v>0</v>
      </c>
      <c r="J3" s="32">
        <f t="shared" ref="J3:J16" si="2">(I3/$I$17)</f>
        <v>0</v>
      </c>
      <c r="K3" s="8">
        <f t="shared" ref="K3:K16" si="3">J3*$I$1</f>
        <v>0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25">
      <c r="A4" s="117"/>
      <c r="B4" s="5" t="s">
        <v>151</v>
      </c>
      <c r="C4" s="5" t="s">
        <v>152</v>
      </c>
      <c r="D4" s="5">
        <v>0</v>
      </c>
      <c r="E4" s="32">
        <f t="shared" si="0"/>
        <v>0</v>
      </c>
      <c r="F4" s="35">
        <f t="shared" si="1"/>
        <v>0</v>
      </c>
      <c r="G4" s="36" t="s">
        <v>153</v>
      </c>
      <c r="H4" s="5" t="s">
        <v>154</v>
      </c>
      <c r="I4" s="5">
        <v>36</v>
      </c>
      <c r="J4" s="32">
        <f t="shared" si="2"/>
        <v>0.20689655172413793</v>
      </c>
      <c r="K4" s="8">
        <f t="shared" si="3"/>
        <v>4562.0689655172409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25">
      <c r="A5" s="117"/>
      <c r="B5" s="5" t="s">
        <v>155</v>
      </c>
      <c r="C5" s="5" t="s">
        <v>156</v>
      </c>
      <c r="D5" s="5">
        <v>0</v>
      </c>
      <c r="E5" s="32">
        <f t="shared" si="0"/>
        <v>0</v>
      </c>
      <c r="F5" s="35">
        <f t="shared" si="1"/>
        <v>0</v>
      </c>
      <c r="G5" s="36" t="s">
        <v>157</v>
      </c>
      <c r="H5" s="5" t="s">
        <v>158</v>
      </c>
      <c r="I5" s="5">
        <v>0</v>
      </c>
      <c r="J5" s="32">
        <f t="shared" si="2"/>
        <v>0</v>
      </c>
      <c r="K5" s="8">
        <f t="shared" si="3"/>
        <v>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25">
      <c r="A6" s="117"/>
      <c r="B6" s="5" t="s">
        <v>159</v>
      </c>
      <c r="C6" s="5" t="s">
        <v>160</v>
      </c>
      <c r="D6" s="5">
        <v>0</v>
      </c>
      <c r="E6" s="32">
        <f t="shared" si="0"/>
        <v>0</v>
      </c>
      <c r="F6" s="35">
        <f t="shared" si="1"/>
        <v>0</v>
      </c>
      <c r="G6" s="36" t="s">
        <v>161</v>
      </c>
      <c r="H6" s="5" t="s">
        <v>162</v>
      </c>
      <c r="I6" s="5">
        <v>0</v>
      </c>
      <c r="J6" s="32">
        <f t="shared" si="2"/>
        <v>0</v>
      </c>
      <c r="K6" s="8">
        <f t="shared" si="3"/>
        <v>0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5">
      <c r="A7" s="117"/>
      <c r="B7" s="5" t="s">
        <v>817</v>
      </c>
      <c r="C7" s="5" t="s">
        <v>160</v>
      </c>
      <c r="D7" s="5">
        <v>0</v>
      </c>
      <c r="E7" s="32">
        <f t="shared" si="0"/>
        <v>0</v>
      </c>
      <c r="F7" s="35">
        <f t="shared" si="1"/>
        <v>0</v>
      </c>
      <c r="G7" s="36" t="s">
        <v>163</v>
      </c>
      <c r="H7" s="5" t="s">
        <v>53</v>
      </c>
      <c r="I7" s="5">
        <v>10</v>
      </c>
      <c r="J7" s="32">
        <f t="shared" si="2"/>
        <v>5.7471264367816091E-2</v>
      </c>
      <c r="K7" s="8">
        <f t="shared" si="3"/>
        <v>1267.2413793103449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x14ac:dyDescent="0.25">
      <c r="A8" s="117"/>
      <c r="B8" s="5" t="s">
        <v>164</v>
      </c>
      <c r="C8" s="5" t="s">
        <v>165</v>
      </c>
      <c r="D8" s="5">
        <v>30</v>
      </c>
      <c r="E8" s="32">
        <f t="shared" si="0"/>
        <v>0.35714285714285715</v>
      </c>
      <c r="F8" s="33">
        <f t="shared" si="1"/>
        <v>11250</v>
      </c>
      <c r="G8" s="34" t="s">
        <v>159</v>
      </c>
      <c r="H8" s="5" t="s">
        <v>160</v>
      </c>
      <c r="I8" s="5">
        <v>0</v>
      </c>
      <c r="J8" s="32">
        <f t="shared" si="2"/>
        <v>0</v>
      </c>
      <c r="K8" s="8">
        <f t="shared" si="3"/>
        <v>0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x14ac:dyDescent="0.25">
      <c r="A9" s="117"/>
      <c r="B9" s="5" t="s">
        <v>166</v>
      </c>
      <c r="C9" s="5" t="s">
        <v>86</v>
      </c>
      <c r="D9" s="5">
        <v>30</v>
      </c>
      <c r="E9" s="32">
        <f t="shared" si="0"/>
        <v>0.35714285714285715</v>
      </c>
      <c r="F9" s="33">
        <f t="shared" si="1"/>
        <v>11250</v>
      </c>
      <c r="G9" s="34" t="s">
        <v>167</v>
      </c>
      <c r="H9" s="5" t="s">
        <v>160</v>
      </c>
      <c r="I9" s="5">
        <v>0</v>
      </c>
      <c r="J9" s="32">
        <f t="shared" si="2"/>
        <v>0</v>
      </c>
      <c r="K9" s="8">
        <f t="shared" si="3"/>
        <v>0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x14ac:dyDescent="0.25">
      <c r="A10" s="117"/>
      <c r="B10" s="5" t="s">
        <v>168</v>
      </c>
      <c r="C10" s="5" t="s">
        <v>169</v>
      </c>
      <c r="D10" s="5">
        <v>0</v>
      </c>
      <c r="E10" s="32">
        <f t="shared" si="0"/>
        <v>0</v>
      </c>
      <c r="F10" s="33">
        <f t="shared" si="1"/>
        <v>0</v>
      </c>
      <c r="G10" s="34" t="s">
        <v>818</v>
      </c>
      <c r="H10" s="5" t="s">
        <v>170</v>
      </c>
      <c r="I10" s="5">
        <v>10</v>
      </c>
      <c r="J10" s="32">
        <f t="shared" si="2"/>
        <v>5.7471264367816091E-2</v>
      </c>
      <c r="K10" s="8">
        <f t="shared" si="3"/>
        <v>1267.2413793103449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x14ac:dyDescent="0.25">
      <c r="A11" s="117"/>
      <c r="B11" s="5" t="s">
        <v>171</v>
      </c>
      <c r="C11" s="5" t="s">
        <v>36</v>
      </c>
      <c r="D11" s="5">
        <v>0</v>
      </c>
      <c r="E11" s="32">
        <f t="shared" si="0"/>
        <v>0</v>
      </c>
      <c r="F11" s="33">
        <f t="shared" si="1"/>
        <v>0</v>
      </c>
      <c r="G11" s="34" t="s">
        <v>172</v>
      </c>
      <c r="H11" s="5" t="s">
        <v>173</v>
      </c>
      <c r="I11" s="5">
        <v>36</v>
      </c>
      <c r="J11" s="32">
        <f t="shared" si="2"/>
        <v>0.20689655172413793</v>
      </c>
      <c r="K11" s="8">
        <f t="shared" si="3"/>
        <v>4562.0689655172409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x14ac:dyDescent="0.25">
      <c r="A12" s="117"/>
      <c r="B12" s="5" t="s">
        <v>817</v>
      </c>
      <c r="C12" s="5" t="s">
        <v>60</v>
      </c>
      <c r="D12" s="5">
        <v>24</v>
      </c>
      <c r="E12" s="32">
        <f t="shared" si="0"/>
        <v>0.2857142857142857</v>
      </c>
      <c r="F12" s="33">
        <f t="shared" si="1"/>
        <v>9000</v>
      </c>
      <c r="G12" s="34" t="s">
        <v>174</v>
      </c>
      <c r="H12" s="5" t="s">
        <v>175</v>
      </c>
      <c r="I12" s="5">
        <v>10</v>
      </c>
      <c r="J12" s="32">
        <f t="shared" si="2"/>
        <v>5.7471264367816091E-2</v>
      </c>
      <c r="K12" s="8">
        <f t="shared" si="3"/>
        <v>1267.2413793103449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x14ac:dyDescent="0.25">
      <c r="A13" s="117"/>
      <c r="B13" s="5"/>
      <c r="C13" s="5"/>
      <c r="D13" s="5"/>
      <c r="E13" s="32"/>
      <c r="F13" s="33"/>
      <c r="G13" s="5" t="s">
        <v>155</v>
      </c>
      <c r="H13" s="5" t="s">
        <v>156</v>
      </c>
      <c r="I13" s="5">
        <v>8</v>
      </c>
      <c r="J13" s="32">
        <f t="shared" si="2"/>
        <v>4.5977011494252873E-2</v>
      </c>
      <c r="K13" s="8">
        <f t="shared" si="3"/>
        <v>1013.7931034482758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x14ac:dyDescent="0.25">
      <c r="A14" s="117"/>
      <c r="B14" s="5"/>
      <c r="C14" s="5"/>
      <c r="D14" s="5"/>
      <c r="E14" s="32"/>
      <c r="F14" s="33"/>
      <c r="G14" s="5" t="s">
        <v>817</v>
      </c>
      <c r="H14" s="5" t="s">
        <v>160</v>
      </c>
      <c r="I14" s="5">
        <v>24</v>
      </c>
      <c r="J14" s="32">
        <f t="shared" si="2"/>
        <v>0.13793103448275862</v>
      </c>
      <c r="K14" s="8">
        <f t="shared" si="3"/>
        <v>3041.3793103448274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x14ac:dyDescent="0.25">
      <c r="A15" s="117"/>
      <c r="B15" s="5"/>
      <c r="C15" s="5"/>
      <c r="D15" s="5"/>
      <c r="E15" s="32"/>
      <c r="F15" s="33"/>
      <c r="G15" s="34" t="s">
        <v>176</v>
      </c>
      <c r="H15" s="5" t="s">
        <v>177</v>
      </c>
      <c r="I15" s="5">
        <v>30</v>
      </c>
      <c r="J15" s="32">
        <f t="shared" si="2"/>
        <v>0.17241379310344829</v>
      </c>
      <c r="K15" s="8">
        <f t="shared" si="3"/>
        <v>3801.7241379310349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x14ac:dyDescent="0.25">
      <c r="A16" s="117"/>
      <c r="B16" s="5"/>
      <c r="C16" s="5"/>
      <c r="D16" s="5"/>
      <c r="E16" s="32"/>
      <c r="F16" s="33"/>
      <c r="G16" s="5" t="s">
        <v>178</v>
      </c>
      <c r="H16" s="5" t="s">
        <v>179</v>
      </c>
      <c r="I16" s="5">
        <v>10</v>
      </c>
      <c r="J16" s="32">
        <f t="shared" si="2"/>
        <v>5.7471264367816091E-2</v>
      </c>
      <c r="K16" s="8">
        <f t="shared" si="3"/>
        <v>1267.2413793103449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x14ac:dyDescent="0.25">
      <c r="A17" s="117"/>
      <c r="B17" s="37"/>
      <c r="C17" s="37"/>
      <c r="D17" s="37">
        <f t="shared" ref="D17:F17" si="4">SUM(D3:D16)</f>
        <v>84</v>
      </c>
      <c r="E17" s="38">
        <f t="shared" si="4"/>
        <v>1</v>
      </c>
      <c r="F17" s="39">
        <f t="shared" si="4"/>
        <v>31500</v>
      </c>
      <c r="G17" s="40"/>
      <c r="H17" s="37"/>
      <c r="I17" s="37">
        <f t="shared" ref="I17:K17" si="5">SUM(I3:I16)</f>
        <v>174</v>
      </c>
      <c r="J17" s="38">
        <f t="shared" si="5"/>
        <v>1</v>
      </c>
      <c r="K17" s="41">
        <f t="shared" si="5"/>
        <v>22050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5">
      <c r="A18" s="20"/>
      <c r="B18" s="20"/>
      <c r="C18" s="20"/>
      <c r="D18" s="20"/>
      <c r="E18" s="42"/>
      <c r="F18" s="24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x14ac:dyDescent="0.25">
      <c r="A19" s="116" t="s">
        <v>180</v>
      </c>
      <c r="B19" s="112" t="s">
        <v>142</v>
      </c>
      <c r="C19" s="113"/>
      <c r="D19" s="114">
        <v>44450</v>
      </c>
      <c r="E19" s="113"/>
      <c r="F19" s="115"/>
      <c r="G19" s="112" t="s">
        <v>143</v>
      </c>
      <c r="H19" s="113"/>
      <c r="I19" s="114">
        <v>49000</v>
      </c>
      <c r="J19" s="113"/>
      <c r="K19" s="115"/>
      <c r="L19" s="112" t="s">
        <v>181</v>
      </c>
      <c r="M19" s="113"/>
      <c r="N19" s="114">
        <v>12250</v>
      </c>
      <c r="O19" s="113"/>
      <c r="P19" s="115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x14ac:dyDescent="0.25">
      <c r="A20" s="117"/>
      <c r="B20" s="26" t="s">
        <v>144</v>
      </c>
      <c r="C20" s="26" t="s">
        <v>145</v>
      </c>
      <c r="D20" s="26" t="s">
        <v>182</v>
      </c>
      <c r="E20" s="27" t="s">
        <v>147</v>
      </c>
      <c r="F20" s="28" t="s">
        <v>148</v>
      </c>
      <c r="G20" s="29" t="s">
        <v>144</v>
      </c>
      <c r="H20" s="26" t="s">
        <v>145</v>
      </c>
      <c r="I20" s="26" t="s">
        <v>182</v>
      </c>
      <c r="J20" s="27" t="s">
        <v>147</v>
      </c>
      <c r="K20" s="30" t="s">
        <v>148</v>
      </c>
      <c r="L20" s="29" t="s">
        <v>144</v>
      </c>
      <c r="M20" s="26" t="s">
        <v>145</v>
      </c>
      <c r="N20" s="26" t="s">
        <v>182</v>
      </c>
      <c r="O20" s="27" t="s">
        <v>147</v>
      </c>
      <c r="P20" s="30" t="s">
        <v>148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5">
      <c r="A21" s="117"/>
      <c r="B21" s="5" t="s">
        <v>159</v>
      </c>
      <c r="C21" s="5" t="s">
        <v>160</v>
      </c>
      <c r="D21" s="5">
        <v>9</v>
      </c>
      <c r="E21" s="32">
        <f t="shared" ref="E21:E25" si="6">(D21/$D$35)</f>
        <v>6.3829787234042548E-2</v>
      </c>
      <c r="F21" s="35">
        <f t="shared" ref="F21:F25" si="7">E21*$D$19</f>
        <v>2837.2340425531911</v>
      </c>
      <c r="G21" s="36" t="s">
        <v>161</v>
      </c>
      <c r="H21" s="5" t="s">
        <v>162</v>
      </c>
      <c r="I21" s="5">
        <v>19</v>
      </c>
      <c r="J21" s="32">
        <f t="shared" ref="J21:J23" si="8">(I21/$I$35)</f>
        <v>0.3392857142857143</v>
      </c>
      <c r="K21" s="8">
        <f t="shared" ref="K21:K23" si="9">J21*$I$19</f>
        <v>16625</v>
      </c>
      <c r="L21" s="36" t="s">
        <v>161</v>
      </c>
      <c r="M21" s="5" t="s">
        <v>162</v>
      </c>
      <c r="N21" s="5">
        <v>13.5</v>
      </c>
      <c r="O21" s="32">
        <f t="shared" ref="O21:O23" si="10">(N21/$N$35)</f>
        <v>0.3</v>
      </c>
      <c r="P21" s="8">
        <f t="shared" ref="P21:P23" si="11">O21*$N$19</f>
        <v>3675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5">
      <c r="A22" s="117"/>
      <c r="B22" s="5" t="s">
        <v>178</v>
      </c>
      <c r="C22" s="5" t="s">
        <v>179</v>
      </c>
      <c r="D22" s="5">
        <v>24</v>
      </c>
      <c r="E22" s="32">
        <f t="shared" si="6"/>
        <v>0.1702127659574468</v>
      </c>
      <c r="F22" s="35">
        <f t="shared" si="7"/>
        <v>7565.9574468085102</v>
      </c>
      <c r="G22" s="36" t="s">
        <v>163</v>
      </c>
      <c r="H22" s="5" t="s">
        <v>53</v>
      </c>
      <c r="I22" s="5">
        <v>28</v>
      </c>
      <c r="J22" s="32">
        <f t="shared" si="8"/>
        <v>0.5</v>
      </c>
      <c r="K22" s="8">
        <f t="shared" si="9"/>
        <v>24500</v>
      </c>
      <c r="L22" s="36" t="s">
        <v>163</v>
      </c>
      <c r="M22" s="5" t="s">
        <v>53</v>
      </c>
      <c r="N22" s="5">
        <v>13.5</v>
      </c>
      <c r="O22" s="32">
        <f t="shared" si="10"/>
        <v>0.3</v>
      </c>
      <c r="P22" s="8">
        <f t="shared" si="11"/>
        <v>3675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5">
      <c r="A23" s="117"/>
      <c r="B23" s="5" t="s">
        <v>164</v>
      </c>
      <c r="C23" s="5" t="s">
        <v>165</v>
      </c>
      <c r="D23" s="5">
        <v>36</v>
      </c>
      <c r="E23" s="32">
        <f t="shared" si="6"/>
        <v>0.25531914893617019</v>
      </c>
      <c r="F23" s="35">
        <f t="shared" si="7"/>
        <v>11348.936170212764</v>
      </c>
      <c r="G23" s="36" t="s">
        <v>159</v>
      </c>
      <c r="H23" s="5" t="s">
        <v>160</v>
      </c>
      <c r="I23" s="5">
        <v>9</v>
      </c>
      <c r="J23" s="32">
        <f t="shared" si="8"/>
        <v>0.16071428571428573</v>
      </c>
      <c r="K23" s="8">
        <f t="shared" si="9"/>
        <v>7875.0000000000009</v>
      </c>
      <c r="L23" s="43" t="s">
        <v>168</v>
      </c>
      <c r="M23" s="43" t="s">
        <v>169</v>
      </c>
      <c r="N23" s="5">
        <v>18</v>
      </c>
      <c r="O23" s="32">
        <f t="shared" si="10"/>
        <v>0.4</v>
      </c>
      <c r="P23" s="8">
        <f t="shared" si="11"/>
        <v>4900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5">
      <c r="A24" s="117"/>
      <c r="B24" s="5" t="s">
        <v>166</v>
      </c>
      <c r="C24" s="5" t="s">
        <v>86</v>
      </c>
      <c r="D24" s="5">
        <v>36</v>
      </c>
      <c r="E24" s="32">
        <f t="shared" si="6"/>
        <v>0.25531914893617019</v>
      </c>
      <c r="F24" s="35">
        <f t="shared" si="7"/>
        <v>11348.936170212764</v>
      </c>
      <c r="G24" s="36"/>
      <c r="H24" s="5"/>
      <c r="I24" s="5"/>
      <c r="J24" s="32"/>
      <c r="K24" s="8"/>
      <c r="L24" s="5"/>
      <c r="M24" s="43"/>
      <c r="N24" s="5"/>
      <c r="O24" s="32"/>
      <c r="P24" s="8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5">
      <c r="A25" s="117"/>
      <c r="B25" s="43" t="s">
        <v>168</v>
      </c>
      <c r="C25" s="43" t="s">
        <v>169</v>
      </c>
      <c r="D25" s="43">
        <v>36</v>
      </c>
      <c r="E25" s="32">
        <f t="shared" si="6"/>
        <v>0.25531914893617019</v>
      </c>
      <c r="F25" s="35">
        <f t="shared" si="7"/>
        <v>11348.936170212764</v>
      </c>
      <c r="G25" s="36"/>
      <c r="H25" s="5"/>
      <c r="I25" s="5"/>
      <c r="J25" s="32"/>
      <c r="K25" s="8"/>
      <c r="L25" s="36"/>
      <c r="M25" s="5"/>
      <c r="N25" s="5"/>
      <c r="O25" s="32"/>
      <c r="P25" s="8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5">
      <c r="A26" s="117"/>
      <c r="B26" s="5"/>
      <c r="C26" s="5"/>
      <c r="D26" s="5"/>
      <c r="E26" s="32"/>
      <c r="F26" s="35"/>
      <c r="G26" s="36"/>
      <c r="H26" s="5"/>
      <c r="I26" s="5"/>
      <c r="J26" s="32"/>
      <c r="K26" s="8"/>
      <c r="L26" s="36"/>
      <c r="M26" s="5"/>
      <c r="N26" s="5"/>
      <c r="O26" s="32"/>
      <c r="P26" s="8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5">
      <c r="A27" s="117"/>
      <c r="B27" s="5"/>
      <c r="C27" s="5"/>
      <c r="D27" s="5"/>
      <c r="E27" s="32"/>
      <c r="F27" s="35"/>
      <c r="G27" s="36"/>
      <c r="H27" s="5"/>
      <c r="I27" s="5"/>
      <c r="J27" s="32"/>
      <c r="K27" s="8"/>
      <c r="L27" s="36"/>
      <c r="M27" s="5"/>
      <c r="N27" s="5"/>
      <c r="O27" s="32"/>
      <c r="P27" s="8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5">
      <c r="A28" s="117"/>
      <c r="B28" s="5"/>
      <c r="C28" s="5"/>
      <c r="D28" s="5"/>
      <c r="E28" s="32"/>
      <c r="F28" s="35"/>
      <c r="G28" s="36"/>
      <c r="H28" s="5"/>
      <c r="I28" s="5"/>
      <c r="J28" s="32"/>
      <c r="K28" s="8"/>
      <c r="L28" s="36"/>
      <c r="M28" s="5"/>
      <c r="N28" s="5"/>
      <c r="O28" s="32"/>
      <c r="P28" s="8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5">
      <c r="A29" s="117"/>
      <c r="B29" s="5"/>
      <c r="C29" s="5"/>
      <c r="D29" s="5"/>
      <c r="E29" s="32"/>
      <c r="F29" s="35"/>
      <c r="G29" s="36"/>
      <c r="H29" s="5"/>
      <c r="I29" s="5"/>
      <c r="J29" s="32"/>
      <c r="K29" s="8"/>
      <c r="L29" s="36"/>
      <c r="M29" s="5"/>
      <c r="N29" s="5"/>
      <c r="O29" s="32"/>
      <c r="P29" s="8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5">
      <c r="A30" s="117"/>
      <c r="B30" s="5"/>
      <c r="C30" s="5"/>
      <c r="D30" s="5"/>
      <c r="E30" s="32"/>
      <c r="F30" s="35"/>
      <c r="G30" s="36"/>
      <c r="H30" s="5"/>
      <c r="I30" s="5"/>
      <c r="J30" s="32"/>
      <c r="K30" s="8"/>
      <c r="L30" s="36"/>
      <c r="M30" s="5"/>
      <c r="N30" s="5"/>
      <c r="O30" s="32"/>
      <c r="P30" s="8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5">
      <c r="A31" s="117"/>
      <c r="B31" s="5"/>
      <c r="C31" s="5"/>
      <c r="D31" s="5"/>
      <c r="E31" s="32"/>
      <c r="F31" s="33"/>
      <c r="G31" s="34"/>
      <c r="H31" s="5"/>
      <c r="I31" s="5"/>
      <c r="J31" s="32"/>
      <c r="K31" s="8"/>
      <c r="L31" s="34"/>
      <c r="M31" s="5"/>
      <c r="N31" s="5"/>
      <c r="O31" s="32"/>
      <c r="P31" s="8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5">
      <c r="A32" s="117"/>
      <c r="B32" s="5"/>
      <c r="C32" s="5"/>
      <c r="D32" s="5"/>
      <c r="E32" s="32"/>
      <c r="F32" s="35"/>
      <c r="G32" s="36"/>
      <c r="H32" s="5"/>
      <c r="I32" s="5"/>
      <c r="J32" s="32"/>
      <c r="K32" s="8"/>
      <c r="L32" s="36"/>
      <c r="M32" s="5"/>
      <c r="N32" s="5"/>
      <c r="O32" s="32"/>
      <c r="P32" s="8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5">
      <c r="A33" s="117"/>
      <c r="B33" s="5"/>
      <c r="C33" s="5"/>
      <c r="D33" s="5"/>
      <c r="E33" s="32"/>
      <c r="F33" s="35"/>
      <c r="G33" s="36"/>
      <c r="H33" s="5"/>
      <c r="I33" s="5"/>
      <c r="J33" s="32"/>
      <c r="K33" s="8"/>
      <c r="L33" s="36"/>
      <c r="M33" s="5"/>
      <c r="N33" s="5"/>
      <c r="O33" s="32"/>
      <c r="P33" s="8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5">
      <c r="A34" s="117"/>
      <c r="B34" s="5"/>
      <c r="C34" s="5"/>
      <c r="D34" s="5"/>
      <c r="E34" s="32"/>
      <c r="F34" s="33"/>
      <c r="G34" s="34"/>
      <c r="H34" s="5"/>
      <c r="I34" s="5"/>
      <c r="J34" s="32"/>
      <c r="K34" s="8"/>
      <c r="L34" s="34"/>
      <c r="M34" s="5"/>
      <c r="N34" s="5"/>
      <c r="O34" s="32"/>
      <c r="P34" s="8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5">
      <c r="A35" s="117"/>
      <c r="B35" s="37"/>
      <c r="C35" s="37"/>
      <c r="D35" s="37">
        <f t="shared" ref="D35:F35" si="12">SUM(D21:D34)</f>
        <v>141</v>
      </c>
      <c r="E35" s="38">
        <f t="shared" si="12"/>
        <v>1</v>
      </c>
      <c r="F35" s="39">
        <f t="shared" si="12"/>
        <v>44449.999999999993</v>
      </c>
      <c r="G35" s="40"/>
      <c r="H35" s="37"/>
      <c r="I35" s="37">
        <f t="shared" ref="I35:K35" si="13">SUM(I21:I34)</f>
        <v>56</v>
      </c>
      <c r="J35" s="38">
        <f t="shared" si="13"/>
        <v>1</v>
      </c>
      <c r="K35" s="41">
        <f t="shared" si="13"/>
        <v>49000</v>
      </c>
      <c r="L35" s="40"/>
      <c r="M35" s="37"/>
      <c r="N35" s="37">
        <f t="shared" ref="N35:P35" si="14">SUM(N21:N34)</f>
        <v>45</v>
      </c>
      <c r="O35" s="38">
        <f t="shared" si="14"/>
        <v>1</v>
      </c>
      <c r="P35" s="41">
        <f t="shared" si="14"/>
        <v>12250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5">
      <c r="A36" s="20"/>
      <c r="B36" s="20"/>
      <c r="C36" s="20"/>
      <c r="D36" s="20"/>
      <c r="E36" s="42"/>
      <c r="F36" s="24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5">
      <c r="A37" s="116" t="s">
        <v>183</v>
      </c>
      <c r="B37" s="112" t="s">
        <v>142</v>
      </c>
      <c r="C37" s="113"/>
      <c r="D37" s="114">
        <v>44100</v>
      </c>
      <c r="E37" s="113"/>
      <c r="F37" s="115"/>
      <c r="G37" s="112" t="s">
        <v>143</v>
      </c>
      <c r="H37" s="113"/>
      <c r="I37" s="114">
        <v>28000</v>
      </c>
      <c r="J37" s="113"/>
      <c r="K37" s="115"/>
      <c r="L37" s="112" t="s">
        <v>181</v>
      </c>
      <c r="M37" s="113"/>
      <c r="N37" s="114">
        <v>2450</v>
      </c>
      <c r="O37" s="113"/>
      <c r="P37" s="115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5">
      <c r="A38" s="117"/>
      <c r="B38" s="26" t="s">
        <v>144</v>
      </c>
      <c r="C38" s="26" t="s">
        <v>145</v>
      </c>
      <c r="D38" s="26" t="s">
        <v>184</v>
      </c>
      <c r="E38" s="27" t="s">
        <v>147</v>
      </c>
      <c r="F38" s="28" t="s">
        <v>148</v>
      </c>
      <c r="G38" s="29" t="s">
        <v>144</v>
      </c>
      <c r="H38" s="26" t="s">
        <v>145</v>
      </c>
      <c r="I38" s="26" t="s">
        <v>184</v>
      </c>
      <c r="J38" s="27" t="s">
        <v>147</v>
      </c>
      <c r="K38" s="30" t="s">
        <v>148</v>
      </c>
      <c r="L38" s="29" t="s">
        <v>144</v>
      </c>
      <c r="M38" s="26" t="s">
        <v>145</v>
      </c>
      <c r="N38" s="26" t="s">
        <v>184</v>
      </c>
      <c r="O38" s="27" t="s">
        <v>147</v>
      </c>
      <c r="P38" s="30" t="s">
        <v>148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5">
      <c r="A39" s="117"/>
      <c r="B39" s="5" t="s">
        <v>159</v>
      </c>
      <c r="C39" s="5" t="s">
        <v>160</v>
      </c>
      <c r="D39" s="5">
        <v>1</v>
      </c>
      <c r="E39" s="32">
        <f t="shared" ref="E39:E43" si="15">(D39/$D$53)</f>
        <v>5.8823529411764705E-2</v>
      </c>
      <c r="F39" s="35">
        <f t="shared" ref="F39:F43" si="16">E39*$D$37</f>
        <v>2594.1176470588234</v>
      </c>
      <c r="G39" s="36" t="s">
        <v>161</v>
      </c>
      <c r="H39" s="5" t="s">
        <v>162</v>
      </c>
      <c r="I39" s="5">
        <v>3</v>
      </c>
      <c r="J39" s="32">
        <f t="shared" ref="J39:J41" si="17">(I39/$I$53)</f>
        <v>0.42857142857142855</v>
      </c>
      <c r="K39" s="8">
        <f t="shared" ref="K39:K41" si="18">J39*$I$37</f>
        <v>12000</v>
      </c>
      <c r="L39" s="36" t="s">
        <v>161</v>
      </c>
      <c r="M39" s="5" t="s">
        <v>162</v>
      </c>
      <c r="N39" s="5">
        <v>2</v>
      </c>
      <c r="O39" s="32">
        <f t="shared" ref="O39:O40" si="19">(N39/$N$53)</f>
        <v>0.5</v>
      </c>
      <c r="P39" s="8">
        <f t="shared" ref="P39:P40" si="20">O39*$N$37</f>
        <v>1225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5">
      <c r="A40" s="117"/>
      <c r="B40" s="5" t="s">
        <v>178</v>
      </c>
      <c r="C40" s="5" t="s">
        <v>179</v>
      </c>
      <c r="D40" s="5">
        <v>4</v>
      </c>
      <c r="E40" s="32">
        <f t="shared" si="15"/>
        <v>0.23529411764705882</v>
      </c>
      <c r="F40" s="35">
        <f t="shared" si="16"/>
        <v>10376.470588235294</v>
      </c>
      <c r="G40" s="36" t="s">
        <v>163</v>
      </c>
      <c r="H40" s="5" t="s">
        <v>53</v>
      </c>
      <c r="I40" s="5">
        <v>3</v>
      </c>
      <c r="J40" s="32">
        <f t="shared" si="17"/>
        <v>0.42857142857142855</v>
      </c>
      <c r="K40" s="8">
        <f t="shared" si="18"/>
        <v>12000</v>
      </c>
      <c r="L40" s="36" t="s">
        <v>163</v>
      </c>
      <c r="M40" s="5" t="s">
        <v>53</v>
      </c>
      <c r="N40" s="5">
        <v>2</v>
      </c>
      <c r="O40" s="32">
        <f t="shared" si="19"/>
        <v>0.5</v>
      </c>
      <c r="P40" s="8">
        <f t="shared" si="20"/>
        <v>1225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5">
      <c r="A41" s="117"/>
      <c r="B41" s="5" t="s">
        <v>164</v>
      </c>
      <c r="C41" s="5" t="s">
        <v>165</v>
      </c>
      <c r="D41" s="5">
        <v>4</v>
      </c>
      <c r="E41" s="32">
        <f t="shared" si="15"/>
        <v>0.23529411764705882</v>
      </c>
      <c r="F41" s="35">
        <f t="shared" si="16"/>
        <v>10376.470588235294</v>
      </c>
      <c r="G41" s="36" t="s">
        <v>159</v>
      </c>
      <c r="H41" s="5" t="s">
        <v>160</v>
      </c>
      <c r="I41" s="5">
        <v>1</v>
      </c>
      <c r="J41" s="32">
        <f t="shared" si="17"/>
        <v>0.14285714285714285</v>
      </c>
      <c r="K41" s="8">
        <f t="shared" si="18"/>
        <v>4000</v>
      </c>
      <c r="L41" s="5"/>
      <c r="M41" s="5"/>
      <c r="N41" s="5"/>
      <c r="O41" s="32"/>
      <c r="P41" s="8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5">
      <c r="A42" s="117"/>
      <c r="B42" s="5" t="s">
        <v>166</v>
      </c>
      <c r="C42" s="5" t="s">
        <v>86</v>
      </c>
      <c r="D42" s="5">
        <v>4</v>
      </c>
      <c r="E42" s="32">
        <f t="shared" si="15"/>
        <v>0.23529411764705882</v>
      </c>
      <c r="F42" s="35">
        <f t="shared" si="16"/>
        <v>10376.470588235294</v>
      </c>
      <c r="G42" s="36"/>
      <c r="H42" s="5"/>
      <c r="I42" s="5"/>
      <c r="J42" s="32"/>
      <c r="K42" s="8"/>
      <c r="L42" s="5"/>
      <c r="M42" s="43"/>
      <c r="N42" s="5"/>
      <c r="O42" s="32"/>
      <c r="P42" s="8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5">
      <c r="A43" s="117"/>
      <c r="B43" s="43" t="s">
        <v>149</v>
      </c>
      <c r="C43" s="43" t="s">
        <v>81</v>
      </c>
      <c r="D43" s="5">
        <v>4</v>
      </c>
      <c r="E43" s="32">
        <f t="shared" si="15"/>
        <v>0.23529411764705882</v>
      </c>
      <c r="F43" s="35">
        <f t="shared" si="16"/>
        <v>10376.470588235294</v>
      </c>
      <c r="G43" s="36"/>
      <c r="H43" s="5"/>
      <c r="I43" s="5"/>
      <c r="J43" s="32"/>
      <c r="K43" s="8"/>
      <c r="L43" s="36"/>
      <c r="M43" s="5"/>
      <c r="N43" s="5"/>
      <c r="O43" s="32"/>
      <c r="P43" s="8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117"/>
      <c r="B44" s="5"/>
      <c r="C44" s="5"/>
      <c r="D44" s="5"/>
      <c r="E44" s="32"/>
      <c r="F44" s="35"/>
      <c r="G44" s="36"/>
      <c r="H44" s="5"/>
      <c r="I44" s="5"/>
      <c r="J44" s="32"/>
      <c r="K44" s="8"/>
      <c r="L44" s="36"/>
      <c r="M44" s="5"/>
      <c r="N44" s="5"/>
      <c r="O44" s="32"/>
      <c r="P44" s="8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5">
      <c r="A45" s="117"/>
      <c r="B45" s="5"/>
      <c r="C45" s="5"/>
      <c r="D45" s="5"/>
      <c r="E45" s="32"/>
      <c r="F45" s="35"/>
      <c r="G45" s="36"/>
      <c r="H45" s="5"/>
      <c r="I45" s="5"/>
      <c r="J45" s="32"/>
      <c r="K45" s="8"/>
      <c r="L45" s="36"/>
      <c r="M45" s="5"/>
      <c r="N45" s="5"/>
      <c r="O45" s="32"/>
      <c r="P45" s="8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5">
      <c r="A46" s="117"/>
      <c r="B46" s="5"/>
      <c r="C46" s="5"/>
      <c r="D46" s="5"/>
      <c r="E46" s="32"/>
      <c r="F46" s="35"/>
      <c r="G46" s="36"/>
      <c r="H46" s="5"/>
      <c r="I46" s="5"/>
      <c r="J46" s="32"/>
      <c r="K46" s="8"/>
      <c r="L46" s="36"/>
      <c r="M46" s="5"/>
      <c r="N46" s="5"/>
      <c r="O46" s="32"/>
      <c r="P46" s="8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5">
      <c r="A47" s="117"/>
      <c r="B47" s="5"/>
      <c r="C47" s="5"/>
      <c r="D47" s="5"/>
      <c r="E47" s="32"/>
      <c r="F47" s="35"/>
      <c r="G47" s="36"/>
      <c r="H47" s="5"/>
      <c r="I47" s="5"/>
      <c r="J47" s="32"/>
      <c r="K47" s="8"/>
      <c r="L47" s="36"/>
      <c r="M47" s="5"/>
      <c r="N47" s="5"/>
      <c r="O47" s="32"/>
      <c r="P47" s="8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5">
      <c r="A48" s="117"/>
      <c r="B48" s="5"/>
      <c r="C48" s="5"/>
      <c r="D48" s="5"/>
      <c r="E48" s="32"/>
      <c r="F48" s="35"/>
      <c r="G48" s="36"/>
      <c r="H48" s="5"/>
      <c r="I48" s="5"/>
      <c r="J48" s="32"/>
      <c r="K48" s="8"/>
      <c r="L48" s="36"/>
      <c r="M48" s="5"/>
      <c r="N48" s="5"/>
      <c r="O48" s="32"/>
      <c r="P48" s="8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5">
      <c r="A49" s="117"/>
      <c r="B49" s="5"/>
      <c r="C49" s="5"/>
      <c r="D49" s="5"/>
      <c r="E49" s="32"/>
      <c r="F49" s="33"/>
      <c r="G49" s="34"/>
      <c r="H49" s="5"/>
      <c r="I49" s="5"/>
      <c r="J49" s="32"/>
      <c r="K49" s="8"/>
      <c r="L49" s="34"/>
      <c r="M49" s="5"/>
      <c r="N49" s="5"/>
      <c r="O49" s="32"/>
      <c r="P49" s="8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5">
      <c r="A50" s="117"/>
      <c r="B50" s="5"/>
      <c r="C50" s="5"/>
      <c r="D50" s="5"/>
      <c r="E50" s="32"/>
      <c r="F50" s="35"/>
      <c r="G50" s="36"/>
      <c r="H50" s="5"/>
      <c r="I50" s="5"/>
      <c r="J50" s="32"/>
      <c r="K50" s="8"/>
      <c r="L50" s="36"/>
      <c r="M50" s="5"/>
      <c r="N50" s="5"/>
      <c r="O50" s="32"/>
      <c r="P50" s="8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117"/>
      <c r="B51" s="5"/>
      <c r="C51" s="5"/>
      <c r="D51" s="5"/>
      <c r="E51" s="32"/>
      <c r="F51" s="35"/>
      <c r="G51" s="36"/>
      <c r="H51" s="5"/>
      <c r="I51" s="5"/>
      <c r="J51" s="32"/>
      <c r="K51" s="8"/>
      <c r="L51" s="36"/>
      <c r="M51" s="5"/>
      <c r="N51" s="5"/>
      <c r="O51" s="32"/>
      <c r="P51" s="8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117"/>
      <c r="B52" s="5"/>
      <c r="C52" s="5"/>
      <c r="D52" s="5"/>
      <c r="E52" s="32"/>
      <c r="F52" s="33"/>
      <c r="G52" s="34"/>
      <c r="H52" s="5"/>
      <c r="I52" s="5"/>
      <c r="J52" s="32"/>
      <c r="K52" s="8"/>
      <c r="L52" s="34"/>
      <c r="M52" s="5"/>
      <c r="N52" s="5"/>
      <c r="O52" s="32"/>
      <c r="P52" s="8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5">
      <c r="A53" s="117"/>
      <c r="B53" s="37"/>
      <c r="C53" s="37"/>
      <c r="D53" s="37">
        <f t="shared" ref="D53:F53" si="21">SUM(D39:D52)</f>
        <v>17</v>
      </c>
      <c r="E53" s="38">
        <f t="shared" si="21"/>
        <v>1</v>
      </c>
      <c r="F53" s="39">
        <f t="shared" si="21"/>
        <v>44100</v>
      </c>
      <c r="G53" s="40"/>
      <c r="H53" s="37"/>
      <c r="I53" s="37">
        <f t="shared" ref="I53:K53" si="22">SUM(I39:I52)</f>
        <v>7</v>
      </c>
      <c r="J53" s="38">
        <f t="shared" si="22"/>
        <v>1</v>
      </c>
      <c r="K53" s="41">
        <f t="shared" si="22"/>
        <v>28000</v>
      </c>
      <c r="L53" s="40"/>
      <c r="M53" s="37"/>
      <c r="N53" s="37">
        <f t="shared" ref="N53:P53" si="23">SUM(N39:N52)</f>
        <v>4</v>
      </c>
      <c r="O53" s="38">
        <f t="shared" si="23"/>
        <v>1</v>
      </c>
      <c r="P53" s="41">
        <f t="shared" si="23"/>
        <v>2450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5">
      <c r="A54" s="20"/>
      <c r="B54" s="20"/>
      <c r="C54" s="20"/>
      <c r="D54" s="20"/>
      <c r="E54" s="42"/>
      <c r="F54" s="24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5">
      <c r="A55" s="20"/>
      <c r="B55" s="20"/>
      <c r="C55" s="20"/>
      <c r="D55" s="20"/>
      <c r="E55" s="42"/>
      <c r="F55" s="24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5">
      <c r="A56" s="20"/>
      <c r="B56" s="20"/>
      <c r="C56" s="20"/>
      <c r="D56" s="20"/>
      <c r="E56" s="42"/>
      <c r="F56" s="24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5">
      <c r="A57" s="20"/>
      <c r="B57" s="20"/>
      <c r="C57" s="20"/>
      <c r="D57" s="20"/>
      <c r="E57" s="42"/>
      <c r="F57" s="24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5">
      <c r="A58" s="20"/>
      <c r="B58" s="20"/>
      <c r="C58" s="20"/>
      <c r="D58" s="20"/>
      <c r="E58" s="42"/>
      <c r="F58" s="24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5">
      <c r="A59" s="20"/>
      <c r="B59" s="20"/>
      <c r="C59" s="20"/>
      <c r="D59" s="20"/>
      <c r="E59" s="42"/>
      <c r="F59" s="24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5">
      <c r="A60" s="20"/>
      <c r="B60" s="20"/>
      <c r="C60" s="20"/>
      <c r="D60" s="20"/>
      <c r="E60" s="42"/>
      <c r="F60" s="24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5">
      <c r="A61" s="20"/>
      <c r="B61" s="20"/>
      <c r="C61" s="20"/>
      <c r="D61" s="20"/>
      <c r="E61" s="42"/>
      <c r="F61" s="24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5">
      <c r="A62" s="20"/>
      <c r="B62" s="20"/>
      <c r="C62" s="20"/>
      <c r="D62" s="20"/>
      <c r="E62" s="42"/>
      <c r="F62" s="24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5">
      <c r="A63" s="20"/>
      <c r="B63" s="20"/>
      <c r="C63" s="20"/>
      <c r="D63" s="20"/>
      <c r="E63" s="42"/>
      <c r="F63" s="24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5">
      <c r="A64" s="20"/>
      <c r="B64" s="20"/>
      <c r="C64" s="20"/>
      <c r="D64" s="20"/>
      <c r="E64" s="42"/>
      <c r="F64" s="24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5">
      <c r="A65" s="20"/>
      <c r="B65" s="20"/>
      <c r="C65" s="20"/>
      <c r="D65" s="20"/>
      <c r="E65" s="42"/>
      <c r="F65" s="2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5">
      <c r="A66" s="20"/>
      <c r="B66" s="20"/>
      <c r="C66" s="20"/>
      <c r="D66" s="20"/>
      <c r="E66" s="42"/>
      <c r="F66" s="24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5">
      <c r="A67" s="20"/>
      <c r="B67" s="20"/>
      <c r="C67" s="20"/>
      <c r="D67" s="20"/>
      <c r="E67" s="42"/>
      <c r="F67" s="24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5">
      <c r="A68" s="20"/>
      <c r="B68" s="20"/>
      <c r="C68" s="20"/>
      <c r="D68" s="20"/>
      <c r="E68" s="42"/>
      <c r="F68" s="24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5">
      <c r="A69" s="20"/>
      <c r="B69" s="20"/>
      <c r="C69" s="20"/>
      <c r="D69" s="20"/>
      <c r="E69" s="42"/>
      <c r="F69" s="24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5">
      <c r="A70" s="20"/>
      <c r="B70" s="20"/>
      <c r="C70" s="20"/>
      <c r="D70" s="20"/>
      <c r="E70" s="42"/>
      <c r="F70" s="24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5">
      <c r="A71" s="20"/>
      <c r="B71" s="20"/>
      <c r="C71" s="20"/>
      <c r="D71" s="20"/>
      <c r="E71" s="42"/>
      <c r="F71" s="24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5">
      <c r="A72" s="20"/>
      <c r="B72" s="20"/>
      <c r="C72" s="20"/>
      <c r="D72" s="20"/>
      <c r="E72" s="42"/>
      <c r="F72" s="24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5">
      <c r="A73" s="20"/>
      <c r="B73" s="20"/>
      <c r="C73" s="20"/>
      <c r="D73" s="20"/>
      <c r="E73" s="42"/>
      <c r="F73" s="2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5">
      <c r="A74" s="20"/>
      <c r="B74" s="20"/>
      <c r="C74" s="20"/>
      <c r="D74" s="20"/>
      <c r="E74" s="42"/>
      <c r="F74" s="24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5">
      <c r="A75" s="20"/>
      <c r="B75" s="20"/>
      <c r="C75" s="20"/>
      <c r="D75" s="20"/>
      <c r="E75" s="42"/>
      <c r="F75" s="24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5">
      <c r="A76" s="20"/>
      <c r="B76" s="20"/>
      <c r="C76" s="20"/>
      <c r="D76" s="20"/>
      <c r="E76" s="42"/>
      <c r="F76" s="24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5">
      <c r="A77" s="20"/>
      <c r="B77" s="20"/>
      <c r="C77" s="20"/>
      <c r="D77" s="20"/>
      <c r="E77" s="42"/>
      <c r="F77" s="24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5">
      <c r="A78" s="20"/>
      <c r="B78" s="20"/>
      <c r="C78" s="20"/>
      <c r="D78" s="20"/>
      <c r="E78" s="42"/>
      <c r="F78" s="24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5">
      <c r="A79" s="20"/>
      <c r="B79" s="20"/>
      <c r="C79" s="20"/>
      <c r="D79" s="20"/>
      <c r="E79" s="42"/>
      <c r="F79" s="24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5">
      <c r="A80" s="20"/>
      <c r="B80" s="20"/>
      <c r="C80" s="20"/>
      <c r="D80" s="20"/>
      <c r="E80" s="42"/>
      <c r="F80" s="24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5">
      <c r="A81" s="20"/>
      <c r="B81" s="20"/>
      <c r="C81" s="20"/>
      <c r="D81" s="20"/>
      <c r="E81" s="42"/>
      <c r="F81" s="24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5">
      <c r="A82" s="20"/>
      <c r="B82" s="20"/>
      <c r="C82" s="20"/>
      <c r="D82" s="20"/>
      <c r="E82" s="42"/>
      <c r="F82" s="24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5">
      <c r="A83" s="20"/>
      <c r="B83" s="20"/>
      <c r="C83" s="20"/>
      <c r="D83" s="20"/>
      <c r="E83" s="42"/>
      <c r="F83" s="24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5">
      <c r="A84" s="20"/>
      <c r="B84" s="20"/>
      <c r="C84" s="20"/>
      <c r="D84" s="20"/>
      <c r="E84" s="42"/>
      <c r="F84" s="24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5">
      <c r="A85" s="20"/>
      <c r="B85" s="20"/>
      <c r="C85" s="20"/>
      <c r="D85" s="20"/>
      <c r="E85" s="42"/>
      <c r="F85" s="24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5">
      <c r="A86" s="20"/>
      <c r="B86" s="20"/>
      <c r="C86" s="20"/>
      <c r="D86" s="20"/>
      <c r="E86" s="42"/>
      <c r="F86" s="24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5">
      <c r="A87" s="20"/>
      <c r="B87" s="20"/>
      <c r="C87" s="20"/>
      <c r="D87" s="20"/>
      <c r="E87" s="42"/>
      <c r="F87" s="24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5">
      <c r="A88" s="20"/>
      <c r="B88" s="20"/>
      <c r="C88" s="20"/>
      <c r="D88" s="20"/>
      <c r="E88" s="42"/>
      <c r="F88" s="24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5">
      <c r="A89" s="20"/>
      <c r="B89" s="20"/>
      <c r="C89" s="20"/>
      <c r="D89" s="20"/>
      <c r="E89" s="42"/>
      <c r="F89" s="24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5">
      <c r="A90" s="20"/>
      <c r="B90" s="20"/>
      <c r="C90" s="20"/>
      <c r="D90" s="20"/>
      <c r="E90" s="42"/>
      <c r="F90" s="2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5">
      <c r="A91" s="20"/>
      <c r="B91" s="20"/>
      <c r="C91" s="20"/>
      <c r="D91" s="20"/>
      <c r="E91" s="42"/>
      <c r="F91" s="2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5">
      <c r="A92" s="20"/>
      <c r="B92" s="20"/>
      <c r="C92" s="20"/>
      <c r="D92" s="20"/>
      <c r="E92" s="42"/>
      <c r="F92" s="2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5">
      <c r="A93" s="20"/>
      <c r="B93" s="20"/>
      <c r="C93" s="20"/>
      <c r="D93" s="20"/>
      <c r="E93" s="42"/>
      <c r="F93" s="2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5">
      <c r="A94" s="20"/>
      <c r="B94" s="20"/>
      <c r="C94" s="20"/>
      <c r="D94" s="20"/>
      <c r="E94" s="42"/>
      <c r="F94" s="24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5">
      <c r="A95" s="20"/>
      <c r="B95" s="20"/>
      <c r="C95" s="20"/>
      <c r="D95" s="20"/>
      <c r="E95" s="42"/>
      <c r="F95" s="2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5">
      <c r="A96" s="20"/>
      <c r="B96" s="20"/>
      <c r="C96" s="20"/>
      <c r="D96" s="20"/>
      <c r="E96" s="42"/>
      <c r="F96" s="24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5">
      <c r="A97" s="20"/>
      <c r="B97" s="20"/>
      <c r="C97" s="20"/>
      <c r="D97" s="20"/>
      <c r="E97" s="42"/>
      <c r="F97" s="24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5">
      <c r="A98" s="20"/>
      <c r="B98" s="20"/>
      <c r="C98" s="20"/>
      <c r="D98" s="20"/>
      <c r="E98" s="42"/>
      <c r="F98" s="2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5">
      <c r="A99" s="20"/>
      <c r="B99" s="20"/>
      <c r="C99" s="20"/>
      <c r="D99" s="20"/>
      <c r="E99" s="42"/>
      <c r="F99" s="2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5">
      <c r="A100" s="20"/>
      <c r="B100" s="20"/>
      <c r="C100" s="20"/>
      <c r="D100" s="20"/>
      <c r="E100" s="42"/>
      <c r="F100" s="2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5">
      <c r="A101" s="20"/>
      <c r="B101" s="20"/>
      <c r="C101" s="20"/>
      <c r="D101" s="20"/>
      <c r="E101" s="42"/>
      <c r="F101" s="24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5">
      <c r="A102" s="20"/>
      <c r="B102" s="20"/>
      <c r="C102" s="20"/>
      <c r="D102" s="20"/>
      <c r="E102" s="42"/>
      <c r="F102" s="2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5">
      <c r="A103" s="20"/>
      <c r="B103" s="20"/>
      <c r="C103" s="20"/>
      <c r="D103" s="20"/>
      <c r="E103" s="42"/>
      <c r="F103" s="24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5">
      <c r="A104" s="20"/>
      <c r="B104" s="20"/>
      <c r="C104" s="20"/>
      <c r="D104" s="20"/>
      <c r="E104" s="42"/>
      <c r="F104" s="24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5">
      <c r="A105" s="20"/>
      <c r="B105" s="20"/>
      <c r="C105" s="20"/>
      <c r="D105" s="20"/>
      <c r="E105" s="42"/>
      <c r="F105" s="24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5">
      <c r="A106" s="20"/>
      <c r="B106" s="20"/>
      <c r="C106" s="20"/>
      <c r="D106" s="20"/>
      <c r="E106" s="42"/>
      <c r="F106" s="24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5">
      <c r="A107" s="20"/>
      <c r="B107" s="20"/>
      <c r="C107" s="20"/>
      <c r="D107" s="20"/>
      <c r="E107" s="42"/>
      <c r="F107" s="24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5">
      <c r="A108" s="20"/>
      <c r="B108" s="20"/>
      <c r="C108" s="20"/>
      <c r="D108" s="20"/>
      <c r="E108" s="42"/>
      <c r="F108" s="24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5">
      <c r="A109" s="20"/>
      <c r="B109" s="20"/>
      <c r="C109" s="20"/>
      <c r="D109" s="20"/>
      <c r="E109" s="42"/>
      <c r="F109" s="24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5">
      <c r="A110" s="20"/>
      <c r="B110" s="20"/>
      <c r="C110" s="20"/>
      <c r="D110" s="20"/>
      <c r="E110" s="42"/>
      <c r="F110" s="24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5">
      <c r="A111" s="20"/>
      <c r="B111" s="20"/>
      <c r="C111" s="20"/>
      <c r="D111" s="20"/>
      <c r="E111" s="42"/>
      <c r="F111" s="24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5">
      <c r="A112" s="20"/>
      <c r="B112" s="20"/>
      <c r="C112" s="20"/>
      <c r="D112" s="20"/>
      <c r="E112" s="42"/>
      <c r="F112" s="24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5">
      <c r="A113" s="20"/>
      <c r="B113" s="20"/>
      <c r="C113" s="20"/>
      <c r="D113" s="20"/>
      <c r="E113" s="42"/>
      <c r="F113" s="24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5">
      <c r="A114" s="20"/>
      <c r="B114" s="20"/>
      <c r="C114" s="20"/>
      <c r="D114" s="20"/>
      <c r="E114" s="42"/>
      <c r="F114" s="24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5">
      <c r="A115" s="20"/>
      <c r="B115" s="20"/>
      <c r="C115" s="20"/>
      <c r="D115" s="20"/>
      <c r="E115" s="42"/>
      <c r="F115" s="24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5">
      <c r="A116" s="20"/>
      <c r="B116" s="20"/>
      <c r="C116" s="20"/>
      <c r="D116" s="20"/>
      <c r="E116" s="42"/>
      <c r="F116" s="24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5">
      <c r="A117" s="20"/>
      <c r="B117" s="20"/>
      <c r="C117" s="20"/>
      <c r="D117" s="20"/>
      <c r="E117" s="42"/>
      <c r="F117" s="24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5">
      <c r="A118" s="20"/>
      <c r="B118" s="20"/>
      <c r="C118" s="20"/>
      <c r="D118" s="20"/>
      <c r="E118" s="42"/>
      <c r="F118" s="24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5">
      <c r="A119" s="20"/>
      <c r="B119" s="20"/>
      <c r="C119" s="20"/>
      <c r="D119" s="20"/>
      <c r="E119" s="42"/>
      <c r="F119" s="24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5">
      <c r="A120" s="20"/>
      <c r="B120" s="20"/>
      <c r="C120" s="20"/>
      <c r="D120" s="20"/>
      <c r="E120" s="42"/>
      <c r="F120" s="24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5">
      <c r="A121" s="20"/>
      <c r="B121" s="20"/>
      <c r="C121" s="20"/>
      <c r="D121" s="20"/>
      <c r="E121" s="42"/>
      <c r="F121" s="24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5">
      <c r="A122" s="20"/>
      <c r="B122" s="20"/>
      <c r="C122" s="20"/>
      <c r="D122" s="20"/>
      <c r="E122" s="42"/>
      <c r="F122" s="24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5">
      <c r="A123" s="20"/>
      <c r="B123" s="20"/>
      <c r="C123" s="20"/>
      <c r="D123" s="20"/>
      <c r="E123" s="42"/>
      <c r="F123" s="24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5">
      <c r="A124" s="20"/>
      <c r="B124" s="20"/>
      <c r="C124" s="20"/>
      <c r="D124" s="20"/>
      <c r="E124" s="42"/>
      <c r="F124" s="24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5">
      <c r="A125" s="20"/>
      <c r="B125" s="20"/>
      <c r="C125" s="20"/>
      <c r="D125" s="20"/>
      <c r="E125" s="42"/>
      <c r="F125" s="24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5">
      <c r="A126" s="20"/>
      <c r="B126" s="20"/>
      <c r="C126" s="20"/>
      <c r="D126" s="20"/>
      <c r="E126" s="42"/>
      <c r="F126" s="24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5">
      <c r="A127" s="20"/>
      <c r="B127" s="20"/>
      <c r="C127" s="20"/>
      <c r="D127" s="20"/>
      <c r="E127" s="42"/>
      <c r="F127" s="24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5">
      <c r="A128" s="20"/>
      <c r="B128" s="20"/>
      <c r="C128" s="20"/>
      <c r="D128" s="20"/>
      <c r="E128" s="42"/>
      <c r="F128" s="24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5">
      <c r="A129" s="20"/>
      <c r="B129" s="20"/>
      <c r="C129" s="20"/>
      <c r="D129" s="20"/>
      <c r="E129" s="42"/>
      <c r="F129" s="24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5">
      <c r="A130" s="20"/>
      <c r="B130" s="20"/>
      <c r="C130" s="20"/>
      <c r="D130" s="20"/>
      <c r="E130" s="42"/>
      <c r="F130" s="24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5">
      <c r="A131" s="20"/>
      <c r="B131" s="20"/>
      <c r="C131" s="20"/>
      <c r="D131" s="20"/>
      <c r="E131" s="42"/>
      <c r="F131" s="24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5">
      <c r="A132" s="20"/>
      <c r="B132" s="20"/>
      <c r="C132" s="20"/>
      <c r="D132" s="20"/>
      <c r="E132" s="42"/>
      <c r="F132" s="24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5">
      <c r="A133" s="20"/>
      <c r="B133" s="20"/>
      <c r="C133" s="20"/>
      <c r="D133" s="20"/>
      <c r="E133" s="42"/>
      <c r="F133" s="24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5">
      <c r="A134" s="20"/>
      <c r="B134" s="20"/>
      <c r="C134" s="20"/>
      <c r="D134" s="20"/>
      <c r="E134" s="42"/>
      <c r="F134" s="24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5">
      <c r="A135" s="20"/>
      <c r="B135" s="20"/>
      <c r="C135" s="20"/>
      <c r="D135" s="20"/>
      <c r="E135" s="42"/>
      <c r="F135" s="24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5">
      <c r="A136" s="20"/>
      <c r="B136" s="20"/>
      <c r="C136" s="20"/>
      <c r="D136" s="20"/>
      <c r="E136" s="42"/>
      <c r="F136" s="24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5">
      <c r="A137" s="20"/>
      <c r="B137" s="20"/>
      <c r="C137" s="20"/>
      <c r="D137" s="20"/>
      <c r="E137" s="42"/>
      <c r="F137" s="24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5">
      <c r="A138" s="20"/>
      <c r="B138" s="20"/>
      <c r="C138" s="20"/>
      <c r="D138" s="20"/>
      <c r="E138" s="42"/>
      <c r="F138" s="24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5">
      <c r="A139" s="20"/>
      <c r="B139" s="20"/>
      <c r="C139" s="20"/>
      <c r="D139" s="20"/>
      <c r="E139" s="42"/>
      <c r="F139" s="24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5">
      <c r="A140" s="20"/>
      <c r="B140" s="20"/>
      <c r="C140" s="20"/>
      <c r="D140" s="20"/>
      <c r="E140" s="42"/>
      <c r="F140" s="24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5">
      <c r="A141" s="20"/>
      <c r="B141" s="20"/>
      <c r="C141" s="20"/>
      <c r="D141" s="20"/>
      <c r="E141" s="42"/>
      <c r="F141" s="24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5">
      <c r="A142" s="20"/>
      <c r="B142" s="20"/>
      <c r="C142" s="20"/>
      <c r="D142" s="20"/>
      <c r="E142" s="42"/>
      <c r="F142" s="24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5">
      <c r="A143" s="20"/>
      <c r="B143" s="20"/>
      <c r="C143" s="20"/>
      <c r="D143" s="20"/>
      <c r="E143" s="42"/>
      <c r="F143" s="24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5">
      <c r="A144" s="20"/>
      <c r="B144" s="20"/>
      <c r="C144" s="20"/>
      <c r="D144" s="20"/>
      <c r="E144" s="42"/>
      <c r="F144" s="24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5">
      <c r="A145" s="20"/>
      <c r="B145" s="20"/>
      <c r="C145" s="20"/>
      <c r="D145" s="20"/>
      <c r="E145" s="42"/>
      <c r="F145" s="24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5">
      <c r="A146" s="20"/>
      <c r="B146" s="20"/>
      <c r="C146" s="20"/>
      <c r="D146" s="20"/>
      <c r="E146" s="42"/>
      <c r="F146" s="24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5">
      <c r="A147" s="20"/>
      <c r="B147" s="20"/>
      <c r="C147" s="20"/>
      <c r="D147" s="20"/>
      <c r="E147" s="42"/>
      <c r="F147" s="24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5">
      <c r="A148" s="20"/>
      <c r="B148" s="20"/>
      <c r="C148" s="20"/>
      <c r="D148" s="20"/>
      <c r="E148" s="42"/>
      <c r="F148" s="24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5">
      <c r="A149" s="20"/>
      <c r="B149" s="20"/>
      <c r="C149" s="20"/>
      <c r="D149" s="20"/>
      <c r="E149" s="42"/>
      <c r="F149" s="24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5">
      <c r="A150" s="20"/>
      <c r="B150" s="20"/>
      <c r="C150" s="20"/>
      <c r="D150" s="20"/>
      <c r="E150" s="42"/>
      <c r="F150" s="24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5">
      <c r="A151" s="20"/>
      <c r="B151" s="20"/>
      <c r="C151" s="20"/>
      <c r="D151" s="20"/>
      <c r="E151" s="42"/>
      <c r="F151" s="24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5">
      <c r="A152" s="20"/>
      <c r="B152" s="20"/>
      <c r="C152" s="20"/>
      <c r="D152" s="20"/>
      <c r="E152" s="42"/>
      <c r="F152" s="24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5">
      <c r="A153" s="20"/>
      <c r="B153" s="20"/>
      <c r="C153" s="20"/>
      <c r="D153" s="20"/>
      <c r="E153" s="42"/>
      <c r="F153" s="24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5">
      <c r="A154" s="20"/>
      <c r="B154" s="20"/>
      <c r="C154" s="20"/>
      <c r="D154" s="20"/>
      <c r="E154" s="42"/>
      <c r="F154" s="24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5">
      <c r="A155" s="20"/>
      <c r="B155" s="20"/>
      <c r="C155" s="20"/>
      <c r="D155" s="20"/>
      <c r="E155" s="42"/>
      <c r="F155" s="24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5">
      <c r="A156" s="20"/>
      <c r="B156" s="20"/>
      <c r="C156" s="20"/>
      <c r="D156" s="20"/>
      <c r="E156" s="42"/>
      <c r="F156" s="24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5">
      <c r="A157" s="20"/>
      <c r="B157" s="20"/>
      <c r="C157" s="20"/>
      <c r="D157" s="20"/>
      <c r="E157" s="42"/>
      <c r="F157" s="24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5">
      <c r="A158" s="20"/>
      <c r="B158" s="20"/>
      <c r="C158" s="20"/>
      <c r="D158" s="20"/>
      <c r="E158" s="42"/>
      <c r="F158" s="24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5">
      <c r="A159" s="20"/>
      <c r="B159" s="20"/>
      <c r="C159" s="20"/>
      <c r="D159" s="20"/>
      <c r="E159" s="42"/>
      <c r="F159" s="24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5">
      <c r="A160" s="20"/>
      <c r="B160" s="20"/>
      <c r="C160" s="20"/>
      <c r="D160" s="20"/>
      <c r="E160" s="42"/>
      <c r="F160" s="24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5">
      <c r="A161" s="20"/>
      <c r="B161" s="20"/>
      <c r="C161" s="20"/>
      <c r="D161" s="20"/>
      <c r="E161" s="42"/>
      <c r="F161" s="24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5">
      <c r="A162" s="20"/>
      <c r="B162" s="20"/>
      <c r="C162" s="20"/>
      <c r="D162" s="20"/>
      <c r="E162" s="42"/>
      <c r="F162" s="24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5">
      <c r="A163" s="20"/>
      <c r="B163" s="20"/>
      <c r="C163" s="20"/>
      <c r="D163" s="20"/>
      <c r="E163" s="42"/>
      <c r="F163" s="24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5">
      <c r="A164" s="20"/>
      <c r="B164" s="20"/>
      <c r="C164" s="20"/>
      <c r="D164" s="20"/>
      <c r="E164" s="42"/>
      <c r="F164" s="24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5">
      <c r="A165" s="20"/>
      <c r="B165" s="20"/>
      <c r="C165" s="20"/>
      <c r="D165" s="20"/>
      <c r="E165" s="42"/>
      <c r="F165" s="24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5">
      <c r="A166" s="20"/>
      <c r="B166" s="20"/>
      <c r="C166" s="20"/>
      <c r="D166" s="20"/>
      <c r="E166" s="42"/>
      <c r="F166" s="24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5">
      <c r="A167" s="20"/>
      <c r="B167" s="20"/>
      <c r="C167" s="20"/>
      <c r="D167" s="20"/>
      <c r="E167" s="42"/>
      <c r="F167" s="24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5">
      <c r="A168" s="20"/>
      <c r="B168" s="20"/>
      <c r="C168" s="20"/>
      <c r="D168" s="20"/>
      <c r="E168" s="42"/>
      <c r="F168" s="24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5">
      <c r="A169" s="20"/>
      <c r="B169" s="20"/>
      <c r="C169" s="20"/>
      <c r="D169" s="20"/>
      <c r="E169" s="42"/>
      <c r="F169" s="24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5">
      <c r="A170" s="20"/>
      <c r="B170" s="20"/>
      <c r="C170" s="20"/>
      <c r="D170" s="20"/>
      <c r="E170" s="42"/>
      <c r="F170" s="24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5">
      <c r="A171" s="20"/>
      <c r="B171" s="20"/>
      <c r="C171" s="20"/>
      <c r="D171" s="20"/>
      <c r="E171" s="42"/>
      <c r="F171" s="24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5">
      <c r="A172" s="20"/>
      <c r="B172" s="20"/>
      <c r="C172" s="20"/>
      <c r="D172" s="20"/>
      <c r="E172" s="42"/>
      <c r="F172" s="24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5">
      <c r="A173" s="20"/>
      <c r="B173" s="20"/>
      <c r="C173" s="20"/>
      <c r="D173" s="20"/>
      <c r="E173" s="42"/>
      <c r="F173" s="24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5">
      <c r="A174" s="20"/>
      <c r="B174" s="20"/>
      <c r="C174" s="20"/>
      <c r="D174" s="20"/>
      <c r="E174" s="42"/>
      <c r="F174" s="24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5">
      <c r="A175" s="20"/>
      <c r="B175" s="20"/>
      <c r="C175" s="20"/>
      <c r="D175" s="20"/>
      <c r="E175" s="42"/>
      <c r="F175" s="24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5">
      <c r="A176" s="20"/>
      <c r="B176" s="20"/>
      <c r="C176" s="20"/>
      <c r="D176" s="20"/>
      <c r="E176" s="42"/>
      <c r="F176" s="24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5">
      <c r="A177" s="20"/>
      <c r="B177" s="20"/>
      <c r="C177" s="20"/>
      <c r="D177" s="20"/>
      <c r="E177" s="42"/>
      <c r="F177" s="24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5">
      <c r="A178" s="20"/>
      <c r="B178" s="20"/>
      <c r="C178" s="20"/>
      <c r="D178" s="20"/>
      <c r="E178" s="42"/>
      <c r="F178" s="24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5">
      <c r="A179" s="20"/>
      <c r="B179" s="20"/>
      <c r="C179" s="20"/>
      <c r="D179" s="20"/>
      <c r="E179" s="42"/>
      <c r="F179" s="24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5">
      <c r="A180" s="20"/>
      <c r="B180" s="20"/>
      <c r="C180" s="20"/>
      <c r="D180" s="20"/>
      <c r="E180" s="42"/>
      <c r="F180" s="24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5">
      <c r="A181" s="20"/>
      <c r="B181" s="20"/>
      <c r="C181" s="20"/>
      <c r="D181" s="20"/>
      <c r="E181" s="42"/>
      <c r="F181" s="24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5">
      <c r="A182" s="20"/>
      <c r="B182" s="20"/>
      <c r="C182" s="20"/>
      <c r="D182" s="20"/>
      <c r="E182" s="42"/>
      <c r="F182" s="24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5">
      <c r="A183" s="20"/>
      <c r="B183" s="20"/>
      <c r="C183" s="20"/>
      <c r="D183" s="20"/>
      <c r="E183" s="42"/>
      <c r="F183" s="24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5">
      <c r="A184" s="20"/>
      <c r="B184" s="20"/>
      <c r="C184" s="20"/>
      <c r="D184" s="20"/>
      <c r="E184" s="42"/>
      <c r="F184" s="24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5">
      <c r="A185" s="20"/>
      <c r="B185" s="20"/>
      <c r="C185" s="20"/>
      <c r="D185" s="20"/>
      <c r="E185" s="42"/>
      <c r="F185" s="24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5">
      <c r="A186" s="20"/>
      <c r="B186" s="20"/>
      <c r="C186" s="20"/>
      <c r="D186" s="20"/>
      <c r="E186" s="42"/>
      <c r="F186" s="24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5">
      <c r="A187" s="20"/>
      <c r="B187" s="20"/>
      <c r="C187" s="20"/>
      <c r="D187" s="20"/>
      <c r="E187" s="42"/>
      <c r="F187" s="24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5">
      <c r="A188" s="20"/>
      <c r="B188" s="20"/>
      <c r="C188" s="20"/>
      <c r="D188" s="20"/>
      <c r="E188" s="42"/>
      <c r="F188" s="24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5">
      <c r="A189" s="20"/>
      <c r="B189" s="20"/>
      <c r="C189" s="20"/>
      <c r="D189" s="20"/>
      <c r="E189" s="42"/>
      <c r="F189" s="24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5">
      <c r="A190" s="20"/>
      <c r="B190" s="20"/>
      <c r="C190" s="20"/>
      <c r="D190" s="20"/>
      <c r="E190" s="42"/>
      <c r="F190" s="24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5">
      <c r="A191" s="20"/>
      <c r="B191" s="20"/>
      <c r="C191" s="20"/>
      <c r="D191" s="20"/>
      <c r="E191" s="42"/>
      <c r="F191" s="24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5">
      <c r="A192" s="20"/>
      <c r="B192" s="20"/>
      <c r="C192" s="20"/>
      <c r="D192" s="20"/>
      <c r="E192" s="42"/>
      <c r="F192" s="24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5">
      <c r="A193" s="20"/>
      <c r="B193" s="20"/>
      <c r="C193" s="20"/>
      <c r="D193" s="20"/>
      <c r="E193" s="42"/>
      <c r="F193" s="24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5">
      <c r="A194" s="20"/>
      <c r="B194" s="20"/>
      <c r="C194" s="20"/>
      <c r="D194" s="20"/>
      <c r="E194" s="42"/>
      <c r="F194" s="24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5">
      <c r="A195" s="20"/>
      <c r="B195" s="20"/>
      <c r="C195" s="20"/>
      <c r="D195" s="20"/>
      <c r="E195" s="42"/>
      <c r="F195" s="24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5">
      <c r="A196" s="20"/>
      <c r="B196" s="20"/>
      <c r="C196" s="20"/>
      <c r="D196" s="20"/>
      <c r="E196" s="42"/>
      <c r="F196" s="24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5">
      <c r="A197" s="20"/>
      <c r="B197" s="20"/>
      <c r="C197" s="20"/>
      <c r="D197" s="20"/>
      <c r="E197" s="42"/>
      <c r="F197" s="24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5">
      <c r="A198" s="20"/>
      <c r="B198" s="20"/>
      <c r="C198" s="20"/>
      <c r="D198" s="20"/>
      <c r="E198" s="42"/>
      <c r="F198" s="24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5">
      <c r="A199" s="20"/>
      <c r="B199" s="20"/>
      <c r="C199" s="20"/>
      <c r="D199" s="20"/>
      <c r="E199" s="42"/>
      <c r="F199" s="24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5">
      <c r="A200" s="20"/>
      <c r="B200" s="20"/>
      <c r="C200" s="20"/>
      <c r="D200" s="20"/>
      <c r="E200" s="42"/>
      <c r="F200" s="24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5">
      <c r="A201" s="20"/>
      <c r="B201" s="20"/>
      <c r="C201" s="20"/>
      <c r="D201" s="20"/>
      <c r="E201" s="42"/>
      <c r="F201" s="24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5">
      <c r="A202" s="20"/>
      <c r="B202" s="20"/>
      <c r="C202" s="20"/>
      <c r="D202" s="20"/>
      <c r="E202" s="42"/>
      <c r="F202" s="24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5">
      <c r="A203" s="20"/>
      <c r="B203" s="20"/>
      <c r="C203" s="20"/>
      <c r="D203" s="20"/>
      <c r="E203" s="42"/>
      <c r="F203" s="24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5">
      <c r="A204" s="20"/>
      <c r="B204" s="20"/>
      <c r="C204" s="20"/>
      <c r="D204" s="20"/>
      <c r="E204" s="42"/>
      <c r="F204" s="24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5">
      <c r="A205" s="20"/>
      <c r="B205" s="20"/>
      <c r="C205" s="20"/>
      <c r="D205" s="20"/>
      <c r="E205" s="42"/>
      <c r="F205" s="24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5">
      <c r="A206" s="20"/>
      <c r="B206" s="20"/>
      <c r="C206" s="20"/>
      <c r="D206" s="20"/>
      <c r="E206" s="42"/>
      <c r="F206" s="24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5">
      <c r="A207" s="20"/>
      <c r="B207" s="20"/>
      <c r="C207" s="20"/>
      <c r="D207" s="20"/>
      <c r="E207" s="42"/>
      <c r="F207" s="24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5">
      <c r="A208" s="20"/>
      <c r="B208" s="20"/>
      <c r="C208" s="20"/>
      <c r="D208" s="20"/>
      <c r="E208" s="42"/>
      <c r="F208" s="24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5">
      <c r="A209" s="20"/>
      <c r="B209" s="20"/>
      <c r="C209" s="20"/>
      <c r="D209" s="20"/>
      <c r="E209" s="42"/>
      <c r="F209" s="24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5">
      <c r="A210" s="20"/>
      <c r="B210" s="20"/>
      <c r="C210" s="20"/>
      <c r="D210" s="20"/>
      <c r="E210" s="42"/>
      <c r="F210" s="24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5">
      <c r="A211" s="20"/>
      <c r="B211" s="20"/>
      <c r="C211" s="20"/>
      <c r="D211" s="20"/>
      <c r="E211" s="42"/>
      <c r="F211" s="24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5">
      <c r="A212" s="20"/>
      <c r="B212" s="20"/>
      <c r="C212" s="20"/>
      <c r="D212" s="20"/>
      <c r="E212" s="42"/>
      <c r="F212" s="24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5">
      <c r="A213" s="20"/>
      <c r="B213" s="20"/>
      <c r="C213" s="20"/>
      <c r="D213" s="20"/>
      <c r="E213" s="42"/>
      <c r="F213" s="24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5">
      <c r="A214" s="20"/>
      <c r="B214" s="20"/>
      <c r="C214" s="20"/>
      <c r="D214" s="20"/>
      <c r="E214" s="42"/>
      <c r="F214" s="24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5">
      <c r="A215" s="20"/>
      <c r="B215" s="20"/>
      <c r="C215" s="20"/>
      <c r="D215" s="20"/>
      <c r="E215" s="42"/>
      <c r="F215" s="24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5">
      <c r="A216" s="20"/>
      <c r="B216" s="20"/>
      <c r="C216" s="20"/>
      <c r="D216" s="20"/>
      <c r="E216" s="42"/>
      <c r="F216" s="24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5">
      <c r="A217" s="20"/>
      <c r="B217" s="20"/>
      <c r="C217" s="20"/>
      <c r="D217" s="20"/>
      <c r="E217" s="42"/>
      <c r="F217" s="24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5">
      <c r="A218" s="20"/>
      <c r="B218" s="20"/>
      <c r="C218" s="20"/>
      <c r="D218" s="20"/>
      <c r="E218" s="42"/>
      <c r="F218" s="24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5">
      <c r="A219" s="20"/>
      <c r="B219" s="20"/>
      <c r="C219" s="20"/>
      <c r="D219" s="20"/>
      <c r="E219" s="42"/>
      <c r="F219" s="24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5">
      <c r="A220" s="20"/>
      <c r="B220" s="20"/>
      <c r="C220" s="20"/>
      <c r="D220" s="20"/>
      <c r="E220" s="42"/>
      <c r="F220" s="24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5">
      <c r="A221" s="20"/>
      <c r="B221" s="20"/>
      <c r="C221" s="20"/>
      <c r="D221" s="20"/>
      <c r="E221" s="42"/>
      <c r="F221" s="24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5">
      <c r="A222" s="20"/>
      <c r="B222" s="20"/>
      <c r="C222" s="20"/>
      <c r="D222" s="20"/>
      <c r="E222" s="42"/>
      <c r="F222" s="24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>
      <c r="A223" s="20"/>
      <c r="B223" s="20"/>
      <c r="C223" s="20"/>
      <c r="D223" s="20"/>
      <c r="E223" s="42"/>
      <c r="F223" s="24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5">
      <c r="A224" s="20"/>
      <c r="B224" s="20"/>
      <c r="C224" s="20"/>
      <c r="D224" s="20"/>
      <c r="E224" s="42"/>
      <c r="F224" s="24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5">
      <c r="A225" s="20"/>
      <c r="B225" s="20"/>
      <c r="C225" s="20"/>
      <c r="D225" s="20"/>
      <c r="E225" s="42"/>
      <c r="F225" s="24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5">
      <c r="A226" s="20"/>
      <c r="B226" s="20"/>
      <c r="C226" s="20"/>
      <c r="D226" s="20"/>
      <c r="E226" s="42"/>
      <c r="F226" s="24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5">
      <c r="A227" s="20"/>
      <c r="B227" s="20"/>
      <c r="C227" s="20"/>
      <c r="D227" s="20"/>
      <c r="E227" s="42"/>
      <c r="F227" s="24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5">
      <c r="A228" s="20"/>
      <c r="B228" s="20"/>
      <c r="C228" s="20"/>
      <c r="D228" s="20"/>
      <c r="E228" s="42"/>
      <c r="F228" s="24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5">
      <c r="A229" s="20"/>
      <c r="B229" s="20"/>
      <c r="C229" s="20"/>
      <c r="D229" s="20"/>
      <c r="E229" s="42"/>
      <c r="F229" s="24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5">
      <c r="A230" s="20"/>
      <c r="B230" s="20"/>
      <c r="C230" s="20"/>
      <c r="D230" s="20"/>
      <c r="E230" s="42"/>
      <c r="F230" s="24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5">
      <c r="A231" s="20"/>
      <c r="B231" s="20"/>
      <c r="C231" s="20"/>
      <c r="D231" s="20"/>
      <c r="E231" s="42"/>
      <c r="F231" s="24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5">
      <c r="A232" s="20"/>
      <c r="B232" s="20"/>
      <c r="C232" s="20"/>
      <c r="D232" s="20"/>
      <c r="E232" s="42"/>
      <c r="F232" s="24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5">
      <c r="A233" s="20"/>
      <c r="B233" s="20"/>
      <c r="C233" s="20"/>
      <c r="D233" s="20"/>
      <c r="E233" s="42"/>
      <c r="F233" s="24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5">
      <c r="A234" s="20"/>
      <c r="B234" s="20"/>
      <c r="C234" s="20"/>
      <c r="D234" s="20"/>
      <c r="E234" s="42"/>
      <c r="F234" s="24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5">
      <c r="A235" s="20"/>
      <c r="B235" s="20"/>
      <c r="C235" s="20"/>
      <c r="D235" s="20"/>
      <c r="E235" s="42"/>
      <c r="F235" s="24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5">
      <c r="A236" s="20"/>
      <c r="B236" s="20"/>
      <c r="C236" s="20"/>
      <c r="D236" s="20"/>
      <c r="E236" s="42"/>
      <c r="F236" s="24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5">
      <c r="A237" s="20"/>
      <c r="B237" s="20"/>
      <c r="C237" s="20"/>
      <c r="D237" s="20"/>
      <c r="E237" s="42"/>
      <c r="F237" s="24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5">
      <c r="A238" s="20"/>
      <c r="B238" s="20"/>
      <c r="C238" s="20"/>
      <c r="D238" s="20"/>
      <c r="E238" s="42"/>
      <c r="F238" s="24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5">
      <c r="A239" s="20"/>
      <c r="B239" s="20"/>
      <c r="C239" s="20"/>
      <c r="D239" s="20"/>
      <c r="E239" s="42"/>
      <c r="F239" s="24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5">
      <c r="A240" s="20"/>
      <c r="B240" s="20"/>
      <c r="C240" s="20"/>
      <c r="D240" s="20"/>
      <c r="E240" s="42"/>
      <c r="F240" s="24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5">
      <c r="A241" s="20"/>
      <c r="B241" s="20"/>
      <c r="C241" s="20"/>
      <c r="D241" s="20"/>
      <c r="E241" s="42"/>
      <c r="F241" s="24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5">
      <c r="A242" s="20"/>
      <c r="B242" s="20"/>
      <c r="C242" s="20"/>
      <c r="D242" s="20"/>
      <c r="E242" s="42"/>
      <c r="F242" s="24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5">
      <c r="A243" s="20"/>
      <c r="B243" s="20"/>
      <c r="C243" s="20"/>
      <c r="D243" s="20"/>
      <c r="E243" s="42"/>
      <c r="F243" s="24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5">
      <c r="A244" s="20"/>
      <c r="B244" s="20"/>
      <c r="C244" s="20"/>
      <c r="D244" s="20"/>
      <c r="E244" s="42"/>
      <c r="F244" s="24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5">
      <c r="A245" s="20"/>
      <c r="B245" s="20"/>
      <c r="C245" s="20"/>
      <c r="D245" s="20"/>
      <c r="E245" s="42"/>
      <c r="F245" s="24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5">
      <c r="A246" s="20"/>
      <c r="B246" s="20"/>
      <c r="C246" s="20"/>
      <c r="D246" s="20"/>
      <c r="E246" s="42"/>
      <c r="F246" s="24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5">
      <c r="A247" s="20"/>
      <c r="B247" s="20"/>
      <c r="C247" s="20"/>
      <c r="D247" s="20"/>
      <c r="E247" s="42"/>
      <c r="F247" s="24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5">
      <c r="A248" s="20"/>
      <c r="B248" s="20"/>
      <c r="C248" s="20"/>
      <c r="D248" s="20"/>
      <c r="E248" s="42"/>
      <c r="F248" s="24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5">
      <c r="A249" s="20"/>
      <c r="B249" s="20"/>
      <c r="C249" s="20"/>
      <c r="D249" s="20"/>
      <c r="E249" s="42"/>
      <c r="F249" s="24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5">
      <c r="A250" s="20"/>
      <c r="B250" s="20"/>
      <c r="C250" s="20"/>
      <c r="D250" s="20"/>
      <c r="E250" s="42"/>
      <c r="F250" s="24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5">
      <c r="A251" s="20"/>
      <c r="B251" s="20"/>
      <c r="C251" s="20"/>
      <c r="D251" s="20"/>
      <c r="E251" s="42"/>
      <c r="F251" s="24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5">
      <c r="A252" s="20"/>
      <c r="B252" s="20"/>
      <c r="C252" s="20"/>
      <c r="D252" s="20"/>
      <c r="E252" s="42"/>
      <c r="F252" s="24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5">
      <c r="A253" s="20"/>
      <c r="B253" s="20"/>
      <c r="C253" s="20"/>
      <c r="D253" s="20"/>
      <c r="E253" s="42"/>
      <c r="F253" s="24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9">
    <mergeCell ref="A1:A17"/>
    <mergeCell ref="B1:C1"/>
    <mergeCell ref="D1:F1"/>
    <mergeCell ref="G1:H1"/>
    <mergeCell ref="I1:K1"/>
    <mergeCell ref="L19:M19"/>
    <mergeCell ref="N19:P19"/>
    <mergeCell ref="A19:A35"/>
    <mergeCell ref="L37:M37"/>
    <mergeCell ref="N37:P37"/>
    <mergeCell ref="B19:C19"/>
    <mergeCell ref="I19:K19"/>
    <mergeCell ref="A37:A53"/>
    <mergeCell ref="B37:C37"/>
    <mergeCell ref="D37:F37"/>
    <mergeCell ref="G37:H37"/>
    <mergeCell ref="I37:K37"/>
    <mergeCell ref="D19:F19"/>
    <mergeCell ref="G19:H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1000"/>
  <sheetViews>
    <sheetView workbookViewId="0">
      <pane xSplit="4" ySplit="1" topLeftCell="E32" activePane="bottomRight" state="frozen"/>
      <selection pane="topRight" activeCell="E1" sqref="E1"/>
      <selection pane="bottomLeft" activeCell="A2" sqref="A2"/>
      <selection pane="bottomRight" activeCell="C55" sqref="C55"/>
    </sheetView>
  </sheetViews>
  <sheetFormatPr defaultColWidth="14.42578125" defaultRowHeight="15" customHeight="1" x14ac:dyDescent="0.25"/>
  <cols>
    <col min="1" max="1" width="4.28515625" customWidth="1"/>
    <col min="2" max="2" width="15.85546875" customWidth="1"/>
    <col min="3" max="3" width="26.42578125" customWidth="1"/>
    <col min="4" max="4" width="10.140625" customWidth="1"/>
    <col min="5" max="5" width="18.7109375" customWidth="1"/>
    <col min="6" max="6" width="14" customWidth="1"/>
    <col min="7" max="7" width="11.7109375" customWidth="1"/>
    <col min="9" max="9" width="28.140625" customWidth="1"/>
    <col min="10" max="10" width="13.28515625" customWidth="1"/>
    <col min="11" max="11" width="15.7109375" customWidth="1"/>
    <col min="12" max="12" width="18.85546875" customWidth="1"/>
    <col min="13" max="14" width="11" customWidth="1"/>
    <col min="15" max="15" width="12.28515625" customWidth="1"/>
    <col min="16" max="16" width="19.85546875" customWidth="1"/>
    <col min="17" max="17" width="20.5703125" customWidth="1"/>
    <col min="18" max="18" width="13.42578125" customWidth="1"/>
    <col min="19" max="19" width="20.42578125" customWidth="1"/>
    <col min="20" max="20" width="17.85546875" customWidth="1"/>
    <col min="21" max="22" width="11" customWidth="1"/>
    <col min="23" max="23" width="23.85546875" customWidth="1"/>
    <col min="24" max="24" width="16.85546875" customWidth="1"/>
    <col min="25" max="25" width="12.42578125" customWidth="1"/>
    <col min="26" max="26" width="14.5703125" customWidth="1"/>
    <col min="27" max="27" width="20.140625" customWidth="1"/>
    <col min="28" max="28" width="15.5703125" customWidth="1"/>
    <col min="29" max="33" width="12" customWidth="1"/>
    <col min="34" max="34" width="12.42578125" customWidth="1"/>
    <col min="35" max="35" width="12" customWidth="1"/>
  </cols>
  <sheetData>
    <row r="1" spans="1:35" x14ac:dyDescent="0.25">
      <c r="A1" s="44" t="s">
        <v>185</v>
      </c>
      <c r="B1" s="45" t="s">
        <v>0</v>
      </c>
      <c r="C1" s="45" t="s">
        <v>1</v>
      </c>
      <c r="D1" s="45" t="s">
        <v>2</v>
      </c>
      <c r="E1" s="46" t="s">
        <v>186</v>
      </c>
      <c r="F1" s="46" t="s">
        <v>187</v>
      </c>
      <c r="G1" s="46" t="s">
        <v>188</v>
      </c>
      <c r="H1" s="46" t="s">
        <v>189</v>
      </c>
      <c r="I1" s="46" t="s">
        <v>190</v>
      </c>
      <c r="J1" s="46" t="s">
        <v>191</v>
      </c>
      <c r="K1" s="46" t="s">
        <v>192</v>
      </c>
      <c r="L1" s="46" t="s">
        <v>193</v>
      </c>
      <c r="M1" s="46" t="s">
        <v>194</v>
      </c>
      <c r="N1" s="46" t="s">
        <v>195</v>
      </c>
      <c r="O1" s="46" t="s">
        <v>196</v>
      </c>
      <c r="P1" s="46" t="s">
        <v>197</v>
      </c>
      <c r="Q1" s="46" t="s">
        <v>198</v>
      </c>
      <c r="R1" s="46" t="s">
        <v>199</v>
      </c>
      <c r="S1" s="46" t="s">
        <v>200</v>
      </c>
      <c r="T1" s="46" t="s">
        <v>201</v>
      </c>
      <c r="U1" s="46" t="s">
        <v>202</v>
      </c>
      <c r="V1" s="46" t="s">
        <v>203</v>
      </c>
      <c r="W1" s="46" t="s">
        <v>204</v>
      </c>
      <c r="X1" s="46" t="s">
        <v>205</v>
      </c>
      <c r="Y1" s="46" t="s">
        <v>206</v>
      </c>
      <c r="Z1" s="46" t="s">
        <v>207</v>
      </c>
      <c r="AA1" s="46" t="s">
        <v>208</v>
      </c>
      <c r="AB1" s="46" t="s">
        <v>209</v>
      </c>
      <c r="AC1" s="46" t="s">
        <v>210</v>
      </c>
      <c r="AD1" s="46" t="s">
        <v>211</v>
      </c>
      <c r="AE1" s="46" t="s">
        <v>212</v>
      </c>
      <c r="AF1" s="46" t="s">
        <v>213</v>
      </c>
      <c r="AG1" s="46" t="s">
        <v>214</v>
      </c>
      <c r="AH1" s="46" t="s">
        <v>215</v>
      </c>
      <c r="AI1" s="46" t="s">
        <v>216</v>
      </c>
    </row>
    <row r="2" spans="1:35" x14ac:dyDescent="0.25">
      <c r="A2" s="47">
        <v>3</v>
      </c>
      <c r="B2" s="48" t="s">
        <v>221</v>
      </c>
      <c r="C2" s="48" t="s">
        <v>222</v>
      </c>
      <c r="D2" s="48" t="s">
        <v>223</v>
      </c>
      <c r="E2" s="49">
        <v>1500</v>
      </c>
      <c r="F2" s="49">
        <v>18500</v>
      </c>
      <c r="G2" s="49">
        <v>1500</v>
      </c>
      <c r="H2" s="49">
        <v>1000</v>
      </c>
      <c r="I2" s="49">
        <v>16350</v>
      </c>
      <c r="J2" s="49">
        <v>2700</v>
      </c>
      <c r="K2" s="49">
        <v>1500</v>
      </c>
      <c r="L2" s="49">
        <v>10000</v>
      </c>
      <c r="M2" s="49"/>
      <c r="N2" s="49">
        <v>4500</v>
      </c>
      <c r="O2" s="49"/>
      <c r="P2" s="49"/>
      <c r="Q2" s="49"/>
      <c r="R2" s="49">
        <v>4000</v>
      </c>
      <c r="S2" s="49"/>
      <c r="T2" s="49"/>
      <c r="U2" s="49"/>
      <c r="V2" s="49">
        <f t="shared" ref="V2:V33" si="0">U2+T2+O2</f>
        <v>0</v>
      </c>
      <c r="W2" s="49"/>
      <c r="X2" s="49"/>
      <c r="Y2" s="49"/>
      <c r="Z2" s="49"/>
      <c r="AA2" s="49"/>
      <c r="AB2" s="49"/>
      <c r="AC2" s="49">
        <f t="shared" ref="AC2:AC33" si="1">SUM(E2:AB2)</f>
        <v>61550</v>
      </c>
      <c r="AD2" s="49">
        <v>51550</v>
      </c>
      <c r="AE2" s="49">
        <v>10000</v>
      </c>
      <c r="AF2" s="49"/>
      <c r="AG2" s="49"/>
      <c r="AH2" s="50">
        <f t="shared" ref="AH2:AH33" si="2">SUM(AD2:AG2)</f>
        <v>61550</v>
      </c>
      <c r="AI2" s="50">
        <f t="shared" ref="AI2:AI33" si="3">AC2-AH2</f>
        <v>0</v>
      </c>
    </row>
    <row r="3" spans="1:35" x14ac:dyDescent="0.25">
      <c r="A3" s="47">
        <v>8</v>
      </c>
      <c r="B3" s="48" t="s">
        <v>805</v>
      </c>
      <c r="C3" s="48" t="s">
        <v>73</v>
      </c>
      <c r="D3" s="48" t="s">
        <v>227</v>
      </c>
      <c r="E3" s="49"/>
      <c r="F3" s="49">
        <v>18500</v>
      </c>
      <c r="G3" s="49">
        <v>1500</v>
      </c>
      <c r="H3" s="49">
        <v>1000</v>
      </c>
      <c r="I3" s="49">
        <v>16350</v>
      </c>
      <c r="J3" s="49">
        <v>2700</v>
      </c>
      <c r="K3" s="49">
        <v>1500</v>
      </c>
      <c r="L3" s="49"/>
      <c r="M3" s="49"/>
      <c r="N3" s="49"/>
      <c r="O3" s="49"/>
      <c r="P3" s="49"/>
      <c r="Q3" s="49"/>
      <c r="R3" s="49"/>
      <c r="S3" s="49">
        <v>4500</v>
      </c>
      <c r="T3" s="49"/>
      <c r="U3" s="49"/>
      <c r="V3" s="49">
        <f t="shared" si="0"/>
        <v>0</v>
      </c>
      <c r="W3" s="49"/>
      <c r="X3" s="49"/>
      <c r="Y3" s="49"/>
      <c r="Z3" s="49"/>
      <c r="AA3" s="49"/>
      <c r="AB3" s="49"/>
      <c r="AC3" s="49">
        <f t="shared" si="1"/>
        <v>46050</v>
      </c>
      <c r="AD3" s="49">
        <v>31000</v>
      </c>
      <c r="AE3" s="49">
        <v>10050</v>
      </c>
      <c r="AF3" s="49">
        <v>5000</v>
      </c>
      <c r="AG3" s="49"/>
      <c r="AH3" s="50">
        <f t="shared" si="2"/>
        <v>46050</v>
      </c>
      <c r="AI3" s="50">
        <f t="shared" si="3"/>
        <v>0</v>
      </c>
    </row>
    <row r="4" spans="1:35" x14ac:dyDescent="0.25">
      <c r="A4" s="47">
        <v>20</v>
      </c>
      <c r="B4" s="48" t="s">
        <v>72</v>
      </c>
      <c r="C4" s="48" t="s">
        <v>231</v>
      </c>
      <c r="D4" s="48" t="s">
        <v>232</v>
      </c>
      <c r="E4" s="49">
        <v>1500</v>
      </c>
      <c r="F4" s="49">
        <v>10250</v>
      </c>
      <c r="G4" s="49">
        <v>1000</v>
      </c>
      <c r="H4" s="49">
        <v>2500</v>
      </c>
      <c r="I4" s="49">
        <v>18050</v>
      </c>
      <c r="J4" s="49">
        <v>3880</v>
      </c>
      <c r="K4" s="49">
        <v>1500</v>
      </c>
      <c r="L4" s="49">
        <v>12000</v>
      </c>
      <c r="M4" s="49"/>
      <c r="N4" s="49">
        <v>4500</v>
      </c>
      <c r="O4" s="49">
        <v>1500</v>
      </c>
      <c r="P4" s="49"/>
      <c r="Q4" s="49"/>
      <c r="R4" s="49">
        <v>4000</v>
      </c>
      <c r="S4" s="49"/>
      <c r="T4" s="49">
        <v>1000</v>
      </c>
      <c r="U4" s="49">
        <v>1000</v>
      </c>
      <c r="V4" s="49">
        <f t="shared" si="0"/>
        <v>3500</v>
      </c>
      <c r="W4" s="49"/>
      <c r="X4" s="49"/>
      <c r="Y4" s="49"/>
      <c r="Z4" s="49"/>
      <c r="AA4" s="49"/>
      <c r="AB4" s="49"/>
      <c r="AC4" s="49">
        <f t="shared" si="1"/>
        <v>66180</v>
      </c>
      <c r="AD4" s="49">
        <v>5000</v>
      </c>
      <c r="AE4" s="49">
        <v>5000</v>
      </c>
      <c r="AF4" s="49"/>
      <c r="AG4" s="49"/>
      <c r="AH4" s="50">
        <f t="shared" si="2"/>
        <v>10000</v>
      </c>
      <c r="AI4" s="50">
        <f t="shared" si="3"/>
        <v>56180</v>
      </c>
    </row>
    <row r="5" spans="1:35" x14ac:dyDescent="0.25">
      <c r="A5" s="47">
        <v>27</v>
      </c>
      <c r="B5" s="48" t="s">
        <v>72</v>
      </c>
      <c r="C5" s="48" t="s">
        <v>236</v>
      </c>
      <c r="D5" s="48" t="s">
        <v>237</v>
      </c>
      <c r="E5" s="49">
        <v>1500</v>
      </c>
      <c r="F5" s="49">
        <v>10250</v>
      </c>
      <c r="G5" s="49">
        <v>1000</v>
      </c>
      <c r="H5" s="49">
        <v>2500</v>
      </c>
      <c r="I5" s="49">
        <v>18600</v>
      </c>
      <c r="J5" s="49">
        <v>3880</v>
      </c>
      <c r="K5" s="49">
        <v>1500</v>
      </c>
      <c r="L5" s="49">
        <v>12000</v>
      </c>
      <c r="M5" s="49">
        <v>3000</v>
      </c>
      <c r="N5" s="49">
        <v>4500</v>
      </c>
      <c r="O5" s="49">
        <v>1500</v>
      </c>
      <c r="P5" s="49"/>
      <c r="Q5" s="49"/>
      <c r="R5" s="49">
        <v>4000</v>
      </c>
      <c r="S5" s="49"/>
      <c r="T5" s="49">
        <v>1000</v>
      </c>
      <c r="U5" s="49">
        <v>1000</v>
      </c>
      <c r="V5" s="49">
        <f t="shared" si="0"/>
        <v>3500</v>
      </c>
      <c r="W5" s="49"/>
      <c r="X5" s="49"/>
      <c r="Y5" s="49"/>
      <c r="Z5" s="49"/>
      <c r="AA5" s="49"/>
      <c r="AB5" s="49"/>
      <c r="AC5" s="49">
        <f t="shared" si="1"/>
        <v>69730</v>
      </c>
      <c r="AD5" s="49">
        <v>5000</v>
      </c>
      <c r="AE5" s="49">
        <v>5000</v>
      </c>
      <c r="AF5" s="49"/>
      <c r="AG5" s="49"/>
      <c r="AH5" s="50">
        <f t="shared" si="2"/>
        <v>10000</v>
      </c>
      <c r="AI5" s="50">
        <f t="shared" si="3"/>
        <v>59730</v>
      </c>
    </row>
    <row r="6" spans="1:35" x14ac:dyDescent="0.25">
      <c r="A6" s="47">
        <v>36</v>
      </c>
      <c r="B6" s="48" t="s">
        <v>72</v>
      </c>
      <c r="C6" s="48" t="s">
        <v>239</v>
      </c>
      <c r="D6" s="48" t="s">
        <v>240</v>
      </c>
      <c r="E6" s="49">
        <v>1500</v>
      </c>
      <c r="F6" s="49">
        <v>15375</v>
      </c>
      <c r="G6" s="49">
        <v>1000</v>
      </c>
      <c r="H6" s="49">
        <v>2500</v>
      </c>
      <c r="I6" s="49">
        <v>18600</v>
      </c>
      <c r="J6" s="49">
        <v>3880</v>
      </c>
      <c r="K6" s="49">
        <v>1500</v>
      </c>
      <c r="L6" s="49">
        <v>6000</v>
      </c>
      <c r="M6" s="49"/>
      <c r="N6" s="49">
        <v>4500</v>
      </c>
      <c r="O6" s="49">
        <v>1500</v>
      </c>
      <c r="P6" s="49"/>
      <c r="Q6" s="49"/>
      <c r="R6" s="49">
        <v>4000</v>
      </c>
      <c r="S6" s="49"/>
      <c r="T6" s="49">
        <v>1000</v>
      </c>
      <c r="U6" s="49">
        <v>1000</v>
      </c>
      <c r="V6" s="49">
        <f t="shared" si="0"/>
        <v>3500</v>
      </c>
      <c r="W6" s="49"/>
      <c r="X6" s="49"/>
      <c r="Y6" s="49"/>
      <c r="Z6" s="49"/>
      <c r="AA6" s="49"/>
      <c r="AB6" s="49"/>
      <c r="AC6" s="49">
        <f t="shared" si="1"/>
        <v>65855</v>
      </c>
      <c r="AD6" s="49">
        <v>5000</v>
      </c>
      <c r="AE6" s="49">
        <v>5000</v>
      </c>
      <c r="AF6" s="49"/>
      <c r="AG6" s="49"/>
      <c r="AH6" s="50">
        <f t="shared" si="2"/>
        <v>10000</v>
      </c>
      <c r="AI6" s="50">
        <f t="shared" si="3"/>
        <v>55855</v>
      </c>
    </row>
    <row r="7" spans="1:35" x14ac:dyDescent="0.25">
      <c r="A7" s="47">
        <v>12</v>
      </c>
      <c r="B7" s="48" t="s">
        <v>77</v>
      </c>
      <c r="C7" s="48" t="s">
        <v>78</v>
      </c>
      <c r="D7" s="48" t="s">
        <v>228</v>
      </c>
      <c r="E7" s="49"/>
      <c r="F7" s="49">
        <v>18500</v>
      </c>
      <c r="G7" s="49">
        <v>1500</v>
      </c>
      <c r="H7" s="49">
        <v>1000</v>
      </c>
      <c r="I7" s="49">
        <v>16350</v>
      </c>
      <c r="J7" s="49">
        <v>2000</v>
      </c>
      <c r="K7" s="49">
        <v>1500</v>
      </c>
      <c r="L7" s="49"/>
      <c r="M7" s="49"/>
      <c r="N7" s="49"/>
      <c r="O7" s="49"/>
      <c r="P7" s="49"/>
      <c r="Q7" s="49"/>
      <c r="R7" s="49"/>
      <c r="S7" s="49"/>
      <c r="T7" s="49">
        <v>500</v>
      </c>
      <c r="U7" s="49">
        <v>500</v>
      </c>
      <c r="V7" s="49">
        <f t="shared" si="0"/>
        <v>1000</v>
      </c>
      <c r="W7" s="49"/>
      <c r="X7" s="49"/>
      <c r="Y7" s="49"/>
      <c r="Z7" s="49"/>
      <c r="AA7" s="49"/>
      <c r="AB7" s="49"/>
      <c r="AC7" s="49">
        <f t="shared" si="1"/>
        <v>42850</v>
      </c>
      <c r="AD7" s="49">
        <v>20000</v>
      </c>
      <c r="AE7" s="49">
        <v>21850</v>
      </c>
      <c r="AF7" s="49"/>
      <c r="AG7" s="49"/>
      <c r="AH7" s="50">
        <f t="shared" si="2"/>
        <v>41850</v>
      </c>
      <c r="AI7" s="50">
        <f t="shared" si="3"/>
        <v>1000</v>
      </c>
    </row>
    <row r="8" spans="1:35" x14ac:dyDescent="0.25">
      <c r="A8" s="47">
        <v>4</v>
      </c>
      <c r="B8" s="48" t="s">
        <v>61</v>
      </c>
      <c r="C8" s="48" t="s">
        <v>224</v>
      </c>
      <c r="D8" s="48" t="s">
        <v>223</v>
      </c>
      <c r="E8" s="49">
        <v>1500</v>
      </c>
      <c r="F8" s="49">
        <v>18500</v>
      </c>
      <c r="G8" s="49">
        <v>1500</v>
      </c>
      <c r="H8" s="49">
        <v>1000</v>
      </c>
      <c r="I8" s="49">
        <v>16350</v>
      </c>
      <c r="J8" s="49">
        <v>2700</v>
      </c>
      <c r="K8" s="49">
        <v>1500</v>
      </c>
      <c r="L8" s="49">
        <v>10000</v>
      </c>
      <c r="M8" s="49"/>
      <c r="N8" s="49">
        <v>4500</v>
      </c>
      <c r="O8" s="49"/>
      <c r="P8" s="49"/>
      <c r="Q8" s="49"/>
      <c r="R8" s="49">
        <v>4000</v>
      </c>
      <c r="S8" s="49"/>
      <c r="T8" s="49"/>
      <c r="U8" s="49"/>
      <c r="V8" s="49">
        <f t="shared" si="0"/>
        <v>0</v>
      </c>
      <c r="W8" s="49"/>
      <c r="X8" s="49"/>
      <c r="Y8" s="49"/>
      <c r="Z8" s="49"/>
      <c r="AA8" s="49"/>
      <c r="AB8" s="49"/>
      <c r="AC8" s="49">
        <f t="shared" si="1"/>
        <v>61550</v>
      </c>
      <c r="AD8" s="49">
        <v>35000</v>
      </c>
      <c r="AE8" s="49">
        <v>5490</v>
      </c>
      <c r="AF8" s="49">
        <v>21060</v>
      </c>
      <c r="AG8" s="49"/>
      <c r="AH8" s="50">
        <f t="shared" si="2"/>
        <v>61550</v>
      </c>
      <c r="AI8" s="50">
        <f t="shared" si="3"/>
        <v>0</v>
      </c>
    </row>
    <row r="9" spans="1:35" x14ac:dyDescent="0.25">
      <c r="A9" s="47">
        <v>21</v>
      </c>
      <c r="B9" s="48" t="s">
        <v>61</v>
      </c>
      <c r="C9" s="48" t="s">
        <v>62</v>
      </c>
      <c r="D9" s="48" t="s">
        <v>232</v>
      </c>
      <c r="E9" s="49"/>
      <c r="F9" s="49">
        <v>20500</v>
      </c>
      <c r="G9" s="49">
        <v>2000</v>
      </c>
      <c r="H9" s="49">
        <v>2500</v>
      </c>
      <c r="I9" s="49">
        <v>18050</v>
      </c>
      <c r="J9" s="49">
        <v>3880</v>
      </c>
      <c r="K9" s="49">
        <v>1500</v>
      </c>
      <c r="L9" s="49"/>
      <c r="M9" s="49"/>
      <c r="N9" s="49"/>
      <c r="O9" s="49">
        <v>1500</v>
      </c>
      <c r="P9" s="49"/>
      <c r="Q9" s="49"/>
      <c r="R9" s="49"/>
      <c r="S9" s="49">
        <v>4500</v>
      </c>
      <c r="T9" s="49">
        <v>1000</v>
      </c>
      <c r="U9" s="49">
        <v>1000</v>
      </c>
      <c r="V9" s="49">
        <f t="shared" si="0"/>
        <v>3500</v>
      </c>
      <c r="W9" s="49"/>
      <c r="X9" s="49"/>
      <c r="Y9" s="49"/>
      <c r="Z9" s="49"/>
      <c r="AA9" s="49"/>
      <c r="AB9" s="49"/>
      <c r="AC9" s="49">
        <f t="shared" si="1"/>
        <v>59930</v>
      </c>
      <c r="AD9" s="49">
        <v>35000</v>
      </c>
      <c r="AE9" s="49">
        <v>5490</v>
      </c>
      <c r="AF9" s="49">
        <v>15940</v>
      </c>
      <c r="AG9" s="49"/>
      <c r="AH9" s="50">
        <f t="shared" si="2"/>
        <v>56430</v>
      </c>
      <c r="AI9" s="50">
        <f t="shared" si="3"/>
        <v>3500</v>
      </c>
    </row>
    <row r="10" spans="1:35" x14ac:dyDescent="0.25">
      <c r="A10" s="47">
        <v>22</v>
      </c>
      <c r="B10" s="48" t="s">
        <v>64</v>
      </c>
      <c r="C10" s="48" t="s">
        <v>65</v>
      </c>
      <c r="D10" s="48" t="s">
        <v>232</v>
      </c>
      <c r="E10" s="49"/>
      <c r="F10" s="49">
        <v>20500</v>
      </c>
      <c r="G10" s="49">
        <v>2000</v>
      </c>
      <c r="H10" s="49">
        <v>2500</v>
      </c>
      <c r="I10" s="49">
        <v>18050</v>
      </c>
      <c r="J10" s="49">
        <v>3880</v>
      </c>
      <c r="K10" s="49">
        <v>1500</v>
      </c>
      <c r="L10" s="49"/>
      <c r="M10" s="49"/>
      <c r="N10" s="49"/>
      <c r="O10" s="49">
        <v>1500</v>
      </c>
      <c r="P10" s="49"/>
      <c r="Q10" s="49"/>
      <c r="R10" s="49"/>
      <c r="S10" s="49"/>
      <c r="T10" s="49">
        <v>1000</v>
      </c>
      <c r="U10" s="49">
        <v>1000</v>
      </c>
      <c r="V10" s="49">
        <f t="shared" si="0"/>
        <v>3500</v>
      </c>
      <c r="W10" s="49"/>
      <c r="X10" s="49"/>
      <c r="Y10" s="49"/>
      <c r="Z10" s="49"/>
      <c r="AA10" s="49"/>
      <c r="AB10" s="49">
        <v>6500</v>
      </c>
      <c r="AC10" s="49">
        <f t="shared" si="1"/>
        <v>61930</v>
      </c>
      <c r="AD10" s="49">
        <v>20000</v>
      </c>
      <c r="AE10" s="49">
        <v>19930</v>
      </c>
      <c r="AF10" s="49">
        <v>18500</v>
      </c>
      <c r="AG10" s="49"/>
      <c r="AH10" s="50">
        <f t="shared" si="2"/>
        <v>58430</v>
      </c>
      <c r="AI10" s="50">
        <f t="shared" si="3"/>
        <v>3500</v>
      </c>
    </row>
    <row r="11" spans="1:35" x14ac:dyDescent="0.25">
      <c r="A11" s="47">
        <v>32</v>
      </c>
      <c r="B11" s="48" t="s">
        <v>38</v>
      </c>
      <c r="C11" s="48" t="s">
        <v>90</v>
      </c>
      <c r="D11" s="48" t="s">
        <v>238</v>
      </c>
      <c r="E11" s="49"/>
      <c r="F11" s="49">
        <v>20500</v>
      </c>
      <c r="G11" s="49">
        <v>2000</v>
      </c>
      <c r="H11" s="49"/>
      <c r="I11" s="49">
        <v>18600</v>
      </c>
      <c r="J11" s="49">
        <v>3880</v>
      </c>
      <c r="K11" s="49">
        <v>1500</v>
      </c>
      <c r="L11" s="49"/>
      <c r="M11" s="49"/>
      <c r="N11" s="49"/>
      <c r="O11" s="49">
        <v>1500</v>
      </c>
      <c r="P11" s="49"/>
      <c r="Q11" s="49"/>
      <c r="R11" s="49"/>
      <c r="S11" s="49"/>
      <c r="T11" s="49">
        <v>1000</v>
      </c>
      <c r="U11" s="49">
        <v>1000</v>
      </c>
      <c r="V11" s="49">
        <f t="shared" si="0"/>
        <v>3500</v>
      </c>
      <c r="W11" s="49"/>
      <c r="X11" s="49"/>
      <c r="Y11" s="49"/>
      <c r="Z11" s="49"/>
      <c r="AA11" s="49"/>
      <c r="AB11" s="49"/>
      <c r="AC11" s="49">
        <f t="shared" si="1"/>
        <v>53480</v>
      </c>
      <c r="AD11" s="49">
        <v>30000</v>
      </c>
      <c r="AE11" s="49">
        <v>15000</v>
      </c>
      <c r="AF11" s="49">
        <v>4980</v>
      </c>
      <c r="AG11" s="49"/>
      <c r="AH11" s="50">
        <f t="shared" si="2"/>
        <v>49980</v>
      </c>
      <c r="AI11" s="50">
        <f t="shared" si="3"/>
        <v>3500</v>
      </c>
    </row>
    <row r="12" spans="1:35" x14ac:dyDescent="0.25">
      <c r="A12" s="47">
        <v>45</v>
      </c>
      <c r="B12" s="48" t="s">
        <v>38</v>
      </c>
      <c r="C12" s="48" t="s">
        <v>39</v>
      </c>
      <c r="D12" s="48" t="s">
        <v>244</v>
      </c>
      <c r="E12" s="49"/>
      <c r="F12" s="49">
        <v>33750</v>
      </c>
      <c r="G12" s="49">
        <v>2500</v>
      </c>
      <c r="H12" s="49">
        <v>1500</v>
      </c>
      <c r="I12" s="49">
        <v>13950</v>
      </c>
      <c r="J12" s="49"/>
      <c r="K12" s="49">
        <v>2000</v>
      </c>
      <c r="L12" s="49"/>
      <c r="M12" s="49"/>
      <c r="N12" s="49"/>
      <c r="O12" s="49">
        <v>2000</v>
      </c>
      <c r="P12" s="49"/>
      <c r="Q12" s="49"/>
      <c r="R12" s="49"/>
      <c r="S12" s="49">
        <v>5000</v>
      </c>
      <c r="T12" s="49">
        <v>2500</v>
      </c>
      <c r="U12" s="49"/>
      <c r="V12" s="49">
        <f t="shared" si="0"/>
        <v>4500</v>
      </c>
      <c r="W12" s="49"/>
      <c r="X12" s="49"/>
      <c r="Y12" s="49"/>
      <c r="Z12" s="49"/>
      <c r="AA12" s="49"/>
      <c r="AB12" s="49"/>
      <c r="AC12" s="49">
        <f t="shared" si="1"/>
        <v>67700</v>
      </c>
      <c r="AD12" s="49">
        <v>30000</v>
      </c>
      <c r="AE12" s="49">
        <v>15000</v>
      </c>
      <c r="AF12" s="49">
        <v>10020</v>
      </c>
      <c r="AG12" s="49">
        <v>8160</v>
      </c>
      <c r="AH12" s="50">
        <f t="shared" si="2"/>
        <v>63180</v>
      </c>
      <c r="AI12" s="50">
        <f t="shared" si="3"/>
        <v>4520</v>
      </c>
    </row>
    <row r="13" spans="1:35" x14ac:dyDescent="0.25">
      <c r="A13" s="47">
        <v>50</v>
      </c>
      <c r="B13" s="48" t="s">
        <v>47</v>
      </c>
      <c r="C13" s="48" t="s">
        <v>48</v>
      </c>
      <c r="D13" s="48" t="s">
        <v>245</v>
      </c>
      <c r="E13" s="49"/>
      <c r="F13" s="49">
        <v>29500</v>
      </c>
      <c r="G13" s="49">
        <v>2500</v>
      </c>
      <c r="H13" s="49">
        <v>1500</v>
      </c>
      <c r="I13" s="49">
        <v>5600</v>
      </c>
      <c r="J13" s="49">
        <v>9000</v>
      </c>
      <c r="K13" s="49">
        <v>2500</v>
      </c>
      <c r="L13" s="49">
        <v>13000</v>
      </c>
      <c r="M13" s="49"/>
      <c r="N13" s="49"/>
      <c r="O13" s="49">
        <v>2000</v>
      </c>
      <c r="P13" s="49"/>
      <c r="Q13" s="49"/>
      <c r="R13" s="49"/>
      <c r="S13" s="49">
        <v>5000</v>
      </c>
      <c r="T13" s="49">
        <v>3000</v>
      </c>
      <c r="U13" s="49"/>
      <c r="V13" s="49">
        <f t="shared" si="0"/>
        <v>5000</v>
      </c>
      <c r="W13" s="49"/>
      <c r="X13" s="49"/>
      <c r="Y13" s="49"/>
      <c r="Z13" s="49"/>
      <c r="AA13" s="49"/>
      <c r="AB13" s="49">
        <v>16850</v>
      </c>
      <c r="AC13" s="49">
        <f t="shared" si="1"/>
        <v>95450</v>
      </c>
      <c r="AD13" s="49">
        <v>50000</v>
      </c>
      <c r="AE13" s="49">
        <v>25000</v>
      </c>
      <c r="AF13" s="49">
        <v>15000</v>
      </c>
      <c r="AG13" s="49"/>
      <c r="AH13" s="50">
        <f t="shared" si="2"/>
        <v>90000</v>
      </c>
      <c r="AI13" s="50">
        <f t="shared" si="3"/>
        <v>5450</v>
      </c>
    </row>
    <row r="14" spans="1:35" x14ac:dyDescent="0.25">
      <c r="A14" s="47">
        <v>9</v>
      </c>
      <c r="B14" s="48" t="s">
        <v>75</v>
      </c>
      <c r="C14" s="48" t="s">
        <v>42</v>
      </c>
      <c r="D14" s="48" t="s">
        <v>227</v>
      </c>
      <c r="E14" s="49"/>
      <c r="F14" s="49">
        <v>12500</v>
      </c>
      <c r="G14" s="49">
        <v>1500</v>
      </c>
      <c r="H14" s="49">
        <v>1000</v>
      </c>
      <c r="I14" s="49">
        <v>16350</v>
      </c>
      <c r="J14" s="49">
        <v>2700</v>
      </c>
      <c r="K14" s="49">
        <v>1500</v>
      </c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>
        <f t="shared" si="0"/>
        <v>0</v>
      </c>
      <c r="W14" s="49"/>
      <c r="X14" s="49"/>
      <c r="Y14" s="49"/>
      <c r="Z14" s="49"/>
      <c r="AA14" s="49"/>
      <c r="AB14" s="49"/>
      <c r="AC14" s="49">
        <f t="shared" si="1"/>
        <v>35550</v>
      </c>
      <c r="AD14" s="49">
        <v>18000</v>
      </c>
      <c r="AE14" s="49">
        <v>17550</v>
      </c>
      <c r="AF14" s="49"/>
      <c r="AG14" s="49"/>
      <c r="AH14" s="50">
        <f t="shared" si="2"/>
        <v>35550</v>
      </c>
      <c r="AI14" s="50">
        <f t="shared" si="3"/>
        <v>0</v>
      </c>
    </row>
    <row r="15" spans="1:35" x14ac:dyDescent="0.25">
      <c r="A15" s="47">
        <v>10</v>
      </c>
      <c r="B15" s="48" t="s">
        <v>75</v>
      </c>
      <c r="C15" s="48" t="s">
        <v>29</v>
      </c>
      <c r="D15" s="48" t="s">
        <v>227</v>
      </c>
      <c r="E15" s="49"/>
      <c r="F15" s="49">
        <v>12500</v>
      </c>
      <c r="G15" s="49">
        <v>1500</v>
      </c>
      <c r="H15" s="49">
        <v>1000</v>
      </c>
      <c r="I15" s="49">
        <v>16350</v>
      </c>
      <c r="J15" s="49">
        <v>2700</v>
      </c>
      <c r="K15" s="49">
        <v>1500</v>
      </c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>
        <f t="shared" si="0"/>
        <v>0</v>
      </c>
      <c r="W15" s="49"/>
      <c r="X15" s="49"/>
      <c r="Y15" s="49"/>
      <c r="Z15" s="49"/>
      <c r="AA15" s="49"/>
      <c r="AB15" s="49"/>
      <c r="AC15" s="49">
        <f t="shared" si="1"/>
        <v>35550</v>
      </c>
      <c r="AD15" s="49">
        <v>18000</v>
      </c>
      <c r="AE15" s="49">
        <v>17550</v>
      </c>
      <c r="AF15" s="49"/>
      <c r="AG15" s="49"/>
      <c r="AH15" s="50">
        <f t="shared" si="2"/>
        <v>35550</v>
      </c>
      <c r="AI15" s="50">
        <f t="shared" si="3"/>
        <v>0</v>
      </c>
    </row>
    <row r="16" spans="1:35" x14ac:dyDescent="0.25">
      <c r="A16" s="47">
        <v>28</v>
      </c>
      <c r="B16" s="48" t="s">
        <v>75</v>
      </c>
      <c r="C16" s="48" t="s">
        <v>98</v>
      </c>
      <c r="D16" s="48" t="s">
        <v>237</v>
      </c>
      <c r="E16" s="49"/>
      <c r="F16" s="49">
        <v>20500</v>
      </c>
      <c r="G16" s="49">
        <v>2000</v>
      </c>
      <c r="H16" s="49">
        <v>2500</v>
      </c>
      <c r="I16" s="49">
        <v>18600</v>
      </c>
      <c r="J16" s="49">
        <v>3880</v>
      </c>
      <c r="K16" s="49">
        <v>1500</v>
      </c>
      <c r="L16" s="49">
        <v>6000</v>
      </c>
      <c r="M16" s="49"/>
      <c r="N16" s="49"/>
      <c r="O16" s="49">
        <v>1500</v>
      </c>
      <c r="P16" s="49"/>
      <c r="Q16" s="49"/>
      <c r="R16" s="49"/>
      <c r="S16" s="49"/>
      <c r="T16" s="49">
        <v>1000</v>
      </c>
      <c r="U16" s="49">
        <v>1000</v>
      </c>
      <c r="V16" s="49">
        <f t="shared" si="0"/>
        <v>3500</v>
      </c>
      <c r="W16" s="49"/>
      <c r="X16" s="49"/>
      <c r="Y16" s="49"/>
      <c r="Z16" s="49"/>
      <c r="AA16" s="49"/>
      <c r="AB16" s="49">
        <v>6700</v>
      </c>
      <c r="AC16" s="49">
        <f t="shared" si="1"/>
        <v>68680</v>
      </c>
      <c r="AD16" s="49">
        <v>24000</v>
      </c>
      <c r="AE16" s="49">
        <v>14900</v>
      </c>
      <c r="AF16" s="49">
        <v>10000</v>
      </c>
      <c r="AG16" s="49">
        <v>10000</v>
      </c>
      <c r="AH16" s="50">
        <f t="shared" si="2"/>
        <v>58900</v>
      </c>
      <c r="AI16" s="50">
        <f t="shared" si="3"/>
        <v>9780</v>
      </c>
    </row>
    <row r="17" spans="1:35" x14ac:dyDescent="0.25">
      <c r="A17" s="47">
        <v>13</v>
      </c>
      <c r="B17" s="48" t="s">
        <v>81</v>
      </c>
      <c r="C17" s="48" t="s">
        <v>80</v>
      </c>
      <c r="D17" s="48" t="s">
        <v>228</v>
      </c>
      <c r="E17" s="49"/>
      <c r="F17" s="49">
        <v>9250</v>
      </c>
      <c r="G17" s="49">
        <v>750</v>
      </c>
      <c r="H17" s="49">
        <v>1000</v>
      </c>
      <c r="I17" s="49">
        <v>16350</v>
      </c>
      <c r="J17" s="49">
        <v>1980</v>
      </c>
      <c r="K17" s="49">
        <v>1500</v>
      </c>
      <c r="L17" s="49">
        <v>5000</v>
      </c>
      <c r="M17" s="49"/>
      <c r="N17" s="49"/>
      <c r="O17" s="49"/>
      <c r="P17" s="49"/>
      <c r="Q17" s="49"/>
      <c r="R17" s="49"/>
      <c r="S17" s="49"/>
      <c r="T17" s="49">
        <v>500</v>
      </c>
      <c r="U17" s="49">
        <v>500</v>
      </c>
      <c r="V17" s="49">
        <f t="shared" si="0"/>
        <v>1000</v>
      </c>
      <c r="W17" s="49"/>
      <c r="X17" s="49"/>
      <c r="Y17" s="49"/>
      <c r="Z17" s="49"/>
      <c r="AA17" s="49"/>
      <c r="AB17" s="49"/>
      <c r="AC17" s="49">
        <f t="shared" si="1"/>
        <v>37830</v>
      </c>
      <c r="AD17" s="50">
        <v>36830</v>
      </c>
      <c r="AE17" s="49"/>
      <c r="AF17" s="49"/>
      <c r="AG17" s="49"/>
      <c r="AH17" s="50">
        <f t="shared" si="2"/>
        <v>36830</v>
      </c>
      <c r="AI17" s="50">
        <f t="shared" si="3"/>
        <v>1000</v>
      </c>
    </row>
    <row r="18" spans="1:35" x14ac:dyDescent="0.25">
      <c r="A18" s="47">
        <v>23</v>
      </c>
      <c r="B18" s="48" t="s">
        <v>66</v>
      </c>
      <c r="C18" s="48" t="s">
        <v>67</v>
      </c>
      <c r="D18" s="48" t="s">
        <v>232</v>
      </c>
      <c r="E18" s="49"/>
      <c r="F18" s="49">
        <v>20500</v>
      </c>
      <c r="G18" s="49">
        <v>2000</v>
      </c>
      <c r="H18" s="49">
        <v>2500</v>
      </c>
      <c r="I18" s="49">
        <v>18050</v>
      </c>
      <c r="J18" s="49">
        <v>3880</v>
      </c>
      <c r="K18" s="49">
        <v>1500</v>
      </c>
      <c r="L18" s="49"/>
      <c r="M18" s="49"/>
      <c r="N18" s="49">
        <v>4500</v>
      </c>
      <c r="O18" s="49">
        <v>1500</v>
      </c>
      <c r="P18" s="49"/>
      <c r="Q18" s="49"/>
      <c r="R18" s="49"/>
      <c r="S18" s="49"/>
      <c r="T18" s="49">
        <v>1000</v>
      </c>
      <c r="U18" s="49">
        <v>1000</v>
      </c>
      <c r="V18" s="49">
        <f t="shared" si="0"/>
        <v>3500</v>
      </c>
      <c r="W18" s="49"/>
      <c r="X18" s="49"/>
      <c r="Y18" s="49"/>
      <c r="Z18" s="49"/>
      <c r="AA18" s="49"/>
      <c r="AB18" s="49"/>
      <c r="AC18" s="49">
        <f t="shared" si="1"/>
        <v>59930</v>
      </c>
      <c r="AD18" s="49">
        <v>51930</v>
      </c>
      <c r="AE18" s="49"/>
      <c r="AF18" s="49"/>
      <c r="AG18" s="49"/>
      <c r="AH18" s="50">
        <f t="shared" si="2"/>
        <v>51930</v>
      </c>
      <c r="AI18" s="50">
        <f t="shared" si="3"/>
        <v>8000</v>
      </c>
    </row>
    <row r="19" spans="1:35" ht="15.75" customHeight="1" x14ac:dyDescent="0.25">
      <c r="A19" s="47">
        <v>33</v>
      </c>
      <c r="B19" s="48" t="s">
        <v>106</v>
      </c>
      <c r="C19" s="48" t="s">
        <v>821</v>
      </c>
      <c r="D19" s="48" t="s">
        <v>238</v>
      </c>
      <c r="E19" s="49"/>
      <c r="F19" s="49">
        <v>20500</v>
      </c>
      <c r="G19" s="49">
        <v>2000</v>
      </c>
      <c r="H19" s="49">
        <v>2500</v>
      </c>
      <c r="I19" s="49">
        <v>18600</v>
      </c>
      <c r="J19" s="49">
        <v>3880</v>
      </c>
      <c r="K19" s="49">
        <v>1500</v>
      </c>
      <c r="L19" s="49"/>
      <c r="M19" s="49"/>
      <c r="N19" s="49"/>
      <c r="O19" s="49">
        <v>1500</v>
      </c>
      <c r="P19" s="49"/>
      <c r="Q19" s="49"/>
      <c r="R19" s="49"/>
      <c r="S19" s="49">
        <v>4500</v>
      </c>
      <c r="T19" s="49">
        <v>1000</v>
      </c>
      <c r="U19" s="49">
        <v>1000</v>
      </c>
      <c r="V19" s="49">
        <f t="shared" si="0"/>
        <v>3500</v>
      </c>
      <c r="W19" s="49"/>
      <c r="X19" s="49"/>
      <c r="Y19" s="49"/>
      <c r="Z19" s="49"/>
      <c r="AA19" s="49"/>
      <c r="AB19" s="49"/>
      <c r="AC19" s="49">
        <f t="shared" si="1"/>
        <v>60480</v>
      </c>
      <c r="AD19" s="49">
        <v>56980</v>
      </c>
      <c r="AE19" s="49"/>
      <c r="AF19" s="49"/>
      <c r="AG19" s="49"/>
      <c r="AH19" s="50">
        <f t="shared" si="2"/>
        <v>56980</v>
      </c>
      <c r="AI19" s="50">
        <f t="shared" si="3"/>
        <v>3500</v>
      </c>
    </row>
    <row r="20" spans="1:35" ht="15.75" customHeight="1" x14ac:dyDescent="0.25">
      <c r="A20" s="47">
        <v>51</v>
      </c>
      <c r="B20" s="48" t="s">
        <v>52</v>
      </c>
      <c r="C20" s="48" t="s">
        <v>807</v>
      </c>
      <c r="D20" s="48" t="s">
        <v>245</v>
      </c>
      <c r="E20" s="49"/>
      <c r="F20" s="49">
        <v>29500</v>
      </c>
      <c r="G20" s="49">
        <v>2500</v>
      </c>
      <c r="H20" s="49">
        <v>1500</v>
      </c>
      <c r="I20" s="49">
        <v>5600</v>
      </c>
      <c r="J20" s="49">
        <v>9000</v>
      </c>
      <c r="K20" s="49">
        <v>2500</v>
      </c>
      <c r="L20" s="49">
        <v>13000</v>
      </c>
      <c r="M20" s="49"/>
      <c r="N20" s="49"/>
      <c r="O20" s="49">
        <v>2000</v>
      </c>
      <c r="P20" s="49"/>
      <c r="Q20" s="49"/>
      <c r="R20" s="49"/>
      <c r="S20" s="49">
        <v>5000</v>
      </c>
      <c r="T20" s="49">
        <v>3000</v>
      </c>
      <c r="U20" s="49"/>
      <c r="V20" s="49">
        <f t="shared" si="0"/>
        <v>5000</v>
      </c>
      <c r="W20" s="49"/>
      <c r="X20" s="49"/>
      <c r="Y20" s="49"/>
      <c r="Z20" s="49"/>
      <c r="AA20" s="49"/>
      <c r="AB20" s="49"/>
      <c r="AC20" s="49">
        <f t="shared" si="1"/>
        <v>78600</v>
      </c>
      <c r="AD20" s="49">
        <v>50000</v>
      </c>
      <c r="AE20" s="49">
        <v>23600</v>
      </c>
      <c r="AF20" s="49"/>
      <c r="AG20" s="49"/>
      <c r="AH20" s="50">
        <f t="shared" si="2"/>
        <v>73600</v>
      </c>
      <c r="AI20" s="50">
        <f t="shared" si="3"/>
        <v>5000</v>
      </c>
    </row>
    <row r="21" spans="1:35" ht="15.75" customHeight="1" x14ac:dyDescent="0.25">
      <c r="A21" s="47">
        <v>37</v>
      </c>
      <c r="B21" s="48" t="s">
        <v>241</v>
      </c>
      <c r="C21" s="48" t="s">
        <v>808</v>
      </c>
      <c r="D21" s="48" t="s">
        <v>242</v>
      </c>
      <c r="E21" s="49"/>
      <c r="F21" s="49" t="s">
        <v>46</v>
      </c>
      <c r="G21" s="49"/>
      <c r="H21" s="49"/>
      <c r="I21" s="49"/>
      <c r="J21" s="49"/>
      <c r="K21" s="49"/>
      <c r="L21" s="49">
        <v>7500</v>
      </c>
      <c r="M21" s="49">
        <v>3000</v>
      </c>
      <c r="N21" s="49">
        <v>5500</v>
      </c>
      <c r="O21" s="49"/>
      <c r="P21" s="49"/>
      <c r="Q21" s="49"/>
      <c r="R21" s="49">
        <v>4500</v>
      </c>
      <c r="S21" s="49"/>
      <c r="T21" s="49"/>
      <c r="U21" s="49"/>
      <c r="V21" s="49">
        <f t="shared" si="0"/>
        <v>0</v>
      </c>
      <c r="W21" s="49"/>
      <c r="X21" s="49"/>
      <c r="Y21" s="49"/>
      <c r="Z21" s="49"/>
      <c r="AA21" s="49"/>
      <c r="AB21" s="49"/>
      <c r="AC21" s="49">
        <f t="shared" si="1"/>
        <v>20500</v>
      </c>
      <c r="AD21" s="49">
        <v>28000</v>
      </c>
      <c r="AE21" s="49"/>
      <c r="AF21" s="49"/>
      <c r="AG21" s="49"/>
      <c r="AH21" s="50">
        <f t="shared" si="2"/>
        <v>28000</v>
      </c>
      <c r="AI21" s="50">
        <f t="shared" si="3"/>
        <v>-7500</v>
      </c>
    </row>
    <row r="22" spans="1:35" ht="15.75" customHeight="1" x14ac:dyDescent="0.25">
      <c r="A22" s="47">
        <v>52</v>
      </c>
      <c r="B22" s="48" t="s">
        <v>53</v>
      </c>
      <c r="C22" s="48" t="s">
        <v>54</v>
      </c>
      <c r="D22" s="48" t="s">
        <v>245</v>
      </c>
      <c r="E22" s="49"/>
      <c r="F22" s="49">
        <v>29500</v>
      </c>
      <c r="G22" s="49">
        <v>2500</v>
      </c>
      <c r="H22" s="49">
        <v>1500</v>
      </c>
      <c r="I22" s="49">
        <v>5600</v>
      </c>
      <c r="J22" s="49">
        <v>9000</v>
      </c>
      <c r="K22" s="49">
        <v>2500</v>
      </c>
      <c r="L22" s="49">
        <v>13000</v>
      </c>
      <c r="M22" s="49"/>
      <c r="N22" s="49"/>
      <c r="O22" s="49">
        <v>2000</v>
      </c>
      <c r="P22" s="49"/>
      <c r="Q22" s="49"/>
      <c r="R22" s="49"/>
      <c r="S22" s="49"/>
      <c r="T22" s="49">
        <v>3000</v>
      </c>
      <c r="U22" s="49"/>
      <c r="V22" s="49">
        <f t="shared" si="0"/>
        <v>5000</v>
      </c>
      <c r="W22" s="49"/>
      <c r="X22" s="49"/>
      <c r="Y22" s="49"/>
      <c r="Z22" s="49"/>
      <c r="AA22" s="49"/>
      <c r="AB22" s="49"/>
      <c r="AC22" s="49">
        <f t="shared" si="1"/>
        <v>73600</v>
      </c>
      <c r="AD22" s="49">
        <v>25000</v>
      </c>
      <c r="AE22" s="49">
        <v>15000</v>
      </c>
      <c r="AF22" s="49">
        <v>28600</v>
      </c>
      <c r="AG22" s="49"/>
      <c r="AH22" s="50">
        <f t="shared" si="2"/>
        <v>68600</v>
      </c>
      <c r="AI22" s="50">
        <f t="shared" si="3"/>
        <v>5000</v>
      </c>
    </row>
    <row r="23" spans="1:35" ht="15.75" customHeight="1" x14ac:dyDescent="0.25">
      <c r="A23" s="47">
        <v>46</v>
      </c>
      <c r="B23" s="48" t="s">
        <v>41</v>
      </c>
      <c r="C23" s="48" t="s">
        <v>809</v>
      </c>
      <c r="D23" s="48" t="s">
        <v>244</v>
      </c>
      <c r="E23" s="49"/>
      <c r="F23" s="49">
        <v>3000</v>
      </c>
      <c r="G23" s="49">
        <v>1500</v>
      </c>
      <c r="H23" s="49">
        <v>1500</v>
      </c>
      <c r="I23" s="49">
        <v>13950</v>
      </c>
      <c r="J23" s="49">
        <v>5000</v>
      </c>
      <c r="K23" s="49">
        <v>2000</v>
      </c>
      <c r="L23" s="49"/>
      <c r="M23" s="49"/>
      <c r="N23" s="49"/>
      <c r="O23" s="49">
        <v>2000</v>
      </c>
      <c r="P23" s="49"/>
      <c r="Q23" s="49"/>
      <c r="R23" s="49"/>
      <c r="S23" s="49"/>
      <c r="T23" s="49">
        <v>2500</v>
      </c>
      <c r="U23" s="49"/>
      <c r="V23" s="49">
        <f t="shared" si="0"/>
        <v>4500</v>
      </c>
      <c r="W23" s="49"/>
      <c r="X23" s="49"/>
      <c r="Y23" s="49"/>
      <c r="Z23" s="49"/>
      <c r="AA23" s="49"/>
      <c r="AB23" s="49">
        <v>2500</v>
      </c>
      <c r="AC23" s="49">
        <f t="shared" si="1"/>
        <v>38450</v>
      </c>
      <c r="AD23" s="49">
        <v>20000</v>
      </c>
      <c r="AE23" s="49">
        <v>5000</v>
      </c>
      <c r="AF23" s="49"/>
      <c r="AG23" s="49"/>
      <c r="AH23" s="50">
        <f t="shared" si="2"/>
        <v>25000</v>
      </c>
      <c r="AI23" s="50">
        <f t="shared" si="3"/>
        <v>13450</v>
      </c>
    </row>
    <row r="24" spans="1:35" ht="15.75" customHeight="1" x14ac:dyDescent="0.25">
      <c r="A24" s="47">
        <v>38</v>
      </c>
      <c r="B24" s="48" t="s">
        <v>117</v>
      </c>
      <c r="C24" s="48" t="s">
        <v>814</v>
      </c>
      <c r="D24" s="48" t="s">
        <v>242</v>
      </c>
      <c r="E24" s="49"/>
      <c r="F24" s="49">
        <v>22500</v>
      </c>
      <c r="G24" s="49">
        <v>2500</v>
      </c>
      <c r="H24" s="49">
        <v>1500</v>
      </c>
      <c r="I24" s="49">
        <v>15950</v>
      </c>
      <c r="J24" s="49">
        <v>5000</v>
      </c>
      <c r="K24" s="49">
        <v>2000</v>
      </c>
      <c r="L24" s="49">
        <v>7500</v>
      </c>
      <c r="M24" s="49">
        <v>3000</v>
      </c>
      <c r="N24" s="49">
        <v>5500</v>
      </c>
      <c r="O24" s="49">
        <v>2000</v>
      </c>
      <c r="P24" s="49"/>
      <c r="Q24" s="49"/>
      <c r="R24" s="49">
        <v>4500</v>
      </c>
      <c r="S24" s="49">
        <v>5000</v>
      </c>
      <c r="T24" s="49">
        <v>2500</v>
      </c>
      <c r="U24" s="49"/>
      <c r="V24" s="49">
        <f t="shared" si="0"/>
        <v>4500</v>
      </c>
      <c r="W24" s="49"/>
      <c r="X24" s="49"/>
      <c r="Y24" s="49"/>
      <c r="Z24" s="49"/>
      <c r="AA24" s="49"/>
      <c r="AB24" s="49">
        <v>-300</v>
      </c>
      <c r="AC24" s="49">
        <f t="shared" si="1"/>
        <v>83650</v>
      </c>
      <c r="AD24" s="49">
        <v>30000</v>
      </c>
      <c r="AE24" s="49">
        <v>30000</v>
      </c>
      <c r="AF24" s="49">
        <v>15000</v>
      </c>
      <c r="AG24" s="49"/>
      <c r="AH24" s="50">
        <f t="shared" si="2"/>
        <v>75000</v>
      </c>
      <c r="AI24" s="50">
        <f t="shared" si="3"/>
        <v>8650</v>
      </c>
    </row>
    <row r="25" spans="1:35" ht="15.75" customHeight="1" x14ac:dyDescent="0.25">
      <c r="A25" s="47">
        <v>55</v>
      </c>
      <c r="B25" s="48" t="s">
        <v>120</v>
      </c>
      <c r="C25" s="48" t="s">
        <v>121</v>
      </c>
      <c r="D25" s="48" t="s">
        <v>246</v>
      </c>
      <c r="E25" s="49"/>
      <c r="F25" s="49">
        <v>29500</v>
      </c>
      <c r="G25" s="49">
        <v>2500</v>
      </c>
      <c r="H25" s="49">
        <v>1500</v>
      </c>
      <c r="I25" s="49">
        <v>5600</v>
      </c>
      <c r="J25" s="49">
        <v>9000</v>
      </c>
      <c r="K25" s="49">
        <v>2500</v>
      </c>
      <c r="L25" s="49"/>
      <c r="M25" s="49"/>
      <c r="N25" s="49"/>
      <c r="O25" s="49">
        <v>2000</v>
      </c>
      <c r="P25" s="49"/>
      <c r="Q25" s="49"/>
      <c r="R25" s="49"/>
      <c r="S25" s="49">
        <v>5000</v>
      </c>
      <c r="T25" s="49">
        <v>3000</v>
      </c>
      <c r="U25" s="49"/>
      <c r="V25" s="49">
        <f t="shared" si="0"/>
        <v>5000</v>
      </c>
      <c r="W25" s="49"/>
      <c r="X25" s="49"/>
      <c r="Y25" s="49"/>
      <c r="Z25" s="49"/>
      <c r="AA25" s="49"/>
      <c r="AB25" s="49"/>
      <c r="AC25" s="49">
        <f t="shared" si="1"/>
        <v>65600</v>
      </c>
      <c r="AD25" s="49">
        <v>20000</v>
      </c>
      <c r="AE25" s="49">
        <v>20000</v>
      </c>
      <c r="AF25" s="49">
        <v>15000</v>
      </c>
      <c r="AG25" s="49"/>
      <c r="AH25" s="50">
        <f t="shared" si="2"/>
        <v>55000</v>
      </c>
      <c r="AI25" s="50">
        <f t="shared" si="3"/>
        <v>10600</v>
      </c>
    </row>
    <row r="26" spans="1:35" ht="15.75" customHeight="1" x14ac:dyDescent="0.25">
      <c r="A26" s="47">
        <v>47</v>
      </c>
      <c r="B26" s="48" t="s">
        <v>42</v>
      </c>
      <c r="C26" s="48" t="s">
        <v>817</v>
      </c>
      <c r="D26" s="48" t="s">
        <v>244</v>
      </c>
      <c r="E26" s="49"/>
      <c r="F26" s="49">
        <v>33750</v>
      </c>
      <c r="G26" s="49">
        <v>2500</v>
      </c>
      <c r="H26" s="49">
        <v>1500</v>
      </c>
      <c r="I26" s="49">
        <v>13950</v>
      </c>
      <c r="J26" s="49">
        <v>5000</v>
      </c>
      <c r="K26" s="49">
        <v>2000</v>
      </c>
      <c r="L26" s="49"/>
      <c r="M26" s="49"/>
      <c r="N26" s="49"/>
      <c r="O26" s="49">
        <v>2000</v>
      </c>
      <c r="P26" s="49"/>
      <c r="Q26" s="49"/>
      <c r="R26" s="49"/>
      <c r="S26" s="49">
        <v>5000</v>
      </c>
      <c r="T26" s="49">
        <v>2500</v>
      </c>
      <c r="U26" s="49"/>
      <c r="V26" s="49">
        <f t="shared" si="0"/>
        <v>4500</v>
      </c>
      <c r="W26" s="49"/>
      <c r="X26" s="49"/>
      <c r="Y26" s="49"/>
      <c r="Z26" s="49"/>
      <c r="AA26" s="49"/>
      <c r="AB26" s="49">
        <v>650</v>
      </c>
      <c r="AC26" s="49">
        <f t="shared" si="1"/>
        <v>73350</v>
      </c>
      <c r="AD26" s="49">
        <v>20000</v>
      </c>
      <c r="AE26" s="49">
        <v>20000</v>
      </c>
      <c r="AF26" s="49">
        <v>10000</v>
      </c>
      <c r="AG26" s="49">
        <v>19000</v>
      </c>
      <c r="AH26" s="50">
        <f t="shared" si="2"/>
        <v>69000</v>
      </c>
      <c r="AI26" s="50">
        <f t="shared" si="3"/>
        <v>4350</v>
      </c>
    </row>
    <row r="27" spans="1:35" ht="15.75" customHeight="1" x14ac:dyDescent="0.25">
      <c r="A27" s="47">
        <v>24</v>
      </c>
      <c r="B27" s="48" t="s">
        <v>58</v>
      </c>
      <c r="C27" s="48" t="s">
        <v>233</v>
      </c>
      <c r="D27" s="48" t="s">
        <v>232</v>
      </c>
      <c r="E27" s="49">
        <v>1500</v>
      </c>
      <c r="F27" s="49">
        <v>20500</v>
      </c>
      <c r="G27" s="49">
        <v>2000</v>
      </c>
      <c r="H27" s="49">
        <v>2500</v>
      </c>
      <c r="I27" s="49">
        <v>18050</v>
      </c>
      <c r="J27" s="49">
        <v>3880</v>
      </c>
      <c r="K27" s="49">
        <v>1500</v>
      </c>
      <c r="L27" s="49">
        <v>12000</v>
      </c>
      <c r="M27" s="49"/>
      <c r="N27" s="49">
        <v>4500</v>
      </c>
      <c r="O27" s="49">
        <v>1500</v>
      </c>
      <c r="P27" s="49"/>
      <c r="Q27" s="49"/>
      <c r="R27" s="49">
        <v>4000</v>
      </c>
      <c r="S27" s="49"/>
      <c r="T27" s="49">
        <v>1000</v>
      </c>
      <c r="U27" s="49">
        <v>1000</v>
      </c>
      <c r="V27" s="49">
        <f t="shared" si="0"/>
        <v>3500</v>
      </c>
      <c r="W27" s="49"/>
      <c r="X27" s="49"/>
      <c r="Y27" s="49"/>
      <c r="Z27" s="49"/>
      <c r="AA27" s="49"/>
      <c r="AB27" s="49"/>
      <c r="AC27" s="49">
        <f t="shared" si="1"/>
        <v>77430</v>
      </c>
      <c r="AD27" s="49">
        <v>50000</v>
      </c>
      <c r="AE27" s="49">
        <v>23930</v>
      </c>
      <c r="AF27" s="49"/>
      <c r="AG27" s="49"/>
      <c r="AH27" s="50">
        <f t="shared" si="2"/>
        <v>73930</v>
      </c>
      <c r="AI27" s="50">
        <f t="shared" si="3"/>
        <v>3500</v>
      </c>
    </row>
    <row r="28" spans="1:35" ht="15.75" customHeight="1" x14ac:dyDescent="0.25">
      <c r="A28" s="47">
        <v>5</v>
      </c>
      <c r="B28" s="48" t="s">
        <v>132</v>
      </c>
      <c r="C28" s="48" t="s">
        <v>133</v>
      </c>
      <c r="D28" s="48" t="s">
        <v>223</v>
      </c>
      <c r="E28" s="49"/>
      <c r="F28" s="49">
        <v>18500</v>
      </c>
      <c r="G28" s="49">
        <v>1500</v>
      </c>
      <c r="H28" s="49">
        <v>1000</v>
      </c>
      <c r="I28" s="49">
        <v>16350</v>
      </c>
      <c r="J28" s="49"/>
      <c r="K28" s="49">
        <v>1500</v>
      </c>
      <c r="L28" s="49">
        <v>5000</v>
      </c>
      <c r="M28" s="49"/>
      <c r="N28" s="49"/>
      <c r="O28" s="49"/>
      <c r="P28" s="49"/>
      <c r="Q28" s="49"/>
      <c r="R28" s="49"/>
      <c r="S28" s="49"/>
      <c r="T28" s="49"/>
      <c r="U28" s="49"/>
      <c r="V28" s="49">
        <f t="shared" si="0"/>
        <v>0</v>
      </c>
      <c r="W28" s="49"/>
      <c r="X28" s="49"/>
      <c r="Y28" s="49"/>
      <c r="Z28" s="49"/>
      <c r="AA28" s="49"/>
      <c r="AB28" s="49">
        <v>-640</v>
      </c>
      <c r="AC28" s="49">
        <f t="shared" si="1"/>
        <v>43210</v>
      </c>
      <c r="AD28" s="49">
        <v>43300</v>
      </c>
      <c r="AE28" s="49"/>
      <c r="AF28" s="49"/>
      <c r="AG28" s="49"/>
      <c r="AH28" s="50">
        <f t="shared" si="2"/>
        <v>43300</v>
      </c>
      <c r="AI28" s="50">
        <f t="shared" si="3"/>
        <v>-90</v>
      </c>
    </row>
    <row r="29" spans="1:35" ht="15.75" customHeight="1" x14ac:dyDescent="0.25">
      <c r="A29" s="47">
        <v>14</v>
      </c>
      <c r="B29" s="48" t="s">
        <v>82</v>
      </c>
      <c r="C29" s="48" t="s">
        <v>83</v>
      </c>
      <c r="D29" s="48" t="s">
        <v>228</v>
      </c>
      <c r="E29" s="49"/>
      <c r="F29" s="49">
        <v>18500</v>
      </c>
      <c r="G29" s="49">
        <v>1500</v>
      </c>
      <c r="H29" s="49">
        <v>1000</v>
      </c>
      <c r="I29" s="49">
        <v>16350</v>
      </c>
      <c r="J29" s="49">
        <v>3600</v>
      </c>
      <c r="K29" s="49">
        <v>1500</v>
      </c>
      <c r="L29" s="49"/>
      <c r="M29" s="49"/>
      <c r="N29" s="49"/>
      <c r="O29" s="49"/>
      <c r="P29" s="49"/>
      <c r="Q29" s="49"/>
      <c r="R29" s="49"/>
      <c r="S29" s="49"/>
      <c r="T29" s="49">
        <v>500</v>
      </c>
      <c r="U29" s="49">
        <v>500</v>
      </c>
      <c r="V29" s="49">
        <f t="shared" si="0"/>
        <v>1000</v>
      </c>
      <c r="W29" s="49"/>
      <c r="X29" s="49"/>
      <c r="Y29" s="49"/>
      <c r="Z29" s="49"/>
      <c r="AA29" s="49"/>
      <c r="AB29" s="49"/>
      <c r="AC29" s="49">
        <f t="shared" si="1"/>
        <v>44450</v>
      </c>
      <c r="AD29" s="49">
        <v>43450</v>
      </c>
      <c r="AE29" s="49"/>
      <c r="AF29" s="49"/>
      <c r="AG29" s="49"/>
      <c r="AH29" s="50">
        <f t="shared" si="2"/>
        <v>43450</v>
      </c>
      <c r="AI29" s="50">
        <f t="shared" si="3"/>
        <v>1000</v>
      </c>
    </row>
    <row r="30" spans="1:35" ht="15.75" customHeight="1" x14ac:dyDescent="0.25">
      <c r="A30" s="47">
        <v>15</v>
      </c>
      <c r="B30" s="48" t="s">
        <v>86</v>
      </c>
      <c r="C30" s="48" t="s">
        <v>87</v>
      </c>
      <c r="D30" s="48" t="s">
        <v>228</v>
      </c>
      <c r="E30" s="49"/>
      <c r="F30" s="49">
        <v>9250</v>
      </c>
      <c r="G30" s="49">
        <v>750</v>
      </c>
      <c r="H30" s="49">
        <v>1000</v>
      </c>
      <c r="I30" s="49">
        <v>16350</v>
      </c>
      <c r="J30" s="49">
        <v>3600</v>
      </c>
      <c r="K30" s="49">
        <v>1500</v>
      </c>
      <c r="L30" s="49"/>
      <c r="M30" s="49"/>
      <c r="N30" s="49"/>
      <c r="O30" s="49"/>
      <c r="P30" s="49"/>
      <c r="Q30" s="49"/>
      <c r="R30" s="49"/>
      <c r="S30" s="49"/>
      <c r="T30" s="49">
        <v>500</v>
      </c>
      <c r="U30" s="49">
        <v>500</v>
      </c>
      <c r="V30" s="49">
        <f t="shared" si="0"/>
        <v>1000</v>
      </c>
      <c r="W30" s="49"/>
      <c r="X30" s="49"/>
      <c r="Y30" s="49"/>
      <c r="Z30" s="49"/>
      <c r="AA30" s="49"/>
      <c r="AB30" s="49">
        <v>22000</v>
      </c>
      <c r="AC30" s="49">
        <f t="shared" si="1"/>
        <v>56450</v>
      </c>
      <c r="AD30" s="49">
        <v>15000</v>
      </c>
      <c r="AE30" s="49">
        <v>20450</v>
      </c>
      <c r="AF30" s="49"/>
      <c r="AG30" s="49"/>
      <c r="AH30" s="50">
        <f t="shared" si="2"/>
        <v>35450</v>
      </c>
      <c r="AI30" s="50">
        <f t="shared" si="3"/>
        <v>21000</v>
      </c>
    </row>
    <row r="31" spans="1:35" ht="15.75" customHeight="1" x14ac:dyDescent="0.25">
      <c r="A31" s="47">
        <v>16</v>
      </c>
      <c r="B31" s="48" t="s">
        <v>55</v>
      </c>
      <c r="C31" s="48" t="s">
        <v>820</v>
      </c>
      <c r="D31" s="48" t="s">
        <v>228</v>
      </c>
      <c r="E31" s="49"/>
      <c r="F31" s="49">
        <v>18500</v>
      </c>
      <c r="G31" s="49">
        <v>1500</v>
      </c>
      <c r="H31" s="49">
        <v>1000</v>
      </c>
      <c r="I31" s="49">
        <v>16350</v>
      </c>
      <c r="J31" s="49"/>
      <c r="K31" s="49">
        <v>1500</v>
      </c>
      <c r="L31" s="49">
        <v>5000</v>
      </c>
      <c r="M31" s="49"/>
      <c r="N31" s="49"/>
      <c r="O31" s="49"/>
      <c r="P31" s="49"/>
      <c r="Q31" s="49"/>
      <c r="R31" s="49"/>
      <c r="S31" s="49"/>
      <c r="T31" s="49">
        <v>500</v>
      </c>
      <c r="U31" s="49">
        <v>500</v>
      </c>
      <c r="V31" s="49">
        <f t="shared" si="0"/>
        <v>1000</v>
      </c>
      <c r="W31" s="49"/>
      <c r="X31" s="49"/>
      <c r="Y31" s="49"/>
      <c r="Z31" s="49"/>
      <c r="AA31" s="49"/>
      <c r="AB31" s="49"/>
      <c r="AC31" s="49">
        <f t="shared" si="1"/>
        <v>45850</v>
      </c>
      <c r="AD31" s="49">
        <v>25000</v>
      </c>
      <c r="AE31" s="49">
        <v>10000</v>
      </c>
      <c r="AF31" s="49">
        <v>9850</v>
      </c>
      <c r="AG31" s="49"/>
      <c r="AH31" s="50">
        <f t="shared" si="2"/>
        <v>44850</v>
      </c>
      <c r="AI31" s="50">
        <f t="shared" si="3"/>
        <v>1000</v>
      </c>
    </row>
    <row r="32" spans="1:35" ht="15.75" customHeight="1" x14ac:dyDescent="0.25">
      <c r="A32" s="47">
        <v>29</v>
      </c>
      <c r="B32" s="48" t="s">
        <v>55</v>
      </c>
      <c r="C32" s="48" t="s">
        <v>818</v>
      </c>
      <c r="D32" s="48" t="s">
        <v>237</v>
      </c>
      <c r="E32" s="49"/>
      <c r="F32" s="49">
        <v>20500</v>
      </c>
      <c r="G32" s="49">
        <v>2000</v>
      </c>
      <c r="H32" s="49">
        <v>2500</v>
      </c>
      <c r="I32" s="49">
        <v>18600</v>
      </c>
      <c r="J32" s="49">
        <v>3880</v>
      </c>
      <c r="K32" s="49">
        <v>1500</v>
      </c>
      <c r="L32" s="49">
        <v>6000</v>
      </c>
      <c r="M32" s="49"/>
      <c r="N32" s="49"/>
      <c r="O32" s="49">
        <v>1500</v>
      </c>
      <c r="P32" s="49"/>
      <c r="Q32" s="49"/>
      <c r="R32" s="49"/>
      <c r="S32" s="49"/>
      <c r="T32" s="49">
        <v>1000</v>
      </c>
      <c r="U32" s="49">
        <v>1000</v>
      </c>
      <c r="V32" s="49">
        <f t="shared" si="0"/>
        <v>3500</v>
      </c>
      <c r="W32" s="49"/>
      <c r="X32" s="49"/>
      <c r="Y32" s="49"/>
      <c r="Z32" s="49"/>
      <c r="AA32" s="49"/>
      <c r="AB32" s="49"/>
      <c r="AC32" s="49">
        <f t="shared" si="1"/>
        <v>61980</v>
      </c>
      <c r="AD32" s="49">
        <v>25000</v>
      </c>
      <c r="AE32" s="49">
        <v>20000</v>
      </c>
      <c r="AF32" s="49">
        <v>13480</v>
      </c>
      <c r="AG32" s="49"/>
      <c r="AH32" s="50">
        <f t="shared" si="2"/>
        <v>58480</v>
      </c>
      <c r="AI32" s="50">
        <f t="shared" si="3"/>
        <v>3500</v>
      </c>
    </row>
    <row r="33" spans="1:35" ht="15.75" customHeight="1" x14ac:dyDescent="0.25">
      <c r="A33" s="47">
        <v>39</v>
      </c>
      <c r="B33" s="48" t="s">
        <v>55</v>
      </c>
      <c r="C33" s="48" t="s">
        <v>821</v>
      </c>
      <c r="D33" s="48" t="s">
        <v>242</v>
      </c>
      <c r="E33" s="49"/>
      <c r="F33" s="49" t="s">
        <v>46</v>
      </c>
      <c r="G33" s="49"/>
      <c r="H33" s="49"/>
      <c r="I33" s="49"/>
      <c r="J33" s="49"/>
      <c r="K33" s="49"/>
      <c r="L33" s="49">
        <v>7500</v>
      </c>
      <c r="M33" s="49">
        <v>3000</v>
      </c>
      <c r="N33" s="49">
        <v>5500</v>
      </c>
      <c r="O33" s="49"/>
      <c r="P33" s="49"/>
      <c r="Q33" s="49"/>
      <c r="R33" s="49">
        <v>4500</v>
      </c>
      <c r="S33" s="49"/>
      <c r="T33" s="49"/>
      <c r="U33" s="49"/>
      <c r="V33" s="49">
        <f t="shared" si="0"/>
        <v>0</v>
      </c>
      <c r="W33" s="49"/>
      <c r="X33" s="49"/>
      <c r="Y33" s="49"/>
      <c r="Z33" s="49"/>
      <c r="AA33" s="49"/>
      <c r="AB33" s="49"/>
      <c r="AC33" s="49">
        <f t="shared" si="1"/>
        <v>20500</v>
      </c>
      <c r="AD33" s="49">
        <v>20500</v>
      </c>
      <c r="AE33" s="49"/>
      <c r="AF33" s="49"/>
      <c r="AG33" s="49"/>
      <c r="AH33" s="50">
        <f t="shared" si="2"/>
        <v>20500</v>
      </c>
      <c r="AI33" s="50">
        <f t="shared" si="3"/>
        <v>0</v>
      </c>
    </row>
    <row r="34" spans="1:35" ht="15.75" customHeight="1" x14ac:dyDescent="0.25">
      <c r="A34" s="47">
        <v>53</v>
      </c>
      <c r="B34" s="48" t="s">
        <v>55</v>
      </c>
      <c r="C34" s="48" t="s">
        <v>819</v>
      </c>
      <c r="D34" s="48" t="s">
        <v>245</v>
      </c>
      <c r="E34" s="49"/>
      <c r="F34" s="49">
        <v>29500</v>
      </c>
      <c r="G34" s="49">
        <v>2500</v>
      </c>
      <c r="H34" s="49">
        <v>1500</v>
      </c>
      <c r="I34" s="49">
        <v>5600</v>
      </c>
      <c r="J34" s="49">
        <v>9000</v>
      </c>
      <c r="K34" s="49">
        <v>2500</v>
      </c>
      <c r="L34" s="49">
        <v>13000</v>
      </c>
      <c r="M34" s="49"/>
      <c r="N34" s="49"/>
      <c r="O34" s="49">
        <v>2000</v>
      </c>
      <c r="P34" s="49"/>
      <c r="Q34" s="49"/>
      <c r="R34" s="49"/>
      <c r="S34" s="49">
        <v>5000</v>
      </c>
      <c r="T34" s="49">
        <v>3000</v>
      </c>
      <c r="U34" s="49"/>
      <c r="V34" s="49">
        <f t="shared" ref="V34:V65" si="4">U34+T34+O34</f>
        <v>5000</v>
      </c>
      <c r="W34" s="49"/>
      <c r="X34" s="49"/>
      <c r="Y34" s="49"/>
      <c r="Z34" s="49"/>
      <c r="AA34" s="49"/>
      <c r="AB34" s="49"/>
      <c r="AC34" s="49">
        <f t="shared" ref="AC34:AC65" si="5">SUM(E34:AB34)</f>
        <v>78600</v>
      </c>
      <c r="AD34" s="49">
        <v>29500</v>
      </c>
      <c r="AE34" s="49">
        <v>20000</v>
      </c>
      <c r="AF34" s="49">
        <v>6670</v>
      </c>
      <c r="AG34" s="49">
        <v>17430</v>
      </c>
      <c r="AH34" s="50">
        <f t="shared" ref="AH34:AH65" si="6">SUM(AD34:AG34)</f>
        <v>73600</v>
      </c>
      <c r="AI34" s="50">
        <f t="shared" ref="AI34:AI65" si="7">AC34-AH34</f>
        <v>5000</v>
      </c>
    </row>
    <row r="35" spans="1:35" ht="15.75" customHeight="1" x14ac:dyDescent="0.25">
      <c r="A35" s="47">
        <v>1</v>
      </c>
      <c r="B35" s="48" t="s">
        <v>217</v>
      </c>
      <c r="C35" s="48" t="s">
        <v>218</v>
      </c>
      <c r="D35" s="48" t="s">
        <v>219</v>
      </c>
      <c r="E35" s="49">
        <v>1500</v>
      </c>
      <c r="F35" s="49">
        <v>18500</v>
      </c>
      <c r="G35" s="49">
        <v>1000</v>
      </c>
      <c r="H35" s="49">
        <v>200</v>
      </c>
      <c r="I35" s="49">
        <v>4170</v>
      </c>
      <c r="J35" s="49">
        <v>1800</v>
      </c>
      <c r="K35" s="49">
        <v>1500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>
        <f t="shared" si="4"/>
        <v>0</v>
      </c>
      <c r="W35" s="49"/>
      <c r="X35" s="49"/>
      <c r="Y35" s="49"/>
      <c r="Z35" s="49"/>
      <c r="AA35" s="49"/>
      <c r="AB35" s="49"/>
      <c r="AC35" s="49">
        <f t="shared" si="5"/>
        <v>28670</v>
      </c>
      <c r="AD35" s="49">
        <v>30170</v>
      </c>
      <c r="AE35" s="49"/>
      <c r="AF35" s="49"/>
      <c r="AG35" s="49"/>
      <c r="AH35" s="50">
        <f t="shared" si="6"/>
        <v>30170</v>
      </c>
      <c r="AI35" s="50">
        <f t="shared" si="7"/>
        <v>-1500</v>
      </c>
    </row>
    <row r="36" spans="1:35" ht="15.75" customHeight="1" x14ac:dyDescent="0.25">
      <c r="A36" s="47">
        <v>42</v>
      </c>
      <c r="B36" s="48" t="s">
        <v>31</v>
      </c>
      <c r="C36" s="48" t="s">
        <v>822</v>
      </c>
      <c r="D36" s="48" t="s">
        <v>243</v>
      </c>
      <c r="E36" s="49"/>
      <c r="F36" s="49">
        <v>22500</v>
      </c>
      <c r="G36" s="49">
        <v>2500</v>
      </c>
      <c r="H36" s="49">
        <v>1500</v>
      </c>
      <c r="I36" s="49">
        <v>16250</v>
      </c>
      <c r="J36" s="49">
        <v>5000</v>
      </c>
      <c r="K36" s="49">
        <v>2000</v>
      </c>
      <c r="L36" s="49"/>
      <c r="M36" s="49"/>
      <c r="N36" s="49"/>
      <c r="O36" s="49">
        <v>2000</v>
      </c>
      <c r="P36" s="49"/>
      <c r="Q36" s="49"/>
      <c r="R36" s="49"/>
      <c r="S36" s="49">
        <v>5000</v>
      </c>
      <c r="T36" s="49">
        <v>2500</v>
      </c>
      <c r="U36" s="49"/>
      <c r="V36" s="49">
        <f t="shared" si="4"/>
        <v>4500</v>
      </c>
      <c r="W36" s="49"/>
      <c r="X36" s="49"/>
      <c r="Y36" s="49"/>
      <c r="Z36" s="49"/>
      <c r="AA36" s="49"/>
      <c r="AB36" s="49">
        <v>5750</v>
      </c>
      <c r="AC36" s="49">
        <f t="shared" si="5"/>
        <v>69500</v>
      </c>
      <c r="AD36" s="49">
        <v>50000</v>
      </c>
      <c r="AE36" s="49">
        <v>15000</v>
      </c>
      <c r="AF36" s="49"/>
      <c r="AG36" s="49"/>
      <c r="AH36" s="50">
        <f t="shared" si="6"/>
        <v>65000</v>
      </c>
      <c r="AI36" s="50">
        <f t="shared" si="7"/>
        <v>4500</v>
      </c>
    </row>
    <row r="37" spans="1:35" ht="15.75" customHeight="1" x14ac:dyDescent="0.25">
      <c r="A37" s="47">
        <v>48</v>
      </c>
      <c r="B37" s="48" t="s">
        <v>31</v>
      </c>
      <c r="C37" s="48" t="s">
        <v>823</v>
      </c>
      <c r="D37" s="48" t="s">
        <v>244</v>
      </c>
      <c r="E37" s="49"/>
      <c r="F37" s="49">
        <v>33750</v>
      </c>
      <c r="G37" s="49">
        <v>2500</v>
      </c>
      <c r="H37" s="49">
        <v>1500</v>
      </c>
      <c r="I37" s="49">
        <v>13950</v>
      </c>
      <c r="J37" s="49">
        <v>5000</v>
      </c>
      <c r="K37" s="49">
        <v>2000</v>
      </c>
      <c r="L37" s="49"/>
      <c r="M37" s="49"/>
      <c r="N37" s="49"/>
      <c r="O37" s="49">
        <v>2000</v>
      </c>
      <c r="P37" s="49"/>
      <c r="Q37" s="49"/>
      <c r="R37" s="49"/>
      <c r="S37" s="49">
        <v>5000</v>
      </c>
      <c r="T37" s="49">
        <v>2500</v>
      </c>
      <c r="U37" s="49"/>
      <c r="V37" s="49">
        <f t="shared" si="4"/>
        <v>4500</v>
      </c>
      <c r="W37" s="49"/>
      <c r="X37" s="49"/>
      <c r="Y37" s="49"/>
      <c r="Z37" s="49"/>
      <c r="AA37" s="49"/>
      <c r="AB37" s="49">
        <v>4500</v>
      </c>
      <c r="AC37" s="49">
        <f t="shared" si="5"/>
        <v>77200</v>
      </c>
      <c r="AD37" s="49">
        <v>35000</v>
      </c>
      <c r="AE37" s="49">
        <v>20000</v>
      </c>
      <c r="AF37" s="49">
        <v>10000</v>
      </c>
      <c r="AG37" s="49"/>
      <c r="AH37" s="50">
        <f t="shared" si="6"/>
        <v>65000</v>
      </c>
      <c r="AI37" s="50">
        <f t="shared" si="7"/>
        <v>12200</v>
      </c>
    </row>
    <row r="38" spans="1:35" ht="15.75" customHeight="1" x14ac:dyDescent="0.25">
      <c r="A38" s="47">
        <v>6</v>
      </c>
      <c r="B38" s="48" t="s">
        <v>225</v>
      </c>
      <c r="C38" s="48" t="s">
        <v>226</v>
      </c>
      <c r="D38" s="48" t="s">
        <v>223</v>
      </c>
      <c r="E38" s="49">
        <v>1500</v>
      </c>
      <c r="F38" s="49">
        <v>18500</v>
      </c>
      <c r="G38" s="49">
        <v>1500</v>
      </c>
      <c r="H38" s="49">
        <v>1000</v>
      </c>
      <c r="I38" s="49">
        <v>16350</v>
      </c>
      <c r="J38" s="49">
        <v>2700</v>
      </c>
      <c r="K38" s="49">
        <v>1500</v>
      </c>
      <c r="L38" s="49">
        <v>10000</v>
      </c>
      <c r="M38" s="49"/>
      <c r="N38" s="49">
        <v>4500</v>
      </c>
      <c r="O38" s="49"/>
      <c r="P38" s="49"/>
      <c r="Q38" s="49"/>
      <c r="R38" s="49">
        <v>4000</v>
      </c>
      <c r="S38" s="49"/>
      <c r="T38" s="49"/>
      <c r="U38" s="49"/>
      <c r="V38" s="49">
        <f t="shared" si="4"/>
        <v>0</v>
      </c>
      <c r="W38" s="49"/>
      <c r="X38" s="49"/>
      <c r="Y38" s="49"/>
      <c r="Z38" s="49"/>
      <c r="AA38" s="49"/>
      <c r="AB38" s="49"/>
      <c r="AC38" s="49">
        <f t="shared" si="5"/>
        <v>61550</v>
      </c>
      <c r="AD38" s="49">
        <v>30000</v>
      </c>
      <c r="AE38" s="49">
        <v>31550</v>
      </c>
      <c r="AF38" s="49"/>
      <c r="AG38" s="49"/>
      <c r="AH38" s="50">
        <f t="shared" si="6"/>
        <v>61550</v>
      </c>
      <c r="AI38" s="50">
        <f t="shared" si="7"/>
        <v>0</v>
      </c>
    </row>
    <row r="39" spans="1:35" ht="15.75" customHeight="1" x14ac:dyDescent="0.25">
      <c r="A39" s="47">
        <v>2</v>
      </c>
      <c r="B39" s="48" t="s">
        <v>220</v>
      </c>
      <c r="C39" s="48" t="s">
        <v>42</v>
      </c>
      <c r="D39" s="48" t="s">
        <v>219</v>
      </c>
      <c r="E39" s="49">
        <v>1500</v>
      </c>
      <c r="F39" s="49">
        <v>18500</v>
      </c>
      <c r="G39" s="49">
        <v>1000</v>
      </c>
      <c r="H39" s="49">
        <v>200</v>
      </c>
      <c r="I39" s="49">
        <v>4170</v>
      </c>
      <c r="J39" s="49">
        <v>1800</v>
      </c>
      <c r="K39" s="49">
        <v>1500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>
        <f t="shared" si="4"/>
        <v>0</v>
      </c>
      <c r="W39" s="49"/>
      <c r="X39" s="49"/>
      <c r="Y39" s="49"/>
      <c r="Z39" s="49"/>
      <c r="AA39" s="49"/>
      <c r="AB39" s="49"/>
      <c r="AC39" s="49">
        <f t="shared" si="5"/>
        <v>28670</v>
      </c>
      <c r="AD39" s="49">
        <v>21500</v>
      </c>
      <c r="AE39" s="49">
        <v>10000</v>
      </c>
      <c r="AF39" s="49"/>
      <c r="AG39" s="49"/>
      <c r="AH39" s="50">
        <f t="shared" si="6"/>
        <v>31500</v>
      </c>
      <c r="AI39" s="50">
        <f t="shared" si="7"/>
        <v>-2830</v>
      </c>
    </row>
    <row r="40" spans="1:35" ht="15.75" customHeight="1" x14ac:dyDescent="0.25">
      <c r="A40" s="47">
        <v>43</v>
      </c>
      <c r="B40" s="48" t="s">
        <v>33</v>
      </c>
      <c r="C40" s="48" t="s">
        <v>29</v>
      </c>
      <c r="D40" s="48" t="s">
        <v>243</v>
      </c>
      <c r="E40" s="49"/>
      <c r="F40" s="49">
        <v>22500</v>
      </c>
      <c r="G40" s="49">
        <v>2500</v>
      </c>
      <c r="H40" s="49">
        <v>1500</v>
      </c>
      <c r="I40" s="49">
        <v>16250</v>
      </c>
      <c r="J40" s="49">
        <v>5000</v>
      </c>
      <c r="K40" s="49">
        <v>2000</v>
      </c>
      <c r="L40" s="49"/>
      <c r="M40" s="49"/>
      <c r="N40" s="49"/>
      <c r="O40" s="49">
        <v>2000</v>
      </c>
      <c r="P40" s="49"/>
      <c r="Q40" s="49"/>
      <c r="R40" s="49"/>
      <c r="S40" s="49">
        <v>5000</v>
      </c>
      <c r="T40" s="49">
        <v>2500</v>
      </c>
      <c r="U40" s="49"/>
      <c r="V40" s="49">
        <f t="shared" si="4"/>
        <v>4500</v>
      </c>
      <c r="W40" s="49"/>
      <c r="X40" s="49"/>
      <c r="Y40" s="49"/>
      <c r="Z40" s="49"/>
      <c r="AA40" s="49"/>
      <c r="AB40" s="49"/>
      <c r="AC40" s="49">
        <f t="shared" si="5"/>
        <v>63750</v>
      </c>
      <c r="AD40" s="51">
        <v>45000</v>
      </c>
      <c r="AE40" s="49">
        <v>15750</v>
      </c>
      <c r="AF40" s="49"/>
      <c r="AG40" s="49"/>
      <c r="AH40" s="50">
        <f t="shared" si="6"/>
        <v>60750</v>
      </c>
      <c r="AI40" s="50">
        <f t="shared" si="7"/>
        <v>3000</v>
      </c>
    </row>
    <row r="41" spans="1:35" ht="15.75" customHeight="1" x14ac:dyDescent="0.25">
      <c r="A41" s="47">
        <v>54</v>
      </c>
      <c r="B41" s="48" t="s">
        <v>33</v>
      </c>
      <c r="C41" s="48" t="s">
        <v>824</v>
      </c>
      <c r="D41" s="48" t="s">
        <v>245</v>
      </c>
      <c r="E41" s="49"/>
      <c r="F41" s="49">
        <v>29500</v>
      </c>
      <c r="G41" s="49">
        <v>2500</v>
      </c>
      <c r="H41" s="49">
        <v>1500</v>
      </c>
      <c r="I41" s="49">
        <v>5600</v>
      </c>
      <c r="J41" s="49">
        <v>4500</v>
      </c>
      <c r="K41" s="49">
        <v>2500</v>
      </c>
      <c r="L41" s="49">
        <v>13000</v>
      </c>
      <c r="M41" s="49"/>
      <c r="N41" s="49"/>
      <c r="O41" s="49">
        <v>2000</v>
      </c>
      <c r="P41" s="49"/>
      <c r="Q41" s="49"/>
      <c r="R41" s="49"/>
      <c r="S41" s="49">
        <v>5000</v>
      </c>
      <c r="T41" s="49">
        <v>3000</v>
      </c>
      <c r="U41" s="49"/>
      <c r="V41" s="49">
        <f t="shared" si="4"/>
        <v>5000</v>
      </c>
      <c r="W41" s="49"/>
      <c r="X41" s="49"/>
      <c r="Y41" s="49"/>
      <c r="Z41" s="49"/>
      <c r="AA41" s="49"/>
      <c r="AB41" s="49"/>
      <c r="AC41" s="49">
        <f t="shared" si="5"/>
        <v>74100</v>
      </c>
      <c r="AD41" s="49">
        <v>20000</v>
      </c>
      <c r="AE41" s="49">
        <v>20000</v>
      </c>
      <c r="AF41" s="49">
        <v>29100</v>
      </c>
      <c r="AG41" s="49"/>
      <c r="AH41" s="50">
        <f t="shared" si="6"/>
        <v>69100</v>
      </c>
      <c r="AI41" s="50">
        <f t="shared" si="7"/>
        <v>5000</v>
      </c>
    </row>
    <row r="42" spans="1:35" ht="15.75" customHeight="1" x14ac:dyDescent="0.25">
      <c r="A42" s="47">
        <v>17</v>
      </c>
      <c r="B42" s="48" t="s">
        <v>94</v>
      </c>
      <c r="C42" s="48" t="s">
        <v>229</v>
      </c>
      <c r="D42" s="48" t="s">
        <v>228</v>
      </c>
      <c r="E42" s="49">
        <v>1500</v>
      </c>
      <c r="F42" s="49">
        <v>18500</v>
      </c>
      <c r="G42" s="49">
        <v>1500</v>
      </c>
      <c r="H42" s="49">
        <v>1000</v>
      </c>
      <c r="I42" s="49">
        <v>16350</v>
      </c>
      <c r="J42" s="49">
        <v>3600</v>
      </c>
      <c r="K42" s="49">
        <v>1500</v>
      </c>
      <c r="L42" s="49">
        <v>10000</v>
      </c>
      <c r="M42" s="49">
        <v>3000</v>
      </c>
      <c r="N42" s="49">
        <v>4500</v>
      </c>
      <c r="O42" s="49"/>
      <c r="P42" s="49"/>
      <c r="Q42" s="49"/>
      <c r="R42" s="49">
        <v>4000</v>
      </c>
      <c r="S42" s="49"/>
      <c r="T42" s="49">
        <v>500</v>
      </c>
      <c r="U42" s="49">
        <v>500</v>
      </c>
      <c r="V42" s="49">
        <f t="shared" si="4"/>
        <v>1000</v>
      </c>
      <c r="W42" s="49"/>
      <c r="X42" s="49"/>
      <c r="Y42" s="49"/>
      <c r="Z42" s="49"/>
      <c r="AA42" s="49"/>
      <c r="AB42" s="49"/>
      <c r="AC42" s="49">
        <f t="shared" si="5"/>
        <v>67450</v>
      </c>
      <c r="AD42" s="49">
        <v>40000</v>
      </c>
      <c r="AE42" s="50">
        <v>20000</v>
      </c>
      <c r="AF42" s="49">
        <v>6450</v>
      </c>
      <c r="AG42" s="49"/>
      <c r="AH42" s="50">
        <f t="shared" si="6"/>
        <v>66450</v>
      </c>
      <c r="AI42" s="50">
        <f t="shared" si="7"/>
        <v>1000</v>
      </c>
    </row>
    <row r="43" spans="1:35" ht="15.75" customHeight="1" x14ac:dyDescent="0.25">
      <c r="A43" s="47">
        <v>25</v>
      </c>
      <c r="B43" s="48" t="s">
        <v>94</v>
      </c>
      <c r="C43" s="48" t="s">
        <v>234</v>
      </c>
      <c r="D43" s="48" t="s">
        <v>232</v>
      </c>
      <c r="E43" s="49">
        <v>1500</v>
      </c>
      <c r="F43" s="49">
        <v>20500</v>
      </c>
      <c r="G43" s="49">
        <v>2000</v>
      </c>
      <c r="H43" s="49">
        <v>2500</v>
      </c>
      <c r="I43" s="49">
        <v>18050</v>
      </c>
      <c r="J43" s="49">
        <v>3880</v>
      </c>
      <c r="K43" s="49">
        <v>1500</v>
      </c>
      <c r="L43" s="49">
        <v>12000</v>
      </c>
      <c r="M43" s="49"/>
      <c r="N43" s="49">
        <v>4500</v>
      </c>
      <c r="O43" s="49">
        <v>1500</v>
      </c>
      <c r="P43" s="49"/>
      <c r="Q43" s="49"/>
      <c r="R43" s="49">
        <v>4000</v>
      </c>
      <c r="S43" s="49"/>
      <c r="T43" s="49">
        <v>1000</v>
      </c>
      <c r="U43" s="49">
        <v>1000</v>
      </c>
      <c r="V43" s="49">
        <f t="shared" si="4"/>
        <v>3500</v>
      </c>
      <c r="W43" s="49"/>
      <c r="X43" s="49"/>
      <c r="Y43" s="49"/>
      <c r="Z43" s="49"/>
      <c r="AA43" s="49"/>
      <c r="AB43" s="49"/>
      <c r="AC43" s="49">
        <f t="shared" si="5"/>
        <v>77430</v>
      </c>
      <c r="AD43" s="49">
        <v>30000</v>
      </c>
      <c r="AE43" s="49">
        <v>20000</v>
      </c>
      <c r="AF43" s="49">
        <v>13550</v>
      </c>
      <c r="AG43" s="49"/>
      <c r="AH43" s="50">
        <f t="shared" si="6"/>
        <v>63550</v>
      </c>
      <c r="AI43" s="50">
        <f t="shared" si="7"/>
        <v>13880</v>
      </c>
    </row>
    <row r="44" spans="1:35" ht="15.75" customHeight="1" x14ac:dyDescent="0.25">
      <c r="A44" s="47">
        <v>30</v>
      </c>
      <c r="B44" s="48" t="s">
        <v>103</v>
      </c>
      <c r="C44" s="48" t="s">
        <v>86</v>
      </c>
      <c r="D44" s="48" t="s">
        <v>237</v>
      </c>
      <c r="E44" s="49"/>
      <c r="F44" s="49">
        <v>20500</v>
      </c>
      <c r="G44" s="49">
        <v>2000</v>
      </c>
      <c r="H44" s="49">
        <v>2500</v>
      </c>
      <c r="I44" s="49">
        <v>18600</v>
      </c>
      <c r="J44" s="49">
        <v>3880</v>
      </c>
      <c r="K44" s="49">
        <v>1500</v>
      </c>
      <c r="L44" s="49"/>
      <c r="M44" s="49"/>
      <c r="N44" s="49"/>
      <c r="O44" s="49">
        <v>1500</v>
      </c>
      <c r="P44" s="49"/>
      <c r="Q44" s="49"/>
      <c r="R44" s="49"/>
      <c r="S44" s="49"/>
      <c r="T44" s="49">
        <v>1000</v>
      </c>
      <c r="U44" s="49">
        <v>1000</v>
      </c>
      <c r="V44" s="49">
        <f t="shared" si="4"/>
        <v>3500</v>
      </c>
      <c r="W44" s="49"/>
      <c r="X44" s="49"/>
      <c r="Y44" s="49"/>
      <c r="Z44" s="49"/>
      <c r="AA44" s="49"/>
      <c r="AB44" s="49"/>
      <c r="AC44" s="49">
        <f t="shared" si="5"/>
        <v>55980</v>
      </c>
      <c r="AD44" s="49">
        <v>30000</v>
      </c>
      <c r="AE44" s="49">
        <v>22000</v>
      </c>
      <c r="AF44" s="49"/>
      <c r="AG44" s="49"/>
      <c r="AH44" s="50">
        <f t="shared" si="6"/>
        <v>52000</v>
      </c>
      <c r="AI44" s="50">
        <f t="shared" si="7"/>
        <v>3980</v>
      </c>
    </row>
    <row r="45" spans="1:35" ht="15.75" customHeight="1" x14ac:dyDescent="0.25">
      <c r="A45" s="47">
        <v>19</v>
      </c>
      <c r="B45" s="48" t="s">
        <v>45</v>
      </c>
      <c r="C45" s="48" t="s">
        <v>826</v>
      </c>
      <c r="D45" s="48" t="s">
        <v>230</v>
      </c>
      <c r="E45" s="49"/>
      <c r="F45" s="49">
        <v>12600</v>
      </c>
      <c r="G45" s="49">
        <v>1500</v>
      </c>
      <c r="H45" s="49">
        <v>1000</v>
      </c>
      <c r="I45" s="49">
        <v>18050</v>
      </c>
      <c r="J45" s="49">
        <v>3880</v>
      </c>
      <c r="K45" s="49">
        <v>1500</v>
      </c>
      <c r="L45" s="49"/>
      <c r="M45" s="49"/>
      <c r="N45" s="49"/>
      <c r="O45" s="49"/>
      <c r="P45" s="49"/>
      <c r="Q45" s="49"/>
      <c r="R45" s="49"/>
      <c r="S45" s="49"/>
      <c r="T45" s="49">
        <v>500</v>
      </c>
      <c r="U45" s="49">
        <v>500</v>
      </c>
      <c r="V45" s="49">
        <f t="shared" si="4"/>
        <v>1000</v>
      </c>
      <c r="W45" s="49"/>
      <c r="X45" s="49"/>
      <c r="Y45" s="49"/>
      <c r="Z45" s="49"/>
      <c r="AA45" s="49"/>
      <c r="AB45" s="49"/>
      <c r="AC45" s="49">
        <f t="shared" si="5"/>
        <v>40530</v>
      </c>
      <c r="AD45" s="49">
        <v>20000</v>
      </c>
      <c r="AE45" s="49">
        <v>7500</v>
      </c>
      <c r="AF45" s="49">
        <v>11550</v>
      </c>
      <c r="AG45" s="49"/>
      <c r="AH45" s="50">
        <f t="shared" si="6"/>
        <v>39050</v>
      </c>
      <c r="AI45" s="50">
        <f t="shared" si="7"/>
        <v>1480</v>
      </c>
    </row>
    <row r="46" spans="1:35" ht="15.75" customHeight="1" x14ac:dyDescent="0.25">
      <c r="A46" s="47">
        <v>49</v>
      </c>
      <c r="B46" s="48" t="s">
        <v>45</v>
      </c>
      <c r="C46" s="48" t="s">
        <v>825</v>
      </c>
      <c r="D46" s="48" t="s">
        <v>244</v>
      </c>
      <c r="E46" s="49"/>
      <c r="F46" s="49" t="s">
        <v>46</v>
      </c>
      <c r="G46" s="49"/>
      <c r="H46" s="49">
        <v>1500</v>
      </c>
      <c r="I46" s="49">
        <v>13950</v>
      </c>
      <c r="J46" s="49">
        <v>5000</v>
      </c>
      <c r="K46" s="49">
        <v>2000</v>
      </c>
      <c r="L46" s="49"/>
      <c r="M46" s="49"/>
      <c r="N46" s="49"/>
      <c r="O46" s="49">
        <v>2000</v>
      </c>
      <c r="P46" s="49"/>
      <c r="Q46" s="49"/>
      <c r="R46" s="49"/>
      <c r="S46" s="49"/>
      <c r="T46" s="49">
        <v>2500</v>
      </c>
      <c r="U46" s="49"/>
      <c r="V46" s="49">
        <f t="shared" si="4"/>
        <v>4500</v>
      </c>
      <c r="W46" s="49"/>
      <c r="X46" s="49"/>
      <c r="Y46" s="49"/>
      <c r="Z46" s="49"/>
      <c r="AA46" s="49"/>
      <c r="AB46" s="49"/>
      <c r="AC46" s="49">
        <f t="shared" si="5"/>
        <v>31450</v>
      </c>
      <c r="AD46" s="49">
        <v>16000</v>
      </c>
      <c r="AE46" s="49">
        <v>7500</v>
      </c>
      <c r="AF46" s="49">
        <v>3450</v>
      </c>
      <c r="AG46" s="49"/>
      <c r="AH46" s="50">
        <f t="shared" si="6"/>
        <v>26950</v>
      </c>
      <c r="AI46" s="50">
        <f t="shared" si="7"/>
        <v>4500</v>
      </c>
    </row>
    <row r="47" spans="1:35" ht="15.75" customHeight="1" x14ac:dyDescent="0.25">
      <c r="A47" s="47">
        <v>7</v>
      </c>
      <c r="B47" s="48" t="s">
        <v>28</v>
      </c>
      <c r="C47" s="48" t="s">
        <v>827</v>
      </c>
      <c r="D47" s="48" t="s">
        <v>223</v>
      </c>
      <c r="E47" s="49"/>
      <c r="F47" s="49">
        <v>18500</v>
      </c>
      <c r="G47" s="49">
        <v>1500</v>
      </c>
      <c r="H47" s="49">
        <v>1000</v>
      </c>
      <c r="I47" s="49">
        <v>16350</v>
      </c>
      <c r="J47" s="49">
        <v>2700</v>
      </c>
      <c r="K47" s="49">
        <v>1500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>
        <f t="shared" si="4"/>
        <v>0</v>
      </c>
      <c r="W47" s="49"/>
      <c r="X47" s="49"/>
      <c r="Y47" s="49"/>
      <c r="Z47" s="49"/>
      <c r="AA47" s="49"/>
      <c r="AB47" s="49">
        <v>-1000</v>
      </c>
      <c r="AC47" s="49">
        <f t="shared" si="5"/>
        <v>40550</v>
      </c>
      <c r="AD47" s="49">
        <v>40550</v>
      </c>
      <c r="AE47" s="49"/>
      <c r="AF47" s="49"/>
      <c r="AG47" s="49"/>
      <c r="AH47" s="50">
        <f t="shared" si="6"/>
        <v>40550</v>
      </c>
      <c r="AI47" s="50">
        <f t="shared" si="7"/>
        <v>0</v>
      </c>
    </row>
    <row r="48" spans="1:35" ht="15.75" customHeight="1" x14ac:dyDescent="0.25">
      <c r="A48" s="47">
        <v>34</v>
      </c>
      <c r="B48" s="48" t="s">
        <v>34</v>
      </c>
      <c r="C48" s="48" t="s">
        <v>107</v>
      </c>
      <c r="D48" s="48" t="s">
        <v>238</v>
      </c>
      <c r="E48" s="49"/>
      <c r="F48" s="49">
        <v>20500</v>
      </c>
      <c r="G48" s="49">
        <v>2000</v>
      </c>
      <c r="H48" s="49">
        <v>2500</v>
      </c>
      <c r="I48" s="49">
        <v>18600</v>
      </c>
      <c r="J48" s="49">
        <v>3880</v>
      </c>
      <c r="K48" s="49">
        <v>1500</v>
      </c>
      <c r="L48" s="49"/>
      <c r="M48" s="49"/>
      <c r="N48" s="49"/>
      <c r="O48" s="49">
        <v>1500</v>
      </c>
      <c r="P48" s="49"/>
      <c r="Q48" s="49"/>
      <c r="R48" s="49"/>
      <c r="S48" s="49">
        <v>4500</v>
      </c>
      <c r="T48" s="49">
        <v>1000</v>
      </c>
      <c r="U48" s="49">
        <v>1000</v>
      </c>
      <c r="V48" s="49">
        <f t="shared" si="4"/>
        <v>3500</v>
      </c>
      <c r="W48" s="49"/>
      <c r="X48" s="49"/>
      <c r="Y48" s="49"/>
      <c r="Z48" s="49"/>
      <c r="AA48" s="49"/>
      <c r="AB48" s="49">
        <v>575</v>
      </c>
      <c r="AC48" s="49">
        <f t="shared" si="5"/>
        <v>61055</v>
      </c>
      <c r="AD48" s="49">
        <v>15000</v>
      </c>
      <c r="AE48" s="49">
        <v>15000</v>
      </c>
      <c r="AF48" s="49">
        <v>5000</v>
      </c>
      <c r="AG48" s="49">
        <v>10000</v>
      </c>
      <c r="AH48" s="50">
        <f t="shared" si="6"/>
        <v>45000</v>
      </c>
      <c r="AI48" s="50">
        <f t="shared" si="7"/>
        <v>16055</v>
      </c>
    </row>
    <row r="49" spans="1:35" ht="15.75" customHeight="1" x14ac:dyDescent="0.25">
      <c r="A49" s="47">
        <v>44</v>
      </c>
      <c r="B49" s="48" t="s">
        <v>34</v>
      </c>
      <c r="C49" s="48" t="s">
        <v>35</v>
      </c>
      <c r="D49" s="48" t="s">
        <v>243</v>
      </c>
      <c r="E49" s="49"/>
      <c r="F49" s="49">
        <v>22500</v>
      </c>
      <c r="G49" s="49">
        <v>2500</v>
      </c>
      <c r="H49" s="49">
        <v>1500</v>
      </c>
      <c r="I49" s="49">
        <v>16250</v>
      </c>
      <c r="J49" s="49">
        <v>5000</v>
      </c>
      <c r="K49" s="49">
        <v>2000</v>
      </c>
      <c r="L49" s="49"/>
      <c r="M49" s="49"/>
      <c r="N49" s="49"/>
      <c r="O49" s="49">
        <v>2000</v>
      </c>
      <c r="P49" s="49"/>
      <c r="Q49" s="49"/>
      <c r="R49" s="49"/>
      <c r="S49" s="49">
        <v>5000</v>
      </c>
      <c r="T49" s="49">
        <v>2500</v>
      </c>
      <c r="U49" s="49"/>
      <c r="V49" s="49">
        <f t="shared" si="4"/>
        <v>4500</v>
      </c>
      <c r="W49" s="49"/>
      <c r="X49" s="49"/>
      <c r="Y49" s="49"/>
      <c r="Z49" s="49"/>
      <c r="AA49" s="49"/>
      <c r="AB49" s="49"/>
      <c r="AC49" s="49">
        <f t="shared" si="5"/>
        <v>63750</v>
      </c>
      <c r="AD49" s="49">
        <v>15000</v>
      </c>
      <c r="AE49" s="49">
        <v>15000</v>
      </c>
      <c r="AF49" s="49">
        <v>5000</v>
      </c>
      <c r="AG49" s="49">
        <v>10000</v>
      </c>
      <c r="AH49" s="50">
        <f t="shared" si="6"/>
        <v>45000</v>
      </c>
      <c r="AI49" s="50">
        <f t="shared" si="7"/>
        <v>18750</v>
      </c>
    </row>
    <row r="50" spans="1:35" ht="15.75" customHeight="1" x14ac:dyDescent="0.25">
      <c r="A50" s="47">
        <v>11</v>
      </c>
      <c r="B50" s="48" t="s">
        <v>89</v>
      </c>
      <c r="C50" s="48" t="s">
        <v>91</v>
      </c>
      <c r="D50" s="48" t="s">
        <v>227</v>
      </c>
      <c r="E50" s="49"/>
      <c r="F50" s="49">
        <v>18500</v>
      </c>
      <c r="G50" s="49">
        <v>1500</v>
      </c>
      <c r="H50" s="49">
        <v>1000</v>
      </c>
      <c r="I50" s="49"/>
      <c r="J50" s="49">
        <v>2700</v>
      </c>
      <c r="K50" s="49">
        <v>1500</v>
      </c>
      <c r="L50" s="49">
        <v>5000</v>
      </c>
      <c r="M50" s="49"/>
      <c r="N50" s="49"/>
      <c r="O50" s="49"/>
      <c r="P50" s="49"/>
      <c r="Q50" s="49"/>
      <c r="R50" s="49"/>
      <c r="S50" s="49"/>
      <c r="T50" s="49"/>
      <c r="U50" s="49"/>
      <c r="V50" s="49">
        <f t="shared" si="4"/>
        <v>0</v>
      </c>
      <c r="W50" s="49"/>
      <c r="X50" s="49"/>
      <c r="Y50" s="49"/>
      <c r="Z50" s="49"/>
      <c r="AA50" s="49"/>
      <c r="AB50" s="49"/>
      <c r="AC50" s="49">
        <f t="shared" si="5"/>
        <v>30200</v>
      </c>
      <c r="AD50" s="49">
        <v>29700</v>
      </c>
      <c r="AE50" s="49"/>
      <c r="AF50" s="49"/>
      <c r="AG50" s="49"/>
      <c r="AH50" s="50">
        <f t="shared" si="6"/>
        <v>29700</v>
      </c>
      <c r="AI50" s="50">
        <f t="shared" si="7"/>
        <v>500</v>
      </c>
    </row>
    <row r="51" spans="1:35" ht="15.75" customHeight="1" x14ac:dyDescent="0.25">
      <c r="A51" s="47">
        <v>56</v>
      </c>
      <c r="B51" s="48" t="s">
        <v>123</v>
      </c>
      <c r="C51" s="48" t="s">
        <v>124</v>
      </c>
      <c r="D51" s="48" t="s">
        <v>246</v>
      </c>
      <c r="E51" s="49"/>
      <c r="F51" s="49">
        <v>22500</v>
      </c>
      <c r="G51" s="49">
        <v>2500</v>
      </c>
      <c r="H51" s="49">
        <v>1500</v>
      </c>
      <c r="I51" s="49">
        <v>5600</v>
      </c>
      <c r="J51" s="49">
        <v>9000</v>
      </c>
      <c r="K51" s="49">
        <v>2500</v>
      </c>
      <c r="L51" s="49"/>
      <c r="M51" s="49"/>
      <c r="N51" s="49"/>
      <c r="O51" s="49">
        <v>2000</v>
      </c>
      <c r="P51" s="49"/>
      <c r="Q51" s="49"/>
      <c r="R51" s="49"/>
      <c r="S51" s="49">
        <v>5000</v>
      </c>
      <c r="T51" s="49">
        <v>3000</v>
      </c>
      <c r="U51" s="49"/>
      <c r="V51" s="49">
        <f t="shared" si="4"/>
        <v>5000</v>
      </c>
      <c r="W51" s="49"/>
      <c r="X51" s="49"/>
      <c r="Y51" s="49"/>
      <c r="Z51" s="49"/>
      <c r="AA51" s="49"/>
      <c r="AB51" s="49"/>
      <c r="AC51" s="49">
        <f t="shared" si="5"/>
        <v>58600</v>
      </c>
      <c r="AD51" s="49">
        <v>20000</v>
      </c>
      <c r="AE51" s="49">
        <v>20000</v>
      </c>
      <c r="AF51" s="49">
        <v>13600</v>
      </c>
      <c r="AG51" s="49"/>
      <c r="AH51" s="50">
        <f t="shared" si="6"/>
        <v>53600</v>
      </c>
      <c r="AI51" s="50">
        <f t="shared" si="7"/>
        <v>5000</v>
      </c>
    </row>
    <row r="52" spans="1:35" ht="15.75" customHeight="1" x14ac:dyDescent="0.25">
      <c r="A52" s="47">
        <v>57</v>
      </c>
      <c r="B52" s="48" t="s">
        <v>123</v>
      </c>
      <c r="C52" s="48" t="s">
        <v>125</v>
      </c>
      <c r="D52" s="48" t="s">
        <v>246</v>
      </c>
      <c r="E52" s="49"/>
      <c r="F52" s="49">
        <v>22500</v>
      </c>
      <c r="G52" s="49">
        <v>2500</v>
      </c>
      <c r="H52" s="49">
        <v>1500</v>
      </c>
      <c r="I52" s="49">
        <v>5600</v>
      </c>
      <c r="J52" s="49">
        <v>9000</v>
      </c>
      <c r="K52" s="49">
        <v>2500</v>
      </c>
      <c r="L52" s="49"/>
      <c r="M52" s="49"/>
      <c r="N52" s="49"/>
      <c r="O52" s="49">
        <v>2000</v>
      </c>
      <c r="P52" s="49"/>
      <c r="Q52" s="49"/>
      <c r="R52" s="49"/>
      <c r="S52" s="49">
        <v>5000</v>
      </c>
      <c r="T52" s="49">
        <v>3000</v>
      </c>
      <c r="U52" s="49"/>
      <c r="V52" s="49">
        <f t="shared" si="4"/>
        <v>5000</v>
      </c>
      <c r="W52" s="49"/>
      <c r="X52" s="49"/>
      <c r="Y52" s="49"/>
      <c r="Z52" s="49"/>
      <c r="AA52" s="49"/>
      <c r="AB52" s="49"/>
      <c r="AC52" s="49">
        <f t="shared" si="5"/>
        <v>58600</v>
      </c>
      <c r="AD52" s="49">
        <v>20000</v>
      </c>
      <c r="AE52" s="49">
        <v>20000</v>
      </c>
      <c r="AF52" s="49">
        <v>13600</v>
      </c>
      <c r="AG52" s="49"/>
      <c r="AH52" s="50">
        <f t="shared" si="6"/>
        <v>53600</v>
      </c>
      <c r="AI52" s="50">
        <f t="shared" si="7"/>
        <v>5000</v>
      </c>
    </row>
    <row r="53" spans="1:35" ht="15.75" customHeight="1" x14ac:dyDescent="0.25">
      <c r="A53" s="47">
        <v>26</v>
      </c>
      <c r="B53" s="48" t="s">
        <v>235</v>
      </c>
      <c r="C53" s="48" t="s">
        <v>100</v>
      </c>
      <c r="D53" s="48" t="s">
        <v>232</v>
      </c>
      <c r="E53" s="49">
        <v>1500</v>
      </c>
      <c r="F53" s="49">
        <v>20500</v>
      </c>
      <c r="G53" s="49">
        <v>2000</v>
      </c>
      <c r="H53" s="49">
        <v>2500</v>
      </c>
      <c r="I53" s="49">
        <v>18050</v>
      </c>
      <c r="J53" s="49">
        <v>3880</v>
      </c>
      <c r="K53" s="49">
        <v>1500</v>
      </c>
      <c r="L53" s="49">
        <v>12000</v>
      </c>
      <c r="M53" s="49"/>
      <c r="N53" s="49">
        <v>4500</v>
      </c>
      <c r="O53" s="49">
        <v>1500</v>
      </c>
      <c r="P53" s="49"/>
      <c r="Q53" s="49"/>
      <c r="R53" s="49">
        <v>4000</v>
      </c>
      <c r="S53" s="49">
        <v>4500</v>
      </c>
      <c r="T53" s="49">
        <v>1000</v>
      </c>
      <c r="U53" s="49">
        <v>1000</v>
      </c>
      <c r="V53" s="49">
        <f t="shared" si="4"/>
        <v>3500</v>
      </c>
      <c r="W53" s="49"/>
      <c r="X53" s="49"/>
      <c r="Y53" s="49"/>
      <c r="Z53" s="49"/>
      <c r="AA53" s="49"/>
      <c r="AB53" s="49"/>
      <c r="AC53" s="49">
        <f t="shared" si="5"/>
        <v>81930</v>
      </c>
      <c r="AD53" s="49">
        <v>25000</v>
      </c>
      <c r="AE53" s="49">
        <v>15000</v>
      </c>
      <c r="AF53" s="49">
        <v>38050</v>
      </c>
      <c r="AG53" s="49"/>
      <c r="AH53" s="50">
        <f t="shared" si="6"/>
        <v>78050</v>
      </c>
      <c r="AI53" s="50">
        <f t="shared" si="7"/>
        <v>3880</v>
      </c>
    </row>
    <row r="54" spans="1:35" ht="15.75" customHeight="1" x14ac:dyDescent="0.25">
      <c r="A54" s="47">
        <v>40</v>
      </c>
      <c r="B54" s="48" t="s">
        <v>235</v>
      </c>
      <c r="C54" s="48" t="s">
        <v>828</v>
      </c>
      <c r="D54" s="48" t="s">
        <v>242</v>
      </c>
      <c r="E54" s="49">
        <v>2500</v>
      </c>
      <c r="F54" s="49">
        <v>22500</v>
      </c>
      <c r="G54" s="49">
        <v>2500</v>
      </c>
      <c r="H54" s="49">
        <v>1500</v>
      </c>
      <c r="I54" s="49">
        <v>15950</v>
      </c>
      <c r="J54" s="49">
        <v>5000</v>
      </c>
      <c r="K54" s="49">
        <v>2000</v>
      </c>
      <c r="L54" s="49">
        <v>7500</v>
      </c>
      <c r="M54" s="49">
        <v>3000</v>
      </c>
      <c r="N54" s="49">
        <v>5500</v>
      </c>
      <c r="O54" s="49">
        <v>2000</v>
      </c>
      <c r="P54" s="49"/>
      <c r="Q54" s="49"/>
      <c r="R54" s="49">
        <v>4500</v>
      </c>
      <c r="S54" s="49">
        <v>5000</v>
      </c>
      <c r="T54" s="49">
        <v>2500</v>
      </c>
      <c r="U54" s="49"/>
      <c r="V54" s="49">
        <f t="shared" si="4"/>
        <v>4500</v>
      </c>
      <c r="W54" s="49"/>
      <c r="X54" s="49"/>
      <c r="Y54" s="49"/>
      <c r="Z54" s="49"/>
      <c r="AA54" s="49"/>
      <c r="AB54" s="49"/>
      <c r="AC54" s="49">
        <f t="shared" si="5"/>
        <v>86450</v>
      </c>
      <c r="AD54" s="49">
        <v>25000</v>
      </c>
      <c r="AE54" s="49">
        <v>15000</v>
      </c>
      <c r="AF54" s="49">
        <v>41950</v>
      </c>
      <c r="AG54" s="49"/>
      <c r="AH54" s="50">
        <f t="shared" si="6"/>
        <v>81950</v>
      </c>
      <c r="AI54" s="50">
        <f t="shared" si="7"/>
        <v>4500</v>
      </c>
    </row>
    <row r="55" spans="1:35" ht="15.75" customHeight="1" x14ac:dyDescent="0.25">
      <c r="A55" s="47">
        <v>35</v>
      </c>
      <c r="B55" s="48" t="s">
        <v>108</v>
      </c>
      <c r="C55" s="48" t="s">
        <v>830</v>
      </c>
      <c r="D55" s="48" t="s">
        <v>238</v>
      </c>
      <c r="E55" s="49"/>
      <c r="F55" s="49">
        <v>20500</v>
      </c>
      <c r="G55" s="49">
        <v>2000</v>
      </c>
      <c r="H55" s="49">
        <v>2500</v>
      </c>
      <c r="I55" s="49">
        <v>18600</v>
      </c>
      <c r="J55" s="49">
        <v>3880</v>
      </c>
      <c r="K55" s="49">
        <v>1500</v>
      </c>
      <c r="L55" s="49"/>
      <c r="M55" s="49"/>
      <c r="N55" s="49"/>
      <c r="O55" s="49">
        <v>1500</v>
      </c>
      <c r="P55" s="49"/>
      <c r="Q55" s="49"/>
      <c r="R55" s="49"/>
      <c r="S55" s="49"/>
      <c r="T55" s="49">
        <v>1000</v>
      </c>
      <c r="U55" s="49">
        <v>1000</v>
      </c>
      <c r="V55" s="49">
        <f t="shared" si="4"/>
        <v>3500</v>
      </c>
      <c r="W55" s="49"/>
      <c r="X55" s="49"/>
      <c r="Y55" s="49"/>
      <c r="Z55" s="49"/>
      <c r="AA55" s="49"/>
      <c r="AB55" s="49"/>
      <c r="AC55" s="49">
        <f t="shared" si="5"/>
        <v>55980</v>
      </c>
      <c r="AD55" s="49">
        <v>25000</v>
      </c>
      <c r="AE55" s="49">
        <v>9250</v>
      </c>
      <c r="AF55" s="49">
        <v>10000</v>
      </c>
      <c r="AG55" s="49"/>
      <c r="AH55" s="50">
        <f t="shared" si="6"/>
        <v>44250</v>
      </c>
      <c r="AI55" s="50">
        <f t="shared" si="7"/>
        <v>11730</v>
      </c>
    </row>
    <row r="56" spans="1:35" ht="15.75" customHeight="1" x14ac:dyDescent="0.25">
      <c r="A56" s="47">
        <v>41</v>
      </c>
      <c r="B56" s="48" t="s">
        <v>108</v>
      </c>
      <c r="C56" s="48" t="s">
        <v>829</v>
      </c>
      <c r="D56" s="48" t="s">
        <v>242</v>
      </c>
      <c r="E56" s="49"/>
      <c r="F56" s="49">
        <v>22500</v>
      </c>
      <c r="G56" s="49">
        <v>2500</v>
      </c>
      <c r="H56" s="49">
        <v>1500</v>
      </c>
      <c r="I56" s="49">
        <v>15950</v>
      </c>
      <c r="J56" s="49">
        <v>5000</v>
      </c>
      <c r="K56" s="49">
        <v>2000</v>
      </c>
      <c r="L56" s="49">
        <v>7500</v>
      </c>
      <c r="M56" s="49">
        <v>3000</v>
      </c>
      <c r="N56" s="49">
        <v>5500</v>
      </c>
      <c r="O56" s="49">
        <v>2000</v>
      </c>
      <c r="P56" s="49"/>
      <c r="Q56" s="49"/>
      <c r="R56" s="49">
        <v>4500</v>
      </c>
      <c r="S56" s="49">
        <v>5000</v>
      </c>
      <c r="T56" s="49">
        <v>2500</v>
      </c>
      <c r="U56" s="49"/>
      <c r="V56" s="49">
        <f t="shared" si="4"/>
        <v>4500</v>
      </c>
      <c r="W56" s="49"/>
      <c r="X56" s="49"/>
      <c r="Y56" s="49"/>
      <c r="Z56" s="49"/>
      <c r="AA56" s="49"/>
      <c r="AB56" s="49"/>
      <c r="AC56" s="49">
        <f t="shared" si="5"/>
        <v>83950</v>
      </c>
      <c r="AD56" s="49">
        <v>25000</v>
      </c>
      <c r="AE56" s="49">
        <v>9250</v>
      </c>
      <c r="AF56" s="49">
        <v>10000</v>
      </c>
      <c r="AG56" s="49">
        <v>35200</v>
      </c>
      <c r="AH56" s="50">
        <f t="shared" si="6"/>
        <v>79450</v>
      </c>
      <c r="AI56" s="50">
        <f t="shared" si="7"/>
        <v>4500</v>
      </c>
    </row>
    <row r="57" spans="1:35" ht="15.75" customHeight="1" x14ac:dyDescent="0.25">
      <c r="A57" s="47">
        <v>18</v>
      </c>
      <c r="B57" s="48" t="s">
        <v>92</v>
      </c>
      <c r="C57" s="48" t="s">
        <v>93</v>
      </c>
      <c r="D57" s="48" t="s">
        <v>228</v>
      </c>
      <c r="E57" s="49"/>
      <c r="F57" s="49">
        <v>18500</v>
      </c>
      <c r="G57" s="49">
        <v>1500</v>
      </c>
      <c r="H57" s="49">
        <v>1000</v>
      </c>
      <c r="I57" s="49">
        <v>16350</v>
      </c>
      <c r="J57" s="49">
        <v>3600</v>
      </c>
      <c r="K57" s="49">
        <v>1500</v>
      </c>
      <c r="L57" s="49"/>
      <c r="M57" s="49"/>
      <c r="N57" s="49"/>
      <c r="O57" s="49"/>
      <c r="P57" s="49"/>
      <c r="Q57" s="49"/>
      <c r="R57" s="49"/>
      <c r="S57" s="49">
        <v>4500</v>
      </c>
      <c r="T57" s="49">
        <v>500</v>
      </c>
      <c r="U57" s="49">
        <v>500</v>
      </c>
      <c r="V57" s="49">
        <f t="shared" si="4"/>
        <v>1000</v>
      </c>
      <c r="W57" s="49"/>
      <c r="X57" s="49"/>
      <c r="Y57" s="49"/>
      <c r="Z57" s="49"/>
      <c r="AA57" s="49"/>
      <c r="AB57" s="49"/>
      <c r="AC57" s="49">
        <f t="shared" si="5"/>
        <v>48950</v>
      </c>
      <c r="AD57" s="49">
        <v>10000</v>
      </c>
      <c r="AE57" s="49">
        <v>10000</v>
      </c>
      <c r="AF57" s="49">
        <v>5000</v>
      </c>
      <c r="AG57" s="49">
        <v>20000</v>
      </c>
      <c r="AH57" s="50">
        <f t="shared" si="6"/>
        <v>45000</v>
      </c>
      <c r="AI57" s="50">
        <f t="shared" si="7"/>
        <v>3950</v>
      </c>
    </row>
    <row r="58" spans="1:35" ht="15.75" customHeight="1" x14ac:dyDescent="0.25">
      <c r="A58" s="47">
        <v>31</v>
      </c>
      <c r="B58" s="48" t="s">
        <v>92</v>
      </c>
      <c r="C58" s="48" t="s">
        <v>104</v>
      </c>
      <c r="D58" s="48" t="s">
        <v>237</v>
      </c>
      <c r="E58" s="49"/>
      <c r="F58" s="49">
        <v>20500</v>
      </c>
      <c r="G58" s="49">
        <v>2000</v>
      </c>
      <c r="H58" s="49">
        <v>2500</v>
      </c>
      <c r="I58" s="49">
        <v>18600</v>
      </c>
      <c r="J58" s="49">
        <v>3880</v>
      </c>
      <c r="K58" s="49">
        <v>1500</v>
      </c>
      <c r="L58" s="49"/>
      <c r="M58" s="49"/>
      <c r="N58" s="49"/>
      <c r="O58" s="49">
        <v>1500</v>
      </c>
      <c r="P58" s="49"/>
      <c r="Q58" s="49"/>
      <c r="R58" s="49"/>
      <c r="S58" s="49">
        <v>4500</v>
      </c>
      <c r="T58" s="49">
        <v>1000</v>
      </c>
      <c r="U58" s="49">
        <v>1000</v>
      </c>
      <c r="V58" s="49">
        <f t="shared" si="4"/>
        <v>3500</v>
      </c>
      <c r="W58" s="49"/>
      <c r="X58" s="49"/>
      <c r="Y58" s="49"/>
      <c r="Z58" s="49"/>
      <c r="AA58" s="49"/>
      <c r="AB58" s="49">
        <v>22750</v>
      </c>
      <c r="AC58" s="49">
        <f t="shared" si="5"/>
        <v>83230</v>
      </c>
      <c r="AD58" s="49">
        <v>10000</v>
      </c>
      <c r="AE58" s="49">
        <v>10000</v>
      </c>
      <c r="AF58" s="49">
        <v>5000</v>
      </c>
      <c r="AG58" s="49">
        <v>30000</v>
      </c>
      <c r="AH58" s="50">
        <f t="shared" si="6"/>
        <v>55000</v>
      </c>
      <c r="AI58" s="50">
        <f t="shared" si="7"/>
        <v>28230</v>
      </c>
    </row>
    <row r="59" spans="1:35" ht="15.75" customHeight="1" x14ac:dyDescent="0.25">
      <c r="A59" s="9"/>
      <c r="B59" s="20"/>
      <c r="C59" s="20"/>
      <c r="D59" s="20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  <c r="P59" s="52"/>
      <c r="Q59" s="52"/>
      <c r="R59" s="52"/>
      <c r="S59" s="52"/>
      <c r="T59" s="53"/>
      <c r="U59" s="53"/>
      <c r="V59" s="53"/>
      <c r="W59" s="52"/>
      <c r="X59" s="52"/>
      <c r="Y59" s="52"/>
      <c r="Z59" s="52"/>
      <c r="AA59" s="52"/>
      <c r="AB59" s="54"/>
      <c r="AC59" s="55"/>
      <c r="AD59" s="53"/>
      <c r="AE59" s="53"/>
      <c r="AF59" s="53"/>
      <c r="AG59" s="53"/>
      <c r="AH59" s="56"/>
      <c r="AI59" s="56"/>
    </row>
    <row r="60" spans="1:35" ht="15.75" customHeight="1" x14ac:dyDescent="0.25">
      <c r="A60" s="9"/>
      <c r="B60" s="20"/>
      <c r="C60" s="20"/>
      <c r="D60" s="20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  <c r="P60" s="52"/>
      <c r="Q60" s="52"/>
      <c r="R60" s="52"/>
      <c r="S60" s="52"/>
      <c r="T60" s="53"/>
      <c r="U60" s="53"/>
      <c r="V60" s="53"/>
      <c r="W60" s="52"/>
      <c r="X60" s="52"/>
      <c r="Y60" s="52"/>
      <c r="Z60" s="52"/>
      <c r="AA60" s="52"/>
      <c r="AB60" s="54"/>
      <c r="AC60" s="55"/>
      <c r="AD60" s="53"/>
      <c r="AE60" s="53"/>
      <c r="AF60" s="53"/>
      <c r="AG60" s="53"/>
      <c r="AH60" s="56"/>
      <c r="AI60" s="56"/>
    </row>
    <row r="61" spans="1:35" ht="15.75" customHeight="1" x14ac:dyDescent="0.25">
      <c r="A61" s="9"/>
      <c r="B61" s="20"/>
      <c r="C61" s="20"/>
      <c r="D61" s="20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  <c r="P61" s="52"/>
      <c r="Q61" s="52"/>
      <c r="R61" s="52"/>
      <c r="S61" s="52"/>
      <c r="T61" s="53"/>
      <c r="U61" s="53"/>
      <c r="V61" s="53"/>
      <c r="W61" s="52"/>
      <c r="X61" s="52"/>
      <c r="Y61" s="52"/>
      <c r="Z61" s="52"/>
      <c r="AA61" s="52"/>
      <c r="AB61" s="54"/>
      <c r="AC61" s="55"/>
      <c r="AD61" s="53"/>
      <c r="AE61" s="53"/>
      <c r="AF61" s="53"/>
      <c r="AG61" s="53"/>
      <c r="AH61" s="56"/>
      <c r="AI61" s="56"/>
    </row>
    <row r="62" spans="1:35" ht="15.75" customHeight="1" x14ac:dyDescent="0.25">
      <c r="A62" s="9"/>
      <c r="B62" s="20"/>
      <c r="C62" s="20"/>
      <c r="D62" s="20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  <c r="P62" s="52"/>
      <c r="Q62" s="52"/>
      <c r="R62" s="52"/>
      <c r="S62" s="52"/>
      <c r="T62" s="53"/>
      <c r="U62" s="53"/>
      <c r="V62" s="53"/>
      <c r="W62" s="52"/>
      <c r="X62" s="52"/>
      <c r="Y62" s="52"/>
      <c r="Z62" s="52"/>
      <c r="AA62" s="52"/>
      <c r="AB62" s="54"/>
      <c r="AC62" s="55"/>
      <c r="AD62" s="53"/>
      <c r="AE62" s="53"/>
      <c r="AF62" s="53"/>
      <c r="AG62" s="53"/>
      <c r="AH62" s="56"/>
      <c r="AI62" s="56"/>
    </row>
    <row r="63" spans="1:35" ht="15.75" customHeight="1" x14ac:dyDescent="0.25">
      <c r="A63" s="9"/>
      <c r="B63" s="20"/>
      <c r="C63" s="20"/>
      <c r="D63" s="20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  <c r="P63" s="52"/>
      <c r="Q63" s="52"/>
      <c r="R63" s="52"/>
      <c r="S63" s="52"/>
      <c r="T63" s="53"/>
      <c r="U63" s="53"/>
      <c r="V63" s="53"/>
      <c r="W63" s="52"/>
      <c r="X63" s="52"/>
      <c r="Y63" s="52"/>
      <c r="Z63" s="52"/>
      <c r="AA63" s="52"/>
      <c r="AB63" s="54"/>
      <c r="AC63" s="55"/>
      <c r="AD63" s="53"/>
      <c r="AE63" s="53"/>
      <c r="AF63" s="53"/>
      <c r="AG63" s="53"/>
      <c r="AH63" s="56"/>
      <c r="AI63" s="56"/>
    </row>
    <row r="64" spans="1:35" ht="15.75" customHeight="1" x14ac:dyDescent="0.25">
      <c r="A64" s="9"/>
      <c r="B64" s="20"/>
      <c r="C64" s="20"/>
      <c r="D64" s="20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  <c r="P64" s="52"/>
      <c r="Q64" s="52"/>
      <c r="R64" s="52"/>
      <c r="S64" s="52"/>
      <c r="T64" s="53"/>
      <c r="U64" s="53"/>
      <c r="V64" s="53"/>
      <c r="W64" s="52"/>
      <c r="X64" s="52"/>
      <c r="Y64" s="52"/>
      <c r="Z64" s="52"/>
      <c r="AA64" s="52"/>
      <c r="AB64" s="54"/>
      <c r="AC64" s="55"/>
      <c r="AD64" s="53"/>
      <c r="AE64" s="53"/>
      <c r="AF64" s="53"/>
      <c r="AG64" s="53"/>
      <c r="AH64" s="56"/>
      <c r="AI64" s="56"/>
    </row>
    <row r="65" spans="1:35" ht="15.75" customHeight="1" x14ac:dyDescent="0.25">
      <c r="A65" s="9"/>
      <c r="B65" s="20"/>
      <c r="C65" s="20"/>
      <c r="D65" s="20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  <c r="P65" s="52"/>
      <c r="Q65" s="52"/>
      <c r="R65" s="52"/>
      <c r="S65" s="52"/>
      <c r="T65" s="53"/>
      <c r="U65" s="53"/>
      <c r="V65" s="53"/>
      <c r="W65" s="52"/>
      <c r="X65" s="52"/>
      <c r="Y65" s="52"/>
      <c r="Z65" s="52"/>
      <c r="AA65" s="52"/>
      <c r="AB65" s="54"/>
      <c r="AC65" s="55"/>
      <c r="AD65" s="53"/>
      <c r="AE65" s="53"/>
      <c r="AF65" s="53"/>
      <c r="AG65" s="53"/>
      <c r="AH65" s="56"/>
      <c r="AI65" s="56"/>
    </row>
    <row r="66" spans="1:35" ht="15.75" customHeight="1" x14ac:dyDescent="0.25">
      <c r="A66" s="9"/>
      <c r="B66" s="20"/>
      <c r="C66" s="20"/>
      <c r="D66" s="20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  <c r="P66" s="52"/>
      <c r="Q66" s="52"/>
      <c r="R66" s="52"/>
      <c r="S66" s="52"/>
      <c r="T66" s="53"/>
      <c r="U66" s="53"/>
      <c r="V66" s="53"/>
      <c r="W66" s="52"/>
      <c r="X66" s="52"/>
      <c r="Y66" s="52"/>
      <c r="Z66" s="52"/>
      <c r="AA66" s="52"/>
      <c r="AB66" s="54"/>
      <c r="AC66" s="55"/>
      <c r="AD66" s="53"/>
      <c r="AE66" s="53"/>
      <c r="AF66" s="53"/>
      <c r="AG66" s="53"/>
      <c r="AH66" s="56"/>
      <c r="AI66" s="56"/>
    </row>
    <row r="67" spans="1:35" ht="15.75" customHeight="1" x14ac:dyDescent="0.25">
      <c r="A67" s="9"/>
      <c r="B67" s="20"/>
      <c r="C67" s="20"/>
      <c r="D67" s="20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  <c r="P67" s="52"/>
      <c r="Q67" s="52"/>
      <c r="R67" s="52"/>
      <c r="S67" s="52"/>
      <c r="T67" s="53"/>
      <c r="U67" s="53"/>
      <c r="V67" s="53"/>
      <c r="W67" s="52"/>
      <c r="X67" s="52"/>
      <c r="Y67" s="52"/>
      <c r="Z67" s="52"/>
      <c r="AA67" s="52"/>
      <c r="AB67" s="54"/>
      <c r="AC67" s="55"/>
      <c r="AD67" s="53"/>
      <c r="AE67" s="53"/>
      <c r="AF67" s="53"/>
      <c r="AG67" s="53"/>
      <c r="AH67" s="56"/>
      <c r="AI67" s="56"/>
    </row>
    <row r="68" spans="1:35" ht="15.75" customHeight="1" x14ac:dyDescent="0.25">
      <c r="A68" s="9"/>
      <c r="B68" s="20"/>
      <c r="C68" s="20"/>
      <c r="D68" s="20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  <c r="P68" s="52"/>
      <c r="Q68" s="52"/>
      <c r="R68" s="52"/>
      <c r="S68" s="52"/>
      <c r="T68" s="53"/>
      <c r="U68" s="53"/>
      <c r="V68" s="53"/>
      <c r="W68" s="52"/>
      <c r="X68" s="52"/>
      <c r="Y68" s="52"/>
      <c r="Z68" s="52"/>
      <c r="AA68" s="52"/>
      <c r="AB68" s="54"/>
      <c r="AC68" s="55"/>
      <c r="AD68" s="53"/>
      <c r="AE68" s="53"/>
      <c r="AF68" s="53"/>
      <c r="AG68" s="53"/>
      <c r="AH68" s="56"/>
      <c r="AI68" s="56"/>
    </row>
    <row r="69" spans="1:35" ht="15.75" customHeight="1" x14ac:dyDescent="0.25">
      <c r="A69" s="9"/>
      <c r="B69" s="20"/>
      <c r="C69" s="20"/>
      <c r="D69" s="20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  <c r="P69" s="52"/>
      <c r="Q69" s="52"/>
      <c r="R69" s="52"/>
      <c r="S69" s="52"/>
      <c r="T69" s="53"/>
      <c r="U69" s="53"/>
      <c r="V69" s="53"/>
      <c r="W69" s="52"/>
      <c r="X69" s="52"/>
      <c r="Y69" s="52"/>
      <c r="Z69" s="52"/>
      <c r="AA69" s="52"/>
      <c r="AB69" s="54"/>
      <c r="AC69" s="55"/>
      <c r="AD69" s="53"/>
      <c r="AE69" s="53"/>
      <c r="AF69" s="53"/>
      <c r="AG69" s="53"/>
      <c r="AH69" s="56"/>
      <c r="AI69" s="56"/>
    </row>
    <row r="70" spans="1:35" ht="15.75" customHeight="1" x14ac:dyDescent="0.25">
      <c r="A70" s="9"/>
      <c r="B70" s="20"/>
      <c r="C70" s="20"/>
      <c r="D70" s="20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  <c r="P70" s="52"/>
      <c r="Q70" s="52"/>
      <c r="R70" s="52"/>
      <c r="S70" s="52"/>
      <c r="T70" s="53"/>
      <c r="U70" s="53"/>
      <c r="V70" s="53"/>
      <c r="W70" s="52"/>
      <c r="X70" s="52"/>
      <c r="Y70" s="52"/>
      <c r="Z70" s="52"/>
      <c r="AA70" s="52"/>
      <c r="AB70" s="54"/>
      <c r="AC70" s="55"/>
      <c r="AD70" s="53"/>
      <c r="AE70" s="53"/>
      <c r="AF70" s="53"/>
      <c r="AG70" s="53"/>
      <c r="AH70" s="56"/>
      <c r="AI70" s="56"/>
    </row>
    <row r="71" spans="1:35" ht="15.75" customHeight="1" x14ac:dyDescent="0.25">
      <c r="A71" s="9"/>
      <c r="B71" s="20"/>
      <c r="C71" s="20"/>
      <c r="D71" s="20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  <c r="P71" s="52"/>
      <c r="Q71" s="52"/>
      <c r="R71" s="52"/>
      <c r="S71" s="52"/>
      <c r="T71" s="53"/>
      <c r="U71" s="53"/>
      <c r="V71" s="53"/>
      <c r="W71" s="52"/>
      <c r="X71" s="52"/>
      <c r="Y71" s="52"/>
      <c r="Z71" s="52"/>
      <c r="AA71" s="52"/>
      <c r="AB71" s="54"/>
      <c r="AC71" s="55"/>
      <c r="AD71" s="53"/>
      <c r="AE71" s="53"/>
      <c r="AF71" s="53"/>
      <c r="AG71" s="53"/>
      <c r="AH71" s="56"/>
      <c r="AI71" s="56"/>
    </row>
    <row r="72" spans="1:35" ht="15.75" customHeight="1" x14ac:dyDescent="0.25">
      <c r="A72" s="9"/>
      <c r="B72" s="20"/>
      <c r="C72" s="20"/>
      <c r="D72" s="20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  <c r="P72" s="52"/>
      <c r="Q72" s="52"/>
      <c r="R72" s="52"/>
      <c r="S72" s="52"/>
      <c r="T72" s="53"/>
      <c r="U72" s="53"/>
      <c r="V72" s="53"/>
      <c r="W72" s="52"/>
      <c r="X72" s="52"/>
      <c r="Y72" s="52"/>
      <c r="Z72" s="52"/>
      <c r="AA72" s="52"/>
      <c r="AB72" s="54"/>
      <c r="AC72" s="55"/>
      <c r="AD72" s="53"/>
      <c r="AE72" s="53"/>
      <c r="AF72" s="53"/>
      <c r="AG72" s="53"/>
      <c r="AH72" s="56"/>
      <c r="AI72" s="56"/>
    </row>
    <row r="73" spans="1:35" ht="15.75" customHeight="1" x14ac:dyDescent="0.25">
      <c r="A73" s="9"/>
      <c r="B73" s="20"/>
      <c r="C73" s="20"/>
      <c r="D73" s="20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  <c r="P73" s="52"/>
      <c r="Q73" s="52"/>
      <c r="R73" s="52"/>
      <c r="S73" s="52"/>
      <c r="T73" s="53"/>
      <c r="U73" s="53"/>
      <c r="V73" s="53"/>
      <c r="W73" s="52"/>
      <c r="X73" s="52"/>
      <c r="Y73" s="52"/>
      <c r="Z73" s="52"/>
      <c r="AA73" s="52"/>
      <c r="AB73" s="54"/>
      <c r="AC73" s="55"/>
      <c r="AD73" s="53"/>
      <c r="AE73" s="53"/>
      <c r="AF73" s="53"/>
      <c r="AG73" s="53"/>
      <c r="AH73" s="56"/>
      <c r="AI73" s="56"/>
    </row>
    <row r="74" spans="1:35" ht="15.75" customHeight="1" x14ac:dyDescent="0.25">
      <c r="A74" s="9"/>
      <c r="B74" s="20"/>
      <c r="C74" s="20"/>
      <c r="D74" s="20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  <c r="P74" s="52"/>
      <c r="Q74" s="52"/>
      <c r="R74" s="52"/>
      <c r="S74" s="52"/>
      <c r="T74" s="53"/>
      <c r="U74" s="53"/>
      <c r="V74" s="53"/>
      <c r="W74" s="52"/>
      <c r="X74" s="52"/>
      <c r="Y74" s="52"/>
      <c r="Z74" s="52"/>
      <c r="AA74" s="52"/>
      <c r="AB74" s="54"/>
      <c r="AC74" s="55"/>
      <c r="AD74" s="53"/>
      <c r="AE74" s="53"/>
      <c r="AF74" s="53"/>
      <c r="AG74" s="53"/>
      <c r="AH74" s="56"/>
      <c r="AI74" s="56"/>
    </row>
    <row r="75" spans="1:35" ht="15.75" customHeight="1" x14ac:dyDescent="0.25">
      <c r="A75" s="9"/>
      <c r="B75" s="20"/>
      <c r="C75" s="20"/>
      <c r="D75" s="20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  <c r="P75" s="52"/>
      <c r="Q75" s="52"/>
      <c r="R75" s="52"/>
      <c r="S75" s="52"/>
      <c r="T75" s="53"/>
      <c r="U75" s="53"/>
      <c r="V75" s="53"/>
      <c r="W75" s="52"/>
      <c r="X75" s="52"/>
      <c r="Y75" s="52"/>
      <c r="Z75" s="52"/>
      <c r="AA75" s="52"/>
      <c r="AB75" s="54"/>
      <c r="AC75" s="55"/>
      <c r="AD75" s="53"/>
      <c r="AE75" s="53"/>
      <c r="AF75" s="53"/>
      <c r="AG75" s="53"/>
      <c r="AH75" s="56"/>
      <c r="AI75" s="56"/>
    </row>
    <row r="76" spans="1:35" ht="15.75" customHeight="1" x14ac:dyDescent="0.25">
      <c r="A76" s="9"/>
      <c r="B76" s="20"/>
      <c r="C76" s="20"/>
      <c r="D76" s="20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  <c r="P76" s="52"/>
      <c r="Q76" s="52"/>
      <c r="R76" s="52"/>
      <c r="S76" s="52"/>
      <c r="T76" s="53"/>
      <c r="U76" s="53"/>
      <c r="V76" s="53"/>
      <c r="W76" s="52"/>
      <c r="X76" s="52"/>
      <c r="Y76" s="52"/>
      <c r="Z76" s="52"/>
      <c r="AA76" s="52"/>
      <c r="AB76" s="54"/>
      <c r="AC76" s="55"/>
      <c r="AD76" s="53"/>
      <c r="AE76" s="53"/>
      <c r="AF76" s="53"/>
      <c r="AG76" s="53"/>
      <c r="AH76" s="56"/>
      <c r="AI76" s="56"/>
    </row>
    <row r="77" spans="1:35" ht="15.75" customHeight="1" x14ac:dyDescent="0.25">
      <c r="A77" s="9"/>
      <c r="B77" s="20"/>
      <c r="C77" s="20"/>
      <c r="D77" s="20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  <c r="P77" s="52"/>
      <c r="Q77" s="52"/>
      <c r="R77" s="52"/>
      <c r="S77" s="52"/>
      <c r="T77" s="53"/>
      <c r="U77" s="53"/>
      <c r="V77" s="53"/>
      <c r="W77" s="52"/>
      <c r="X77" s="52"/>
      <c r="Y77" s="52"/>
      <c r="Z77" s="52"/>
      <c r="AA77" s="52"/>
      <c r="AB77" s="54"/>
      <c r="AC77" s="55"/>
      <c r="AD77" s="53"/>
      <c r="AE77" s="53"/>
      <c r="AF77" s="53"/>
      <c r="AG77" s="53"/>
      <c r="AH77" s="56"/>
      <c r="AI77" s="56"/>
    </row>
    <row r="78" spans="1:35" ht="15.75" customHeight="1" x14ac:dyDescent="0.25">
      <c r="A78" s="9"/>
      <c r="B78" s="20"/>
      <c r="C78" s="20"/>
      <c r="D78" s="20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  <c r="P78" s="52"/>
      <c r="Q78" s="52"/>
      <c r="R78" s="52"/>
      <c r="S78" s="52"/>
      <c r="T78" s="53"/>
      <c r="U78" s="53"/>
      <c r="V78" s="53"/>
      <c r="W78" s="52"/>
      <c r="X78" s="52"/>
      <c r="Y78" s="52"/>
      <c r="Z78" s="52"/>
      <c r="AA78" s="52"/>
      <c r="AB78" s="54"/>
      <c r="AC78" s="55"/>
      <c r="AD78" s="53"/>
      <c r="AE78" s="53"/>
      <c r="AF78" s="53"/>
      <c r="AG78" s="53"/>
      <c r="AH78" s="56"/>
      <c r="AI78" s="56"/>
    </row>
    <row r="79" spans="1:35" ht="15.75" customHeight="1" x14ac:dyDescent="0.25">
      <c r="A79" s="9"/>
      <c r="B79" s="20"/>
      <c r="C79" s="20"/>
      <c r="D79" s="20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  <c r="P79" s="52"/>
      <c r="Q79" s="52"/>
      <c r="R79" s="52"/>
      <c r="S79" s="52"/>
      <c r="T79" s="53"/>
      <c r="U79" s="53"/>
      <c r="V79" s="53"/>
      <c r="W79" s="52"/>
      <c r="X79" s="52"/>
      <c r="Y79" s="52"/>
      <c r="Z79" s="52"/>
      <c r="AA79" s="52"/>
      <c r="AB79" s="54"/>
      <c r="AC79" s="55"/>
      <c r="AD79" s="53"/>
      <c r="AE79" s="53"/>
      <c r="AF79" s="53"/>
      <c r="AG79" s="53"/>
      <c r="AH79" s="56"/>
      <c r="AI79" s="56"/>
    </row>
    <row r="80" spans="1:35" ht="15.75" customHeight="1" x14ac:dyDescent="0.25">
      <c r="A80" s="9"/>
      <c r="B80" s="20"/>
      <c r="C80" s="20"/>
      <c r="D80" s="20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  <c r="P80" s="52"/>
      <c r="Q80" s="52"/>
      <c r="R80" s="52"/>
      <c r="S80" s="52"/>
      <c r="T80" s="53"/>
      <c r="U80" s="53"/>
      <c r="V80" s="53"/>
      <c r="W80" s="52"/>
      <c r="X80" s="52"/>
      <c r="Y80" s="52"/>
      <c r="Z80" s="52"/>
      <c r="AA80" s="52"/>
      <c r="AB80" s="54"/>
      <c r="AC80" s="55"/>
      <c r="AD80" s="53"/>
      <c r="AE80" s="53"/>
      <c r="AF80" s="53"/>
      <c r="AG80" s="53"/>
      <c r="AH80" s="56"/>
      <c r="AI80" s="56"/>
    </row>
    <row r="81" spans="1:35" ht="15.75" customHeight="1" x14ac:dyDescent="0.25">
      <c r="A81" s="9"/>
      <c r="B81" s="20"/>
      <c r="C81" s="20"/>
      <c r="D81" s="20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  <c r="P81" s="52"/>
      <c r="Q81" s="52"/>
      <c r="R81" s="52"/>
      <c r="S81" s="52"/>
      <c r="T81" s="53"/>
      <c r="U81" s="53"/>
      <c r="V81" s="53"/>
      <c r="W81" s="52"/>
      <c r="X81" s="52"/>
      <c r="Y81" s="52"/>
      <c r="Z81" s="52"/>
      <c r="AA81" s="52"/>
      <c r="AB81" s="54"/>
      <c r="AC81" s="55"/>
      <c r="AD81" s="53"/>
      <c r="AE81" s="53"/>
      <c r="AF81" s="53"/>
      <c r="AG81" s="53"/>
      <c r="AH81" s="56"/>
      <c r="AI81" s="56"/>
    </row>
    <row r="82" spans="1:35" ht="15.75" customHeight="1" x14ac:dyDescent="0.25">
      <c r="A82" s="9"/>
      <c r="B82" s="20"/>
      <c r="C82" s="20"/>
      <c r="D82" s="20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  <c r="P82" s="52"/>
      <c r="Q82" s="52"/>
      <c r="R82" s="52"/>
      <c r="S82" s="52"/>
      <c r="T82" s="53"/>
      <c r="U82" s="53"/>
      <c r="V82" s="53"/>
      <c r="W82" s="52"/>
      <c r="X82" s="52"/>
      <c r="Y82" s="52"/>
      <c r="Z82" s="52"/>
      <c r="AA82" s="52"/>
      <c r="AB82" s="54"/>
      <c r="AC82" s="55"/>
      <c r="AD82" s="53"/>
      <c r="AE82" s="53"/>
      <c r="AF82" s="53"/>
      <c r="AG82" s="53"/>
      <c r="AH82" s="56"/>
      <c r="AI82" s="56"/>
    </row>
    <row r="83" spans="1:35" ht="15.75" customHeight="1" x14ac:dyDescent="0.25">
      <c r="A83" s="9"/>
      <c r="B83" s="20"/>
      <c r="C83" s="20"/>
      <c r="D83" s="20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  <c r="P83" s="52"/>
      <c r="Q83" s="52"/>
      <c r="R83" s="52"/>
      <c r="S83" s="52"/>
      <c r="T83" s="53"/>
      <c r="U83" s="53"/>
      <c r="V83" s="53"/>
      <c r="W83" s="52"/>
      <c r="X83" s="52"/>
      <c r="Y83" s="52"/>
      <c r="Z83" s="52"/>
      <c r="AA83" s="52"/>
      <c r="AB83" s="54"/>
      <c r="AC83" s="55"/>
      <c r="AD83" s="53"/>
      <c r="AE83" s="53"/>
      <c r="AF83" s="53"/>
      <c r="AG83" s="53"/>
      <c r="AH83" s="56"/>
      <c r="AI83" s="56"/>
    </row>
    <row r="84" spans="1:35" ht="15.75" customHeight="1" x14ac:dyDescent="0.25">
      <c r="A84" s="9"/>
      <c r="B84" s="20"/>
      <c r="C84" s="20"/>
      <c r="D84" s="20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  <c r="P84" s="52"/>
      <c r="Q84" s="52"/>
      <c r="R84" s="52"/>
      <c r="S84" s="52"/>
      <c r="T84" s="53"/>
      <c r="U84" s="53"/>
      <c r="V84" s="53"/>
      <c r="W84" s="52"/>
      <c r="X84" s="52"/>
      <c r="Y84" s="52"/>
      <c r="Z84" s="52"/>
      <c r="AA84" s="52"/>
      <c r="AB84" s="54"/>
      <c r="AC84" s="55"/>
      <c r="AD84" s="53"/>
      <c r="AE84" s="53"/>
      <c r="AF84" s="53"/>
      <c r="AG84" s="53"/>
      <c r="AH84" s="56"/>
      <c r="AI84" s="56"/>
    </row>
    <row r="85" spans="1:35" ht="15.75" customHeight="1" x14ac:dyDescent="0.25">
      <c r="A85" s="9"/>
      <c r="B85" s="20"/>
      <c r="C85" s="20"/>
      <c r="D85" s="20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  <c r="P85" s="52"/>
      <c r="Q85" s="52"/>
      <c r="R85" s="52"/>
      <c r="S85" s="52"/>
      <c r="T85" s="53"/>
      <c r="U85" s="53"/>
      <c r="V85" s="53"/>
      <c r="W85" s="52"/>
      <c r="X85" s="52"/>
      <c r="Y85" s="52"/>
      <c r="Z85" s="52"/>
      <c r="AA85" s="52"/>
      <c r="AB85" s="54"/>
      <c r="AC85" s="55"/>
      <c r="AD85" s="53"/>
      <c r="AE85" s="53"/>
      <c r="AF85" s="53"/>
      <c r="AG85" s="53"/>
      <c r="AH85" s="56"/>
      <c r="AI85" s="56"/>
    </row>
    <row r="86" spans="1:35" ht="15.75" customHeight="1" x14ac:dyDescent="0.25">
      <c r="A86" s="9"/>
      <c r="B86" s="20"/>
      <c r="C86" s="20"/>
      <c r="D86" s="20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  <c r="P86" s="52"/>
      <c r="Q86" s="52"/>
      <c r="R86" s="52"/>
      <c r="S86" s="52"/>
      <c r="T86" s="53"/>
      <c r="U86" s="53"/>
      <c r="V86" s="53"/>
      <c r="W86" s="52"/>
      <c r="X86" s="52"/>
      <c r="Y86" s="52"/>
      <c r="Z86" s="52"/>
      <c r="AA86" s="52"/>
      <c r="AB86" s="54"/>
      <c r="AC86" s="55"/>
      <c r="AD86" s="53"/>
      <c r="AE86" s="53"/>
      <c r="AF86" s="53"/>
      <c r="AG86" s="53"/>
      <c r="AH86" s="56"/>
      <c r="AI86" s="56"/>
    </row>
    <row r="87" spans="1:35" ht="15.75" customHeight="1" x14ac:dyDescent="0.25">
      <c r="A87" s="9"/>
      <c r="B87" s="20"/>
      <c r="C87" s="20"/>
      <c r="D87" s="20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  <c r="P87" s="52"/>
      <c r="Q87" s="52"/>
      <c r="R87" s="52"/>
      <c r="S87" s="52"/>
      <c r="T87" s="53"/>
      <c r="U87" s="53"/>
      <c r="V87" s="53"/>
      <c r="W87" s="52"/>
      <c r="X87" s="52"/>
      <c r="Y87" s="52"/>
      <c r="Z87" s="52"/>
      <c r="AA87" s="52"/>
      <c r="AB87" s="54"/>
      <c r="AC87" s="55"/>
      <c r="AD87" s="53"/>
      <c r="AE87" s="53"/>
      <c r="AF87" s="53"/>
      <c r="AG87" s="53"/>
      <c r="AH87" s="56"/>
      <c r="AI87" s="56"/>
    </row>
    <row r="88" spans="1:35" ht="15.75" customHeight="1" x14ac:dyDescent="0.25">
      <c r="A88" s="9"/>
      <c r="B88" s="20"/>
      <c r="C88" s="20"/>
      <c r="D88" s="20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  <c r="P88" s="52"/>
      <c r="Q88" s="52"/>
      <c r="R88" s="52"/>
      <c r="S88" s="52"/>
      <c r="T88" s="53"/>
      <c r="U88" s="53"/>
      <c r="V88" s="53"/>
      <c r="W88" s="52"/>
      <c r="X88" s="52"/>
      <c r="Y88" s="52"/>
      <c r="Z88" s="52"/>
      <c r="AA88" s="52"/>
      <c r="AB88" s="54"/>
      <c r="AC88" s="55"/>
      <c r="AD88" s="53"/>
      <c r="AE88" s="53"/>
      <c r="AF88" s="53"/>
      <c r="AG88" s="53"/>
      <c r="AH88" s="56"/>
      <c r="AI88" s="56"/>
    </row>
    <row r="89" spans="1:35" ht="15.75" customHeight="1" x14ac:dyDescent="0.25">
      <c r="A89" s="9"/>
      <c r="B89" s="20"/>
      <c r="C89" s="20"/>
      <c r="D89" s="20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  <c r="P89" s="52"/>
      <c r="Q89" s="52"/>
      <c r="R89" s="52"/>
      <c r="S89" s="52"/>
      <c r="T89" s="53"/>
      <c r="U89" s="53"/>
      <c r="V89" s="53"/>
      <c r="W89" s="52"/>
      <c r="X89" s="52"/>
      <c r="Y89" s="52"/>
      <c r="Z89" s="52"/>
      <c r="AA89" s="52"/>
      <c r="AB89" s="54"/>
      <c r="AC89" s="55"/>
      <c r="AD89" s="53"/>
      <c r="AE89" s="53"/>
      <c r="AF89" s="53"/>
      <c r="AG89" s="53"/>
      <c r="AH89" s="56"/>
      <c r="AI89" s="56"/>
    </row>
    <row r="90" spans="1:35" ht="15.75" customHeight="1" x14ac:dyDescent="0.25">
      <c r="A90" s="9"/>
      <c r="B90" s="20"/>
      <c r="C90" s="20"/>
      <c r="D90" s="20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  <c r="P90" s="52"/>
      <c r="Q90" s="52"/>
      <c r="R90" s="52"/>
      <c r="S90" s="52"/>
      <c r="T90" s="53"/>
      <c r="U90" s="53"/>
      <c r="V90" s="53"/>
      <c r="W90" s="52"/>
      <c r="X90" s="52"/>
      <c r="Y90" s="52"/>
      <c r="Z90" s="52"/>
      <c r="AA90" s="52"/>
      <c r="AB90" s="54"/>
      <c r="AC90" s="55"/>
      <c r="AD90" s="53"/>
      <c r="AE90" s="53"/>
      <c r="AF90" s="53"/>
      <c r="AG90" s="53"/>
      <c r="AH90" s="56"/>
      <c r="AI90" s="56"/>
    </row>
    <row r="91" spans="1:35" ht="15.75" customHeight="1" x14ac:dyDescent="0.25">
      <c r="A91" s="9"/>
      <c r="B91" s="20"/>
      <c r="C91" s="20"/>
      <c r="D91" s="20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  <c r="P91" s="52"/>
      <c r="Q91" s="52"/>
      <c r="R91" s="52"/>
      <c r="S91" s="52"/>
      <c r="T91" s="53"/>
      <c r="U91" s="53"/>
      <c r="V91" s="53"/>
      <c r="W91" s="52"/>
      <c r="X91" s="52"/>
      <c r="Y91" s="52"/>
      <c r="Z91" s="52"/>
      <c r="AA91" s="52"/>
      <c r="AB91" s="54"/>
      <c r="AC91" s="55"/>
      <c r="AD91" s="53"/>
      <c r="AE91" s="53"/>
      <c r="AF91" s="53"/>
      <c r="AG91" s="53"/>
      <c r="AH91" s="56"/>
      <c r="AI91" s="56"/>
    </row>
    <row r="92" spans="1:35" ht="15.75" customHeight="1" x14ac:dyDescent="0.25">
      <c r="A92" s="9"/>
      <c r="B92" s="20"/>
      <c r="C92" s="20"/>
      <c r="D92" s="20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  <c r="P92" s="52"/>
      <c r="Q92" s="52"/>
      <c r="R92" s="52"/>
      <c r="S92" s="52"/>
      <c r="T92" s="53"/>
      <c r="U92" s="53"/>
      <c r="V92" s="53"/>
      <c r="W92" s="52"/>
      <c r="X92" s="52"/>
      <c r="Y92" s="52"/>
      <c r="Z92" s="52"/>
      <c r="AA92" s="52"/>
      <c r="AB92" s="54"/>
      <c r="AC92" s="55"/>
      <c r="AD92" s="53"/>
      <c r="AE92" s="53"/>
      <c r="AF92" s="53"/>
      <c r="AG92" s="53"/>
      <c r="AH92" s="56"/>
      <c r="AI92" s="56"/>
    </row>
    <row r="93" spans="1:35" ht="15.75" customHeight="1" x14ac:dyDescent="0.25">
      <c r="A93" s="9"/>
      <c r="B93" s="20"/>
      <c r="C93" s="20"/>
      <c r="D93" s="20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  <c r="P93" s="52"/>
      <c r="Q93" s="52"/>
      <c r="R93" s="52"/>
      <c r="S93" s="52"/>
      <c r="T93" s="53"/>
      <c r="U93" s="53"/>
      <c r="V93" s="53"/>
      <c r="W93" s="52"/>
      <c r="X93" s="52"/>
      <c r="Y93" s="52"/>
      <c r="Z93" s="52"/>
      <c r="AA93" s="52"/>
      <c r="AB93" s="54"/>
      <c r="AC93" s="55"/>
      <c r="AD93" s="53"/>
      <c r="AE93" s="53"/>
      <c r="AF93" s="53"/>
      <c r="AG93" s="53"/>
      <c r="AH93" s="56"/>
      <c r="AI93" s="56"/>
    </row>
    <row r="94" spans="1:35" ht="15.75" customHeight="1" x14ac:dyDescent="0.25">
      <c r="A94" s="9"/>
      <c r="B94" s="20"/>
      <c r="C94" s="20"/>
      <c r="D94" s="20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  <c r="P94" s="52"/>
      <c r="Q94" s="52"/>
      <c r="R94" s="52"/>
      <c r="S94" s="52"/>
      <c r="T94" s="53"/>
      <c r="U94" s="53"/>
      <c r="V94" s="53"/>
      <c r="W94" s="52"/>
      <c r="X94" s="52"/>
      <c r="Y94" s="52"/>
      <c r="Z94" s="52"/>
      <c r="AA94" s="52"/>
      <c r="AB94" s="54"/>
      <c r="AC94" s="55"/>
      <c r="AD94" s="53"/>
      <c r="AE94" s="53"/>
      <c r="AF94" s="53"/>
      <c r="AG94" s="53"/>
      <c r="AH94" s="56"/>
      <c r="AI94" s="56"/>
    </row>
    <row r="95" spans="1:35" ht="15.75" customHeight="1" x14ac:dyDescent="0.25">
      <c r="A95" s="9"/>
      <c r="B95" s="20"/>
      <c r="C95" s="20"/>
      <c r="D95" s="20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  <c r="P95" s="52"/>
      <c r="Q95" s="52"/>
      <c r="R95" s="52"/>
      <c r="S95" s="52"/>
      <c r="T95" s="53"/>
      <c r="U95" s="53"/>
      <c r="V95" s="53"/>
      <c r="W95" s="52"/>
      <c r="X95" s="52"/>
      <c r="Y95" s="52"/>
      <c r="Z95" s="52"/>
      <c r="AA95" s="52"/>
      <c r="AB95" s="54"/>
      <c r="AC95" s="55"/>
      <c r="AD95" s="53"/>
      <c r="AE95" s="53"/>
      <c r="AF95" s="53"/>
      <c r="AG95" s="53"/>
      <c r="AH95" s="56"/>
      <c r="AI95" s="56"/>
    </row>
    <row r="96" spans="1:35" ht="15.75" customHeight="1" x14ac:dyDescent="0.25">
      <c r="A96" s="9"/>
      <c r="B96" s="20"/>
      <c r="C96" s="20"/>
      <c r="D96" s="20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  <c r="P96" s="52"/>
      <c r="Q96" s="52"/>
      <c r="R96" s="52"/>
      <c r="S96" s="52"/>
      <c r="T96" s="53"/>
      <c r="U96" s="53"/>
      <c r="V96" s="53"/>
      <c r="W96" s="52"/>
      <c r="X96" s="52"/>
      <c r="Y96" s="52"/>
      <c r="Z96" s="52"/>
      <c r="AA96" s="52"/>
      <c r="AB96" s="54"/>
      <c r="AC96" s="55"/>
      <c r="AD96" s="53"/>
      <c r="AE96" s="53"/>
      <c r="AF96" s="53"/>
      <c r="AG96" s="53"/>
      <c r="AH96" s="56"/>
      <c r="AI96" s="56"/>
    </row>
    <row r="97" spans="1:35" ht="15.75" customHeight="1" x14ac:dyDescent="0.25">
      <c r="A97" s="9"/>
      <c r="B97" s="20"/>
      <c r="C97" s="20"/>
      <c r="D97" s="20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  <c r="P97" s="52"/>
      <c r="Q97" s="52"/>
      <c r="R97" s="52"/>
      <c r="S97" s="52"/>
      <c r="T97" s="53"/>
      <c r="U97" s="53"/>
      <c r="V97" s="53"/>
      <c r="W97" s="52"/>
      <c r="X97" s="52"/>
      <c r="Y97" s="52"/>
      <c r="Z97" s="52"/>
      <c r="AA97" s="52"/>
      <c r="AB97" s="54"/>
      <c r="AC97" s="55"/>
      <c r="AD97" s="53"/>
      <c r="AE97" s="53"/>
      <c r="AF97" s="53"/>
      <c r="AG97" s="53"/>
      <c r="AH97" s="56"/>
      <c r="AI97" s="56"/>
    </row>
    <row r="98" spans="1:35" ht="15.75" customHeight="1" x14ac:dyDescent="0.25">
      <c r="A98" s="9"/>
      <c r="B98" s="20"/>
      <c r="C98" s="20"/>
      <c r="D98" s="20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  <c r="P98" s="52"/>
      <c r="Q98" s="52"/>
      <c r="R98" s="52"/>
      <c r="S98" s="52"/>
      <c r="T98" s="53"/>
      <c r="U98" s="53"/>
      <c r="V98" s="53"/>
      <c r="W98" s="52"/>
      <c r="X98" s="52"/>
      <c r="Y98" s="52"/>
      <c r="Z98" s="52"/>
      <c r="AA98" s="52"/>
      <c r="AB98" s="54"/>
      <c r="AC98" s="55"/>
      <c r="AD98" s="53"/>
      <c r="AE98" s="53"/>
      <c r="AF98" s="53"/>
      <c r="AG98" s="53"/>
      <c r="AH98" s="56"/>
      <c r="AI98" s="56"/>
    </row>
    <row r="99" spans="1:35" ht="15.75" customHeight="1" x14ac:dyDescent="0.25">
      <c r="A99" s="9"/>
      <c r="B99" s="20"/>
      <c r="C99" s="20"/>
      <c r="D99" s="20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  <c r="P99" s="52"/>
      <c r="Q99" s="52"/>
      <c r="R99" s="52"/>
      <c r="S99" s="52"/>
      <c r="T99" s="53"/>
      <c r="U99" s="53"/>
      <c r="V99" s="53"/>
      <c r="W99" s="52"/>
      <c r="X99" s="52"/>
      <c r="Y99" s="52"/>
      <c r="Z99" s="52"/>
      <c r="AA99" s="52"/>
      <c r="AB99" s="54"/>
      <c r="AC99" s="55"/>
      <c r="AD99" s="53"/>
      <c r="AE99" s="53"/>
      <c r="AF99" s="53"/>
      <c r="AG99" s="53"/>
      <c r="AH99" s="56"/>
      <c r="AI99" s="56"/>
    </row>
    <row r="100" spans="1:35" ht="15.75" customHeight="1" x14ac:dyDescent="0.25">
      <c r="A100" s="9"/>
      <c r="B100" s="20"/>
      <c r="C100" s="20"/>
      <c r="D100" s="20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  <c r="P100" s="52"/>
      <c r="Q100" s="52"/>
      <c r="R100" s="52"/>
      <c r="S100" s="52"/>
      <c r="T100" s="53"/>
      <c r="U100" s="53"/>
      <c r="V100" s="53"/>
      <c r="W100" s="52"/>
      <c r="X100" s="52"/>
      <c r="Y100" s="52"/>
      <c r="Z100" s="52"/>
      <c r="AA100" s="52"/>
      <c r="AB100" s="54"/>
      <c r="AC100" s="55"/>
      <c r="AD100" s="53"/>
      <c r="AE100" s="53"/>
      <c r="AF100" s="53"/>
      <c r="AG100" s="53"/>
      <c r="AH100" s="56"/>
      <c r="AI100" s="56"/>
    </row>
    <row r="101" spans="1:35" ht="15.75" customHeight="1" x14ac:dyDescent="0.25">
      <c r="A101" s="9"/>
      <c r="B101" s="20"/>
      <c r="C101" s="20"/>
      <c r="D101" s="20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  <c r="P101" s="52"/>
      <c r="Q101" s="52"/>
      <c r="R101" s="52"/>
      <c r="S101" s="52"/>
      <c r="T101" s="53"/>
      <c r="U101" s="53"/>
      <c r="V101" s="53"/>
      <c r="W101" s="52"/>
      <c r="X101" s="52"/>
      <c r="Y101" s="52"/>
      <c r="Z101" s="52"/>
      <c r="AA101" s="52"/>
      <c r="AB101" s="54"/>
      <c r="AC101" s="55"/>
      <c r="AD101" s="53"/>
      <c r="AE101" s="53"/>
      <c r="AF101" s="53"/>
      <c r="AG101" s="53"/>
      <c r="AH101" s="56"/>
      <c r="AI101" s="56"/>
    </row>
    <row r="102" spans="1:35" ht="15.75" customHeight="1" x14ac:dyDescent="0.25">
      <c r="A102" s="9"/>
      <c r="B102" s="20"/>
      <c r="C102" s="20"/>
      <c r="D102" s="20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  <c r="P102" s="52"/>
      <c r="Q102" s="52"/>
      <c r="R102" s="52"/>
      <c r="S102" s="52"/>
      <c r="T102" s="53"/>
      <c r="U102" s="53"/>
      <c r="V102" s="53"/>
      <c r="W102" s="52"/>
      <c r="X102" s="52"/>
      <c r="Y102" s="52"/>
      <c r="Z102" s="52"/>
      <c r="AA102" s="52"/>
      <c r="AB102" s="54"/>
      <c r="AC102" s="55"/>
      <c r="AD102" s="53"/>
      <c r="AE102" s="53"/>
      <c r="AF102" s="53"/>
      <c r="AG102" s="53"/>
      <c r="AH102" s="56"/>
      <c r="AI102" s="56"/>
    </row>
    <row r="103" spans="1:35" ht="15.75" customHeight="1" x14ac:dyDescent="0.25">
      <c r="A103" s="9"/>
      <c r="B103" s="20"/>
      <c r="C103" s="20"/>
      <c r="D103" s="20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  <c r="P103" s="52"/>
      <c r="Q103" s="52"/>
      <c r="R103" s="52"/>
      <c r="S103" s="52"/>
      <c r="T103" s="53"/>
      <c r="U103" s="53"/>
      <c r="V103" s="53"/>
      <c r="W103" s="52"/>
      <c r="X103" s="52"/>
      <c r="Y103" s="52"/>
      <c r="Z103" s="52"/>
      <c r="AA103" s="52"/>
      <c r="AB103" s="54"/>
      <c r="AC103" s="55"/>
      <c r="AD103" s="53"/>
      <c r="AE103" s="53"/>
      <c r="AF103" s="53"/>
      <c r="AG103" s="53"/>
      <c r="AH103" s="56"/>
      <c r="AI103" s="56"/>
    </row>
    <row r="104" spans="1:35" ht="15.75" customHeight="1" x14ac:dyDescent="0.25">
      <c r="A104" s="9"/>
      <c r="B104" s="20"/>
      <c r="C104" s="20"/>
      <c r="D104" s="20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  <c r="P104" s="52"/>
      <c r="Q104" s="52"/>
      <c r="R104" s="52"/>
      <c r="S104" s="52"/>
      <c r="T104" s="53"/>
      <c r="U104" s="53"/>
      <c r="V104" s="53"/>
      <c r="W104" s="52"/>
      <c r="X104" s="52"/>
      <c r="Y104" s="52"/>
      <c r="Z104" s="52"/>
      <c r="AA104" s="52"/>
      <c r="AB104" s="54"/>
      <c r="AC104" s="55"/>
      <c r="AD104" s="53"/>
      <c r="AE104" s="53"/>
      <c r="AF104" s="53"/>
      <c r="AG104" s="53"/>
      <c r="AH104" s="56"/>
      <c r="AI104" s="56"/>
    </row>
    <row r="105" spans="1:35" ht="15.75" customHeight="1" x14ac:dyDescent="0.25">
      <c r="A105" s="9"/>
      <c r="B105" s="20"/>
      <c r="C105" s="20"/>
      <c r="D105" s="20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  <c r="P105" s="52"/>
      <c r="Q105" s="52"/>
      <c r="R105" s="52"/>
      <c r="S105" s="52"/>
      <c r="T105" s="53"/>
      <c r="U105" s="53"/>
      <c r="V105" s="53"/>
      <c r="W105" s="52"/>
      <c r="X105" s="52"/>
      <c r="Y105" s="52"/>
      <c r="Z105" s="52"/>
      <c r="AA105" s="52"/>
      <c r="AB105" s="54"/>
      <c r="AC105" s="55"/>
      <c r="AD105" s="53"/>
      <c r="AE105" s="53"/>
      <c r="AF105" s="53"/>
      <c r="AG105" s="53"/>
      <c r="AH105" s="56"/>
      <c r="AI105" s="56"/>
    </row>
    <row r="106" spans="1:35" ht="15.75" customHeight="1" x14ac:dyDescent="0.25">
      <c r="A106" s="9"/>
      <c r="B106" s="20"/>
      <c r="C106" s="20"/>
      <c r="D106" s="20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  <c r="P106" s="52"/>
      <c r="Q106" s="52"/>
      <c r="R106" s="52"/>
      <c r="S106" s="52"/>
      <c r="T106" s="53"/>
      <c r="U106" s="53"/>
      <c r="V106" s="53"/>
      <c r="W106" s="52"/>
      <c r="X106" s="52"/>
      <c r="Y106" s="52"/>
      <c r="Z106" s="52"/>
      <c r="AA106" s="52"/>
      <c r="AB106" s="54"/>
      <c r="AC106" s="55"/>
      <c r="AD106" s="53"/>
      <c r="AE106" s="53"/>
      <c r="AF106" s="53"/>
      <c r="AG106" s="53"/>
      <c r="AH106" s="56"/>
      <c r="AI106" s="56"/>
    </row>
    <row r="107" spans="1:35" ht="15.75" customHeight="1" x14ac:dyDescent="0.25">
      <c r="A107" s="9"/>
      <c r="B107" s="20"/>
      <c r="C107" s="20"/>
      <c r="D107" s="20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  <c r="P107" s="52"/>
      <c r="Q107" s="52"/>
      <c r="R107" s="52"/>
      <c r="S107" s="52"/>
      <c r="T107" s="53"/>
      <c r="U107" s="53"/>
      <c r="V107" s="53"/>
      <c r="W107" s="52"/>
      <c r="X107" s="52"/>
      <c r="Y107" s="52"/>
      <c r="Z107" s="52"/>
      <c r="AA107" s="52"/>
      <c r="AB107" s="54"/>
      <c r="AC107" s="55"/>
      <c r="AD107" s="53"/>
      <c r="AE107" s="53"/>
      <c r="AF107" s="53"/>
      <c r="AG107" s="53"/>
      <c r="AH107" s="56"/>
      <c r="AI107" s="56"/>
    </row>
    <row r="108" spans="1:35" ht="15.75" customHeight="1" x14ac:dyDescent="0.25">
      <c r="A108" s="9"/>
      <c r="B108" s="20"/>
      <c r="C108" s="20"/>
      <c r="D108" s="20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  <c r="P108" s="52"/>
      <c r="Q108" s="52"/>
      <c r="R108" s="52"/>
      <c r="S108" s="52"/>
      <c r="T108" s="53"/>
      <c r="U108" s="53"/>
      <c r="V108" s="53"/>
      <c r="W108" s="52"/>
      <c r="X108" s="52"/>
      <c r="Y108" s="52"/>
      <c r="Z108" s="52"/>
      <c r="AA108" s="52"/>
      <c r="AB108" s="54"/>
      <c r="AC108" s="55"/>
      <c r="AD108" s="53"/>
      <c r="AE108" s="53"/>
      <c r="AF108" s="53"/>
      <c r="AG108" s="53"/>
      <c r="AH108" s="56"/>
      <c r="AI108" s="56"/>
    </row>
    <row r="109" spans="1:35" ht="15.75" customHeight="1" x14ac:dyDescent="0.25">
      <c r="A109" s="9"/>
      <c r="B109" s="20"/>
      <c r="C109" s="20"/>
      <c r="D109" s="20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  <c r="P109" s="52"/>
      <c r="Q109" s="52"/>
      <c r="R109" s="52"/>
      <c r="S109" s="52"/>
      <c r="T109" s="53"/>
      <c r="U109" s="53"/>
      <c r="V109" s="53"/>
      <c r="W109" s="52"/>
      <c r="X109" s="52"/>
      <c r="Y109" s="52"/>
      <c r="Z109" s="52"/>
      <c r="AA109" s="52"/>
      <c r="AB109" s="54"/>
      <c r="AC109" s="55"/>
      <c r="AD109" s="53"/>
      <c r="AE109" s="53"/>
      <c r="AF109" s="53"/>
      <c r="AG109" s="53"/>
      <c r="AH109" s="56"/>
      <c r="AI109" s="56"/>
    </row>
    <row r="110" spans="1:35" ht="15.75" customHeight="1" x14ac:dyDescent="0.25">
      <c r="A110" s="9"/>
      <c r="B110" s="20"/>
      <c r="C110" s="20"/>
      <c r="D110" s="20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  <c r="P110" s="52"/>
      <c r="Q110" s="52"/>
      <c r="R110" s="52"/>
      <c r="S110" s="52"/>
      <c r="T110" s="53"/>
      <c r="U110" s="53"/>
      <c r="V110" s="53"/>
      <c r="W110" s="52"/>
      <c r="X110" s="52"/>
      <c r="Y110" s="52"/>
      <c r="Z110" s="52"/>
      <c r="AA110" s="52"/>
      <c r="AB110" s="54"/>
      <c r="AC110" s="55"/>
      <c r="AD110" s="53"/>
      <c r="AE110" s="53"/>
      <c r="AF110" s="53"/>
      <c r="AG110" s="53"/>
      <c r="AH110" s="56"/>
      <c r="AI110" s="56"/>
    </row>
    <row r="111" spans="1:35" ht="15.75" customHeight="1" x14ac:dyDescent="0.25">
      <c r="A111" s="9"/>
      <c r="B111" s="20"/>
      <c r="C111" s="20"/>
      <c r="D111" s="20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  <c r="P111" s="52"/>
      <c r="Q111" s="52"/>
      <c r="R111" s="52"/>
      <c r="S111" s="52"/>
      <c r="T111" s="53"/>
      <c r="U111" s="53"/>
      <c r="V111" s="53"/>
      <c r="W111" s="52"/>
      <c r="X111" s="52"/>
      <c r="Y111" s="52"/>
      <c r="Z111" s="52"/>
      <c r="AA111" s="52"/>
      <c r="AB111" s="54"/>
      <c r="AC111" s="55"/>
      <c r="AD111" s="53"/>
      <c r="AE111" s="53"/>
      <c r="AF111" s="53"/>
      <c r="AG111" s="53"/>
      <c r="AH111" s="56"/>
      <c r="AI111" s="56"/>
    </row>
    <row r="112" spans="1:35" ht="15.75" customHeight="1" x14ac:dyDescent="0.25">
      <c r="A112" s="9"/>
      <c r="B112" s="20"/>
      <c r="C112" s="20"/>
      <c r="D112" s="20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  <c r="P112" s="52"/>
      <c r="Q112" s="52"/>
      <c r="R112" s="52"/>
      <c r="S112" s="52"/>
      <c r="T112" s="53"/>
      <c r="U112" s="53"/>
      <c r="V112" s="53"/>
      <c r="W112" s="52"/>
      <c r="X112" s="52"/>
      <c r="Y112" s="52"/>
      <c r="Z112" s="52"/>
      <c r="AA112" s="52"/>
      <c r="AB112" s="54"/>
      <c r="AC112" s="55"/>
      <c r="AD112" s="53"/>
      <c r="AE112" s="53"/>
      <c r="AF112" s="53"/>
      <c r="AG112" s="53"/>
      <c r="AH112" s="56"/>
      <c r="AI112" s="56"/>
    </row>
    <row r="113" spans="1:35" ht="15.75" customHeight="1" x14ac:dyDescent="0.25">
      <c r="A113" s="9"/>
      <c r="B113" s="20"/>
      <c r="C113" s="20"/>
      <c r="D113" s="20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  <c r="P113" s="52"/>
      <c r="Q113" s="52"/>
      <c r="R113" s="52"/>
      <c r="S113" s="52"/>
      <c r="T113" s="53"/>
      <c r="U113" s="53"/>
      <c r="V113" s="53"/>
      <c r="W113" s="52"/>
      <c r="X113" s="52"/>
      <c r="Y113" s="52"/>
      <c r="Z113" s="52"/>
      <c r="AA113" s="52"/>
      <c r="AB113" s="54"/>
      <c r="AC113" s="55"/>
      <c r="AD113" s="53"/>
      <c r="AE113" s="53"/>
      <c r="AF113" s="53"/>
      <c r="AG113" s="53"/>
      <c r="AH113" s="56"/>
      <c r="AI113" s="56"/>
    </row>
    <row r="114" spans="1:35" ht="15.75" customHeight="1" x14ac:dyDescent="0.25">
      <c r="A114" s="9"/>
      <c r="B114" s="20"/>
      <c r="C114" s="20"/>
      <c r="D114" s="20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  <c r="P114" s="52"/>
      <c r="Q114" s="52"/>
      <c r="R114" s="52"/>
      <c r="S114" s="52"/>
      <c r="T114" s="53"/>
      <c r="U114" s="53"/>
      <c r="V114" s="53"/>
      <c r="W114" s="52"/>
      <c r="X114" s="52"/>
      <c r="Y114" s="52"/>
      <c r="Z114" s="52"/>
      <c r="AA114" s="52"/>
      <c r="AB114" s="54"/>
      <c r="AC114" s="55"/>
      <c r="AD114" s="53"/>
      <c r="AE114" s="53"/>
      <c r="AF114" s="53"/>
      <c r="AG114" s="53"/>
      <c r="AH114" s="56"/>
      <c r="AI114" s="56"/>
    </row>
    <row r="115" spans="1:35" ht="15.75" customHeight="1" x14ac:dyDescent="0.25">
      <c r="A115" s="9"/>
      <c r="B115" s="20"/>
      <c r="C115" s="20"/>
      <c r="D115" s="20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  <c r="P115" s="52"/>
      <c r="Q115" s="52"/>
      <c r="R115" s="52"/>
      <c r="S115" s="52"/>
      <c r="T115" s="53"/>
      <c r="U115" s="53"/>
      <c r="V115" s="53"/>
      <c r="W115" s="52"/>
      <c r="X115" s="52"/>
      <c r="Y115" s="52"/>
      <c r="Z115" s="52"/>
      <c r="AA115" s="52"/>
      <c r="AB115" s="54"/>
      <c r="AC115" s="55"/>
      <c r="AD115" s="53"/>
      <c r="AE115" s="53"/>
      <c r="AF115" s="53"/>
      <c r="AG115" s="53"/>
      <c r="AH115" s="56"/>
      <c r="AI115" s="56"/>
    </row>
    <row r="116" spans="1:35" ht="15.75" customHeight="1" x14ac:dyDescent="0.25">
      <c r="A116" s="9"/>
      <c r="B116" s="20"/>
      <c r="C116" s="20"/>
      <c r="D116" s="20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  <c r="P116" s="52"/>
      <c r="Q116" s="52"/>
      <c r="R116" s="52"/>
      <c r="S116" s="52"/>
      <c r="T116" s="53"/>
      <c r="U116" s="53"/>
      <c r="V116" s="53"/>
      <c r="W116" s="52"/>
      <c r="X116" s="52"/>
      <c r="Y116" s="52"/>
      <c r="Z116" s="52"/>
      <c r="AA116" s="52"/>
      <c r="AB116" s="54"/>
      <c r="AC116" s="55"/>
      <c r="AD116" s="53"/>
      <c r="AE116" s="53"/>
      <c r="AF116" s="53"/>
      <c r="AG116" s="53"/>
      <c r="AH116" s="56"/>
      <c r="AI116" s="56"/>
    </row>
    <row r="117" spans="1:35" ht="15.75" customHeight="1" x14ac:dyDescent="0.25">
      <c r="A117" s="9"/>
      <c r="B117" s="20"/>
      <c r="C117" s="20"/>
      <c r="D117" s="20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  <c r="P117" s="52"/>
      <c r="Q117" s="52"/>
      <c r="R117" s="52"/>
      <c r="S117" s="52"/>
      <c r="T117" s="53"/>
      <c r="U117" s="53"/>
      <c r="V117" s="53"/>
      <c r="W117" s="52"/>
      <c r="X117" s="52"/>
      <c r="Y117" s="52"/>
      <c r="Z117" s="52"/>
      <c r="AA117" s="52"/>
      <c r="AB117" s="54"/>
      <c r="AC117" s="55"/>
      <c r="AD117" s="53"/>
      <c r="AE117" s="53"/>
      <c r="AF117" s="53"/>
      <c r="AG117" s="53"/>
      <c r="AH117" s="56"/>
      <c r="AI117" s="56"/>
    </row>
    <row r="118" spans="1:35" ht="15.75" customHeight="1" x14ac:dyDescent="0.25">
      <c r="A118" s="9"/>
      <c r="B118" s="20"/>
      <c r="C118" s="20"/>
      <c r="D118" s="20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  <c r="P118" s="52"/>
      <c r="Q118" s="52"/>
      <c r="R118" s="52"/>
      <c r="S118" s="52"/>
      <c r="T118" s="53"/>
      <c r="U118" s="53"/>
      <c r="V118" s="53"/>
      <c r="W118" s="52"/>
      <c r="X118" s="52"/>
      <c r="Y118" s="52"/>
      <c r="Z118" s="52"/>
      <c r="AA118" s="52"/>
      <c r="AB118" s="54"/>
      <c r="AC118" s="55"/>
      <c r="AD118" s="53"/>
      <c r="AE118" s="53"/>
      <c r="AF118" s="53"/>
      <c r="AG118" s="53"/>
      <c r="AH118" s="56"/>
      <c r="AI118" s="56"/>
    </row>
    <row r="119" spans="1:35" ht="15.75" customHeight="1" x14ac:dyDescent="0.25">
      <c r="A119" s="9"/>
      <c r="B119" s="20"/>
      <c r="C119" s="20"/>
      <c r="D119" s="20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  <c r="P119" s="52"/>
      <c r="Q119" s="52"/>
      <c r="R119" s="52"/>
      <c r="S119" s="52"/>
      <c r="T119" s="53"/>
      <c r="U119" s="53"/>
      <c r="V119" s="53"/>
      <c r="W119" s="52"/>
      <c r="X119" s="52"/>
      <c r="Y119" s="52"/>
      <c r="Z119" s="52"/>
      <c r="AA119" s="52"/>
      <c r="AB119" s="54"/>
      <c r="AC119" s="55"/>
      <c r="AD119" s="53"/>
      <c r="AE119" s="53"/>
      <c r="AF119" s="53"/>
      <c r="AG119" s="53"/>
      <c r="AH119" s="56"/>
      <c r="AI119" s="56"/>
    </row>
    <row r="120" spans="1:35" ht="15.75" customHeight="1" x14ac:dyDescent="0.25">
      <c r="A120" s="9"/>
      <c r="B120" s="20"/>
      <c r="C120" s="20"/>
      <c r="D120" s="20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  <c r="P120" s="52"/>
      <c r="Q120" s="52"/>
      <c r="R120" s="52"/>
      <c r="S120" s="52"/>
      <c r="T120" s="53"/>
      <c r="U120" s="53"/>
      <c r="V120" s="53"/>
      <c r="W120" s="52"/>
      <c r="X120" s="52"/>
      <c r="Y120" s="52"/>
      <c r="Z120" s="52"/>
      <c r="AA120" s="52"/>
      <c r="AB120" s="54"/>
      <c r="AC120" s="55"/>
      <c r="AD120" s="53"/>
      <c r="AE120" s="53"/>
      <c r="AF120" s="53"/>
      <c r="AG120" s="53"/>
      <c r="AH120" s="56"/>
      <c r="AI120" s="56"/>
    </row>
    <row r="121" spans="1:35" ht="15.75" customHeight="1" x14ac:dyDescent="0.25">
      <c r="A121" s="9"/>
      <c r="B121" s="20"/>
      <c r="C121" s="20"/>
      <c r="D121" s="20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  <c r="P121" s="52"/>
      <c r="Q121" s="52"/>
      <c r="R121" s="52"/>
      <c r="S121" s="52"/>
      <c r="T121" s="53"/>
      <c r="U121" s="53"/>
      <c r="V121" s="53"/>
      <c r="W121" s="52"/>
      <c r="X121" s="52"/>
      <c r="Y121" s="52"/>
      <c r="Z121" s="52"/>
      <c r="AA121" s="52"/>
      <c r="AB121" s="54"/>
      <c r="AC121" s="55"/>
      <c r="AD121" s="53"/>
      <c r="AE121" s="53"/>
      <c r="AF121" s="53"/>
      <c r="AG121" s="53"/>
      <c r="AH121" s="56"/>
      <c r="AI121" s="56"/>
    </row>
    <row r="122" spans="1:35" ht="15.75" customHeight="1" x14ac:dyDescent="0.25">
      <c r="A122" s="9"/>
      <c r="B122" s="20"/>
      <c r="C122" s="20"/>
      <c r="D122" s="20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  <c r="P122" s="52"/>
      <c r="Q122" s="52"/>
      <c r="R122" s="52"/>
      <c r="S122" s="52"/>
      <c r="T122" s="53"/>
      <c r="U122" s="53"/>
      <c r="V122" s="53"/>
      <c r="W122" s="52"/>
      <c r="X122" s="52"/>
      <c r="Y122" s="52"/>
      <c r="Z122" s="52"/>
      <c r="AA122" s="52"/>
      <c r="AB122" s="54"/>
      <c r="AC122" s="55"/>
      <c r="AD122" s="53"/>
      <c r="AE122" s="53"/>
      <c r="AF122" s="53"/>
      <c r="AG122" s="53"/>
      <c r="AH122" s="56"/>
      <c r="AI122" s="56"/>
    </row>
    <row r="123" spans="1:35" ht="15.75" customHeight="1" x14ac:dyDescent="0.25">
      <c r="A123" s="9"/>
      <c r="B123" s="20"/>
      <c r="C123" s="20"/>
      <c r="D123" s="20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  <c r="P123" s="52"/>
      <c r="Q123" s="52"/>
      <c r="R123" s="52"/>
      <c r="S123" s="52"/>
      <c r="T123" s="53"/>
      <c r="U123" s="53"/>
      <c r="V123" s="53"/>
      <c r="W123" s="52"/>
      <c r="X123" s="52"/>
      <c r="Y123" s="52"/>
      <c r="Z123" s="52"/>
      <c r="AA123" s="52"/>
      <c r="AB123" s="54"/>
      <c r="AC123" s="55"/>
      <c r="AD123" s="53"/>
      <c r="AE123" s="53"/>
      <c r="AF123" s="53"/>
      <c r="AG123" s="53"/>
      <c r="AH123" s="56"/>
      <c r="AI123" s="56"/>
    </row>
    <row r="124" spans="1:35" ht="15.75" customHeight="1" x14ac:dyDescent="0.25">
      <c r="A124" s="9"/>
      <c r="B124" s="20"/>
      <c r="C124" s="20"/>
      <c r="D124" s="20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  <c r="P124" s="52"/>
      <c r="Q124" s="52"/>
      <c r="R124" s="52"/>
      <c r="S124" s="52"/>
      <c r="T124" s="53"/>
      <c r="U124" s="53"/>
      <c r="V124" s="53"/>
      <c r="W124" s="52"/>
      <c r="X124" s="52"/>
      <c r="Y124" s="52"/>
      <c r="Z124" s="52"/>
      <c r="AA124" s="52"/>
      <c r="AB124" s="54"/>
      <c r="AC124" s="55"/>
      <c r="AD124" s="53"/>
      <c r="AE124" s="53"/>
      <c r="AF124" s="53"/>
      <c r="AG124" s="53"/>
      <c r="AH124" s="56"/>
      <c r="AI124" s="56"/>
    </row>
    <row r="125" spans="1:35" ht="15.75" customHeight="1" x14ac:dyDescent="0.25">
      <c r="A125" s="9"/>
      <c r="B125" s="20"/>
      <c r="C125" s="20"/>
      <c r="D125" s="20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  <c r="P125" s="52"/>
      <c r="Q125" s="52"/>
      <c r="R125" s="52"/>
      <c r="S125" s="52"/>
      <c r="T125" s="53"/>
      <c r="U125" s="53"/>
      <c r="V125" s="53"/>
      <c r="W125" s="52"/>
      <c r="X125" s="52"/>
      <c r="Y125" s="52"/>
      <c r="Z125" s="52"/>
      <c r="AA125" s="52"/>
      <c r="AB125" s="54"/>
      <c r="AC125" s="55"/>
      <c r="AD125" s="53"/>
      <c r="AE125" s="53"/>
      <c r="AF125" s="53"/>
      <c r="AG125" s="53"/>
      <c r="AH125" s="56"/>
      <c r="AI125" s="56"/>
    </row>
    <row r="126" spans="1:35" ht="15.75" customHeight="1" x14ac:dyDescent="0.25">
      <c r="A126" s="9"/>
      <c r="B126" s="20"/>
      <c r="C126" s="20"/>
      <c r="D126" s="20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  <c r="P126" s="52"/>
      <c r="Q126" s="52"/>
      <c r="R126" s="52"/>
      <c r="S126" s="52"/>
      <c r="T126" s="53"/>
      <c r="U126" s="53"/>
      <c r="V126" s="53"/>
      <c r="W126" s="52"/>
      <c r="X126" s="52"/>
      <c r="Y126" s="52"/>
      <c r="Z126" s="52"/>
      <c r="AA126" s="52"/>
      <c r="AB126" s="54"/>
      <c r="AC126" s="55"/>
      <c r="AD126" s="53"/>
      <c r="AE126" s="53"/>
      <c r="AF126" s="53"/>
      <c r="AG126" s="53"/>
      <c r="AH126" s="56"/>
      <c r="AI126" s="56"/>
    </row>
    <row r="127" spans="1:35" ht="15.75" customHeight="1" x14ac:dyDescent="0.25">
      <c r="A127" s="9"/>
      <c r="B127" s="20"/>
      <c r="C127" s="20"/>
      <c r="D127" s="20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  <c r="P127" s="52"/>
      <c r="Q127" s="52"/>
      <c r="R127" s="52"/>
      <c r="S127" s="52"/>
      <c r="T127" s="53"/>
      <c r="U127" s="53"/>
      <c r="V127" s="53"/>
      <c r="W127" s="52"/>
      <c r="X127" s="52"/>
      <c r="Y127" s="52"/>
      <c r="Z127" s="52"/>
      <c r="AA127" s="52"/>
      <c r="AB127" s="54"/>
      <c r="AC127" s="55"/>
      <c r="AD127" s="53"/>
      <c r="AE127" s="53"/>
      <c r="AF127" s="53"/>
      <c r="AG127" s="53"/>
      <c r="AH127" s="56"/>
      <c r="AI127" s="56"/>
    </row>
    <row r="128" spans="1:35" ht="15.75" customHeight="1" x14ac:dyDescent="0.25">
      <c r="A128" s="9"/>
      <c r="B128" s="20"/>
      <c r="C128" s="20"/>
      <c r="D128" s="20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  <c r="P128" s="52"/>
      <c r="Q128" s="52"/>
      <c r="R128" s="52"/>
      <c r="S128" s="52"/>
      <c r="T128" s="53"/>
      <c r="U128" s="53"/>
      <c r="V128" s="53"/>
      <c r="W128" s="52"/>
      <c r="X128" s="52"/>
      <c r="Y128" s="52"/>
      <c r="Z128" s="52"/>
      <c r="AA128" s="52"/>
      <c r="AB128" s="54"/>
      <c r="AC128" s="55"/>
      <c r="AD128" s="53"/>
      <c r="AE128" s="53"/>
      <c r="AF128" s="53"/>
      <c r="AG128" s="53"/>
      <c r="AH128" s="56"/>
      <c r="AI128" s="56"/>
    </row>
    <row r="129" spans="1:35" ht="15.75" customHeight="1" x14ac:dyDescent="0.25">
      <c r="A129" s="9"/>
      <c r="B129" s="20"/>
      <c r="C129" s="20"/>
      <c r="D129" s="20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  <c r="P129" s="52"/>
      <c r="Q129" s="52"/>
      <c r="R129" s="52"/>
      <c r="S129" s="52"/>
      <c r="T129" s="53"/>
      <c r="U129" s="53"/>
      <c r="V129" s="53"/>
      <c r="W129" s="52"/>
      <c r="X129" s="52"/>
      <c r="Y129" s="52"/>
      <c r="Z129" s="52"/>
      <c r="AA129" s="52"/>
      <c r="AB129" s="54"/>
      <c r="AC129" s="55"/>
      <c r="AD129" s="53"/>
      <c r="AE129" s="53"/>
      <c r="AF129" s="53"/>
      <c r="AG129" s="53"/>
      <c r="AH129" s="56"/>
      <c r="AI129" s="56"/>
    </row>
    <row r="130" spans="1:35" ht="15.75" customHeight="1" x14ac:dyDescent="0.25">
      <c r="A130" s="9"/>
      <c r="B130" s="20"/>
      <c r="C130" s="20"/>
      <c r="D130" s="20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  <c r="P130" s="52"/>
      <c r="Q130" s="52"/>
      <c r="R130" s="52"/>
      <c r="S130" s="52"/>
      <c r="T130" s="53"/>
      <c r="U130" s="53"/>
      <c r="V130" s="53"/>
      <c r="W130" s="52"/>
      <c r="X130" s="52"/>
      <c r="Y130" s="52"/>
      <c r="Z130" s="52"/>
      <c r="AA130" s="52"/>
      <c r="AB130" s="54"/>
      <c r="AC130" s="55"/>
      <c r="AD130" s="53"/>
      <c r="AE130" s="53"/>
      <c r="AF130" s="53"/>
      <c r="AG130" s="53"/>
      <c r="AH130" s="56"/>
      <c r="AI130" s="56"/>
    </row>
    <row r="131" spans="1:35" ht="15.75" customHeight="1" x14ac:dyDescent="0.25">
      <c r="A131" s="9"/>
      <c r="B131" s="20"/>
      <c r="C131" s="20"/>
      <c r="D131" s="20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  <c r="P131" s="52"/>
      <c r="Q131" s="52"/>
      <c r="R131" s="52"/>
      <c r="S131" s="52"/>
      <c r="T131" s="53"/>
      <c r="U131" s="53"/>
      <c r="V131" s="53"/>
      <c r="W131" s="52"/>
      <c r="X131" s="52"/>
      <c r="Y131" s="52"/>
      <c r="Z131" s="52"/>
      <c r="AA131" s="52"/>
      <c r="AB131" s="54"/>
      <c r="AC131" s="55"/>
      <c r="AD131" s="53"/>
      <c r="AE131" s="53"/>
      <c r="AF131" s="53"/>
      <c r="AG131" s="53"/>
      <c r="AH131" s="56"/>
      <c r="AI131" s="56"/>
    </row>
    <row r="132" spans="1:35" ht="15.75" customHeight="1" x14ac:dyDescent="0.25">
      <c r="A132" s="9"/>
      <c r="B132" s="20"/>
      <c r="C132" s="20"/>
      <c r="D132" s="20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  <c r="P132" s="52"/>
      <c r="Q132" s="52"/>
      <c r="R132" s="52"/>
      <c r="S132" s="52"/>
      <c r="T132" s="53"/>
      <c r="U132" s="53"/>
      <c r="V132" s="53"/>
      <c r="W132" s="52"/>
      <c r="X132" s="52"/>
      <c r="Y132" s="52"/>
      <c r="Z132" s="52"/>
      <c r="AA132" s="52"/>
      <c r="AB132" s="54"/>
      <c r="AC132" s="55"/>
      <c r="AD132" s="53"/>
      <c r="AE132" s="53"/>
      <c r="AF132" s="53"/>
      <c r="AG132" s="53"/>
      <c r="AH132" s="56"/>
      <c r="AI132" s="56"/>
    </row>
    <row r="133" spans="1:35" ht="15.75" customHeight="1" x14ac:dyDescent="0.25">
      <c r="A133" s="9"/>
      <c r="B133" s="20"/>
      <c r="C133" s="20"/>
      <c r="D133" s="20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  <c r="P133" s="52"/>
      <c r="Q133" s="52"/>
      <c r="R133" s="52"/>
      <c r="S133" s="52"/>
      <c r="T133" s="53"/>
      <c r="U133" s="53"/>
      <c r="V133" s="53"/>
      <c r="W133" s="52"/>
      <c r="X133" s="52"/>
      <c r="Y133" s="52"/>
      <c r="Z133" s="52"/>
      <c r="AA133" s="52"/>
      <c r="AB133" s="54"/>
      <c r="AC133" s="55"/>
      <c r="AD133" s="53"/>
      <c r="AE133" s="53"/>
      <c r="AF133" s="53"/>
      <c r="AG133" s="53"/>
      <c r="AH133" s="56"/>
      <c r="AI133" s="56"/>
    </row>
    <row r="134" spans="1:35" ht="15.75" customHeight="1" x14ac:dyDescent="0.25">
      <c r="A134" s="9"/>
      <c r="B134" s="20"/>
      <c r="C134" s="20"/>
      <c r="D134" s="20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  <c r="P134" s="52"/>
      <c r="Q134" s="52"/>
      <c r="R134" s="52"/>
      <c r="S134" s="52"/>
      <c r="T134" s="53"/>
      <c r="U134" s="53"/>
      <c r="V134" s="53"/>
      <c r="W134" s="52"/>
      <c r="X134" s="52"/>
      <c r="Y134" s="52"/>
      <c r="Z134" s="52"/>
      <c r="AA134" s="52"/>
      <c r="AB134" s="54"/>
      <c r="AC134" s="55"/>
      <c r="AD134" s="53"/>
      <c r="AE134" s="53"/>
      <c r="AF134" s="53"/>
      <c r="AG134" s="53"/>
      <c r="AH134" s="56"/>
      <c r="AI134" s="56"/>
    </row>
    <row r="135" spans="1:35" ht="15.75" customHeight="1" x14ac:dyDescent="0.25">
      <c r="A135" s="9"/>
      <c r="B135" s="20"/>
      <c r="C135" s="20"/>
      <c r="D135" s="20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  <c r="P135" s="52"/>
      <c r="Q135" s="52"/>
      <c r="R135" s="52"/>
      <c r="S135" s="52"/>
      <c r="T135" s="53"/>
      <c r="U135" s="53"/>
      <c r="V135" s="53"/>
      <c r="W135" s="52"/>
      <c r="X135" s="52"/>
      <c r="Y135" s="52"/>
      <c r="Z135" s="52"/>
      <c r="AA135" s="52"/>
      <c r="AB135" s="54"/>
      <c r="AC135" s="55"/>
      <c r="AD135" s="53"/>
      <c r="AE135" s="53"/>
      <c r="AF135" s="53"/>
      <c r="AG135" s="53"/>
      <c r="AH135" s="56"/>
      <c r="AI135" s="56"/>
    </row>
    <row r="136" spans="1:35" ht="15.75" customHeight="1" x14ac:dyDescent="0.25">
      <c r="A136" s="9"/>
      <c r="B136" s="20"/>
      <c r="C136" s="20"/>
      <c r="D136" s="20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  <c r="P136" s="52"/>
      <c r="Q136" s="52"/>
      <c r="R136" s="52"/>
      <c r="S136" s="52"/>
      <c r="T136" s="53"/>
      <c r="U136" s="53"/>
      <c r="V136" s="53"/>
      <c r="W136" s="52"/>
      <c r="X136" s="52"/>
      <c r="Y136" s="52"/>
      <c r="Z136" s="52"/>
      <c r="AA136" s="52"/>
      <c r="AB136" s="54"/>
      <c r="AC136" s="55"/>
      <c r="AD136" s="53"/>
      <c r="AE136" s="53"/>
      <c r="AF136" s="53"/>
      <c r="AG136" s="53"/>
      <c r="AH136" s="56"/>
      <c r="AI136" s="56"/>
    </row>
    <row r="137" spans="1:35" ht="15.75" customHeight="1" x14ac:dyDescent="0.25">
      <c r="A137" s="9"/>
      <c r="B137" s="20"/>
      <c r="C137" s="20"/>
      <c r="D137" s="20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  <c r="P137" s="52"/>
      <c r="Q137" s="52"/>
      <c r="R137" s="52"/>
      <c r="S137" s="52"/>
      <c r="T137" s="53"/>
      <c r="U137" s="53"/>
      <c r="V137" s="53"/>
      <c r="W137" s="52"/>
      <c r="X137" s="52"/>
      <c r="Y137" s="52"/>
      <c r="Z137" s="52"/>
      <c r="AA137" s="52"/>
      <c r="AB137" s="54"/>
      <c r="AC137" s="55"/>
      <c r="AD137" s="53"/>
      <c r="AE137" s="53"/>
      <c r="AF137" s="53"/>
      <c r="AG137" s="53"/>
      <c r="AH137" s="56"/>
      <c r="AI137" s="56"/>
    </row>
    <row r="138" spans="1:35" ht="15.75" customHeight="1" x14ac:dyDescent="0.25">
      <c r="A138" s="9"/>
      <c r="B138" s="20"/>
      <c r="C138" s="20"/>
      <c r="D138" s="20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  <c r="P138" s="52"/>
      <c r="Q138" s="52"/>
      <c r="R138" s="52"/>
      <c r="S138" s="52"/>
      <c r="T138" s="53"/>
      <c r="U138" s="53"/>
      <c r="V138" s="53"/>
      <c r="W138" s="52"/>
      <c r="X138" s="52"/>
      <c r="Y138" s="52"/>
      <c r="Z138" s="52"/>
      <c r="AA138" s="52"/>
      <c r="AB138" s="54"/>
      <c r="AC138" s="55"/>
      <c r="AD138" s="53"/>
      <c r="AE138" s="53"/>
      <c r="AF138" s="53"/>
      <c r="AG138" s="53"/>
      <c r="AH138" s="56"/>
      <c r="AI138" s="56"/>
    </row>
    <row r="139" spans="1:35" ht="15.75" customHeight="1" x14ac:dyDescent="0.25">
      <c r="A139" s="9"/>
      <c r="B139" s="20"/>
      <c r="C139" s="20"/>
      <c r="D139" s="20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  <c r="P139" s="52"/>
      <c r="Q139" s="52"/>
      <c r="R139" s="52"/>
      <c r="S139" s="52"/>
      <c r="T139" s="53"/>
      <c r="U139" s="53"/>
      <c r="V139" s="53"/>
      <c r="W139" s="52"/>
      <c r="X139" s="52"/>
      <c r="Y139" s="52"/>
      <c r="Z139" s="52"/>
      <c r="AA139" s="52"/>
      <c r="AB139" s="54"/>
      <c r="AC139" s="55"/>
      <c r="AD139" s="53"/>
      <c r="AE139" s="53"/>
      <c r="AF139" s="53"/>
      <c r="AG139" s="53"/>
      <c r="AH139" s="56"/>
      <c r="AI139" s="56"/>
    </row>
    <row r="140" spans="1:35" ht="15.75" customHeight="1" x14ac:dyDescent="0.25">
      <c r="A140" s="9"/>
      <c r="B140" s="20"/>
      <c r="C140" s="20"/>
      <c r="D140" s="20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  <c r="P140" s="52"/>
      <c r="Q140" s="52"/>
      <c r="R140" s="52"/>
      <c r="S140" s="52"/>
      <c r="T140" s="53"/>
      <c r="U140" s="53"/>
      <c r="V140" s="53"/>
      <c r="W140" s="52"/>
      <c r="X140" s="52"/>
      <c r="Y140" s="52"/>
      <c r="Z140" s="52"/>
      <c r="AA140" s="52"/>
      <c r="AB140" s="54"/>
      <c r="AC140" s="55"/>
      <c r="AD140" s="53"/>
      <c r="AE140" s="53"/>
      <c r="AF140" s="53"/>
      <c r="AG140" s="53"/>
      <c r="AH140" s="56"/>
      <c r="AI140" s="56"/>
    </row>
    <row r="141" spans="1:35" ht="15.75" customHeight="1" x14ac:dyDescent="0.25">
      <c r="A141" s="9"/>
      <c r="B141" s="20"/>
      <c r="C141" s="20"/>
      <c r="D141" s="20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  <c r="P141" s="52"/>
      <c r="Q141" s="52"/>
      <c r="R141" s="52"/>
      <c r="S141" s="52"/>
      <c r="T141" s="53"/>
      <c r="U141" s="53"/>
      <c r="V141" s="53"/>
      <c r="W141" s="52"/>
      <c r="X141" s="52"/>
      <c r="Y141" s="52"/>
      <c r="Z141" s="52"/>
      <c r="AA141" s="52"/>
      <c r="AB141" s="54"/>
      <c r="AC141" s="55"/>
      <c r="AD141" s="53"/>
      <c r="AE141" s="53"/>
      <c r="AF141" s="53"/>
      <c r="AG141" s="53"/>
      <c r="AH141" s="56"/>
      <c r="AI141" s="56"/>
    </row>
    <row r="142" spans="1:35" ht="15.75" customHeight="1" x14ac:dyDescent="0.25">
      <c r="A142" s="9"/>
      <c r="B142" s="20"/>
      <c r="C142" s="20"/>
      <c r="D142" s="20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  <c r="P142" s="52"/>
      <c r="Q142" s="52"/>
      <c r="R142" s="52"/>
      <c r="S142" s="52"/>
      <c r="T142" s="53"/>
      <c r="U142" s="53"/>
      <c r="V142" s="53"/>
      <c r="W142" s="52"/>
      <c r="X142" s="52"/>
      <c r="Y142" s="52"/>
      <c r="Z142" s="52"/>
      <c r="AA142" s="52"/>
      <c r="AB142" s="54"/>
      <c r="AC142" s="55"/>
      <c r="AD142" s="53"/>
      <c r="AE142" s="53"/>
      <c r="AF142" s="53"/>
      <c r="AG142" s="53"/>
      <c r="AH142" s="56"/>
      <c r="AI142" s="56"/>
    </row>
    <row r="143" spans="1:35" ht="15.75" customHeight="1" x14ac:dyDescent="0.25">
      <c r="A143" s="9"/>
      <c r="B143" s="20"/>
      <c r="C143" s="20"/>
      <c r="D143" s="20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  <c r="P143" s="52"/>
      <c r="Q143" s="52"/>
      <c r="R143" s="52"/>
      <c r="S143" s="52"/>
      <c r="T143" s="53"/>
      <c r="U143" s="53"/>
      <c r="V143" s="53"/>
      <c r="W143" s="52"/>
      <c r="X143" s="52"/>
      <c r="Y143" s="52"/>
      <c r="Z143" s="52"/>
      <c r="AA143" s="52"/>
      <c r="AB143" s="54"/>
      <c r="AC143" s="55"/>
      <c r="AD143" s="53"/>
      <c r="AE143" s="53"/>
      <c r="AF143" s="53"/>
      <c r="AG143" s="53"/>
      <c r="AH143" s="56"/>
      <c r="AI143" s="56"/>
    </row>
    <row r="144" spans="1:35" ht="15.75" customHeight="1" x14ac:dyDescent="0.25">
      <c r="A144" s="9"/>
      <c r="B144" s="20"/>
      <c r="C144" s="20"/>
      <c r="D144" s="20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  <c r="P144" s="52"/>
      <c r="Q144" s="52"/>
      <c r="R144" s="52"/>
      <c r="S144" s="52"/>
      <c r="T144" s="53"/>
      <c r="U144" s="53"/>
      <c r="V144" s="53"/>
      <c r="W144" s="52"/>
      <c r="X144" s="52"/>
      <c r="Y144" s="52"/>
      <c r="Z144" s="52"/>
      <c r="AA144" s="52"/>
      <c r="AB144" s="54"/>
      <c r="AC144" s="55"/>
      <c r="AD144" s="53"/>
      <c r="AE144" s="53"/>
      <c r="AF144" s="53"/>
      <c r="AG144" s="53"/>
      <c r="AH144" s="56"/>
      <c r="AI144" s="56"/>
    </row>
    <row r="145" spans="1:35" ht="15.75" customHeight="1" x14ac:dyDescent="0.25">
      <c r="A145" s="9"/>
      <c r="B145" s="20"/>
      <c r="C145" s="20"/>
      <c r="D145" s="20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  <c r="P145" s="52"/>
      <c r="Q145" s="52"/>
      <c r="R145" s="52"/>
      <c r="S145" s="52"/>
      <c r="T145" s="53"/>
      <c r="U145" s="53"/>
      <c r="V145" s="53"/>
      <c r="W145" s="52"/>
      <c r="X145" s="52"/>
      <c r="Y145" s="52"/>
      <c r="Z145" s="52"/>
      <c r="AA145" s="52"/>
      <c r="AB145" s="54"/>
      <c r="AC145" s="55"/>
      <c r="AD145" s="53"/>
      <c r="AE145" s="53"/>
      <c r="AF145" s="53"/>
      <c r="AG145" s="53"/>
      <c r="AH145" s="56"/>
      <c r="AI145" s="56"/>
    </row>
    <row r="146" spans="1:35" ht="15.75" customHeight="1" x14ac:dyDescent="0.25">
      <c r="A146" s="9"/>
      <c r="B146" s="20"/>
      <c r="C146" s="20"/>
      <c r="D146" s="20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  <c r="P146" s="52"/>
      <c r="Q146" s="52"/>
      <c r="R146" s="52"/>
      <c r="S146" s="52"/>
      <c r="T146" s="53"/>
      <c r="U146" s="53"/>
      <c r="V146" s="53"/>
      <c r="W146" s="52"/>
      <c r="X146" s="52"/>
      <c r="Y146" s="52"/>
      <c r="Z146" s="52"/>
      <c r="AA146" s="52"/>
      <c r="AB146" s="54"/>
      <c r="AC146" s="55"/>
      <c r="AD146" s="53"/>
      <c r="AE146" s="53"/>
      <c r="AF146" s="53"/>
      <c r="AG146" s="53"/>
      <c r="AH146" s="56"/>
      <c r="AI146" s="56"/>
    </row>
    <row r="147" spans="1:35" ht="15.75" customHeight="1" x14ac:dyDescent="0.25">
      <c r="A147" s="9"/>
      <c r="B147" s="20"/>
      <c r="C147" s="20"/>
      <c r="D147" s="20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  <c r="P147" s="52"/>
      <c r="Q147" s="52"/>
      <c r="R147" s="52"/>
      <c r="S147" s="52"/>
      <c r="T147" s="53"/>
      <c r="U147" s="53"/>
      <c r="V147" s="53"/>
      <c r="W147" s="52"/>
      <c r="X147" s="52"/>
      <c r="Y147" s="52"/>
      <c r="Z147" s="52"/>
      <c r="AA147" s="52"/>
      <c r="AB147" s="54"/>
      <c r="AC147" s="55"/>
      <c r="AD147" s="53"/>
      <c r="AE147" s="53"/>
      <c r="AF147" s="53"/>
      <c r="AG147" s="53"/>
      <c r="AH147" s="56"/>
      <c r="AI147" s="56"/>
    </row>
    <row r="148" spans="1:35" ht="15.75" customHeight="1" x14ac:dyDescent="0.25">
      <c r="A148" s="9"/>
      <c r="B148" s="20"/>
      <c r="C148" s="20"/>
      <c r="D148" s="20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  <c r="P148" s="52"/>
      <c r="Q148" s="52"/>
      <c r="R148" s="52"/>
      <c r="S148" s="52"/>
      <c r="T148" s="53"/>
      <c r="U148" s="53"/>
      <c r="V148" s="53"/>
      <c r="W148" s="52"/>
      <c r="X148" s="52"/>
      <c r="Y148" s="52"/>
      <c r="Z148" s="52"/>
      <c r="AA148" s="52"/>
      <c r="AB148" s="54"/>
      <c r="AC148" s="55"/>
      <c r="AD148" s="53"/>
      <c r="AE148" s="53"/>
      <c r="AF148" s="53"/>
      <c r="AG148" s="53"/>
      <c r="AH148" s="56"/>
      <c r="AI148" s="56"/>
    </row>
    <row r="149" spans="1:35" ht="15.75" customHeight="1" x14ac:dyDescent="0.25">
      <c r="A149" s="9"/>
      <c r="B149" s="20"/>
      <c r="C149" s="20"/>
      <c r="D149" s="20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  <c r="P149" s="52"/>
      <c r="Q149" s="52"/>
      <c r="R149" s="52"/>
      <c r="S149" s="52"/>
      <c r="T149" s="53"/>
      <c r="U149" s="53"/>
      <c r="V149" s="53"/>
      <c r="W149" s="52"/>
      <c r="X149" s="52"/>
      <c r="Y149" s="52"/>
      <c r="Z149" s="52"/>
      <c r="AA149" s="52"/>
      <c r="AB149" s="54"/>
      <c r="AC149" s="55"/>
      <c r="AD149" s="53"/>
      <c r="AE149" s="53"/>
      <c r="AF149" s="53"/>
      <c r="AG149" s="53"/>
      <c r="AH149" s="56"/>
      <c r="AI149" s="56"/>
    </row>
    <row r="150" spans="1:35" ht="15.75" customHeight="1" x14ac:dyDescent="0.25">
      <c r="A150" s="9"/>
      <c r="B150" s="20"/>
      <c r="C150" s="20"/>
      <c r="D150" s="20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  <c r="P150" s="52"/>
      <c r="Q150" s="52"/>
      <c r="R150" s="52"/>
      <c r="S150" s="52"/>
      <c r="T150" s="53"/>
      <c r="U150" s="53"/>
      <c r="V150" s="53"/>
      <c r="W150" s="52"/>
      <c r="X150" s="52"/>
      <c r="Y150" s="52"/>
      <c r="Z150" s="52"/>
      <c r="AA150" s="52"/>
      <c r="AB150" s="54"/>
      <c r="AC150" s="55"/>
      <c r="AD150" s="53"/>
      <c r="AE150" s="53"/>
      <c r="AF150" s="53"/>
      <c r="AG150" s="53"/>
      <c r="AH150" s="56"/>
      <c r="AI150" s="56"/>
    </row>
    <row r="151" spans="1:35" ht="15.75" customHeight="1" x14ac:dyDescent="0.25">
      <c r="A151" s="9"/>
      <c r="B151" s="20"/>
      <c r="C151" s="20"/>
      <c r="D151" s="20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  <c r="P151" s="52"/>
      <c r="Q151" s="52"/>
      <c r="R151" s="52"/>
      <c r="S151" s="52"/>
      <c r="T151" s="53"/>
      <c r="U151" s="53"/>
      <c r="V151" s="53"/>
      <c r="W151" s="52"/>
      <c r="X151" s="52"/>
      <c r="Y151" s="52"/>
      <c r="Z151" s="52"/>
      <c r="AA151" s="52"/>
      <c r="AB151" s="54"/>
      <c r="AC151" s="55"/>
      <c r="AD151" s="53"/>
      <c r="AE151" s="53"/>
      <c r="AF151" s="53"/>
      <c r="AG151" s="53"/>
      <c r="AH151" s="56"/>
      <c r="AI151" s="56"/>
    </row>
    <row r="152" spans="1:35" ht="15.75" customHeight="1" x14ac:dyDescent="0.25">
      <c r="A152" s="9"/>
      <c r="B152" s="20"/>
      <c r="C152" s="20"/>
      <c r="D152" s="20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  <c r="P152" s="52"/>
      <c r="Q152" s="52"/>
      <c r="R152" s="52"/>
      <c r="S152" s="52"/>
      <c r="T152" s="53"/>
      <c r="U152" s="53"/>
      <c r="V152" s="53"/>
      <c r="W152" s="52"/>
      <c r="X152" s="52"/>
      <c r="Y152" s="52"/>
      <c r="Z152" s="52"/>
      <c r="AA152" s="52"/>
      <c r="AB152" s="54"/>
      <c r="AC152" s="55"/>
      <c r="AD152" s="53"/>
      <c r="AE152" s="53"/>
      <c r="AF152" s="53"/>
      <c r="AG152" s="53"/>
      <c r="AH152" s="56"/>
      <c r="AI152" s="56"/>
    </row>
    <row r="153" spans="1:35" ht="15.75" customHeight="1" x14ac:dyDescent="0.25">
      <c r="A153" s="9"/>
      <c r="B153" s="20"/>
      <c r="C153" s="20"/>
      <c r="D153" s="20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  <c r="P153" s="52"/>
      <c r="Q153" s="52"/>
      <c r="R153" s="52"/>
      <c r="S153" s="52"/>
      <c r="T153" s="53"/>
      <c r="U153" s="53"/>
      <c r="V153" s="53"/>
      <c r="W153" s="52"/>
      <c r="X153" s="52"/>
      <c r="Y153" s="52"/>
      <c r="Z153" s="52"/>
      <c r="AA153" s="52"/>
      <c r="AB153" s="54"/>
      <c r="AC153" s="55"/>
      <c r="AD153" s="53"/>
      <c r="AE153" s="53"/>
      <c r="AF153" s="53"/>
      <c r="AG153" s="53"/>
      <c r="AH153" s="56"/>
      <c r="AI153" s="56"/>
    </row>
    <row r="154" spans="1:35" ht="15.75" customHeight="1" x14ac:dyDescent="0.25">
      <c r="A154" s="9"/>
      <c r="B154" s="20"/>
      <c r="C154" s="20"/>
      <c r="D154" s="20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  <c r="P154" s="52"/>
      <c r="Q154" s="52"/>
      <c r="R154" s="52"/>
      <c r="S154" s="52"/>
      <c r="T154" s="53"/>
      <c r="U154" s="53"/>
      <c r="V154" s="53"/>
      <c r="W154" s="52"/>
      <c r="X154" s="52"/>
      <c r="Y154" s="52"/>
      <c r="Z154" s="52"/>
      <c r="AA154" s="52"/>
      <c r="AB154" s="54"/>
      <c r="AC154" s="55"/>
      <c r="AD154" s="53"/>
      <c r="AE154" s="53"/>
      <c r="AF154" s="53"/>
      <c r="AG154" s="53"/>
      <c r="AH154" s="56"/>
      <c r="AI154" s="56"/>
    </row>
    <row r="155" spans="1:35" ht="15.75" customHeight="1" x14ac:dyDescent="0.25">
      <c r="A155" s="9"/>
      <c r="B155" s="20"/>
      <c r="C155" s="20"/>
      <c r="D155" s="20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  <c r="P155" s="52"/>
      <c r="Q155" s="52"/>
      <c r="R155" s="52"/>
      <c r="S155" s="52"/>
      <c r="T155" s="53"/>
      <c r="U155" s="53"/>
      <c r="V155" s="53"/>
      <c r="W155" s="52"/>
      <c r="X155" s="52"/>
      <c r="Y155" s="52"/>
      <c r="Z155" s="52"/>
      <c r="AA155" s="52"/>
      <c r="AB155" s="54"/>
      <c r="AC155" s="55"/>
      <c r="AD155" s="53"/>
      <c r="AE155" s="53"/>
      <c r="AF155" s="53"/>
      <c r="AG155" s="53"/>
      <c r="AH155" s="56"/>
      <c r="AI155" s="56"/>
    </row>
    <row r="156" spans="1:35" ht="15.75" customHeight="1" x14ac:dyDescent="0.25">
      <c r="A156" s="9"/>
      <c r="B156" s="20"/>
      <c r="C156" s="20"/>
      <c r="D156" s="20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  <c r="P156" s="52"/>
      <c r="Q156" s="52"/>
      <c r="R156" s="52"/>
      <c r="S156" s="52"/>
      <c r="T156" s="53"/>
      <c r="U156" s="53"/>
      <c r="V156" s="53"/>
      <c r="W156" s="52"/>
      <c r="X156" s="52"/>
      <c r="Y156" s="52"/>
      <c r="Z156" s="52"/>
      <c r="AA156" s="52"/>
      <c r="AB156" s="54"/>
      <c r="AC156" s="55"/>
      <c r="AD156" s="53"/>
      <c r="AE156" s="53"/>
      <c r="AF156" s="53"/>
      <c r="AG156" s="53"/>
      <c r="AH156" s="56"/>
      <c r="AI156" s="56"/>
    </row>
    <row r="157" spans="1:35" ht="15.75" customHeight="1" x14ac:dyDescent="0.25">
      <c r="A157" s="9"/>
      <c r="B157" s="20"/>
      <c r="C157" s="20"/>
      <c r="D157" s="20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  <c r="P157" s="52"/>
      <c r="Q157" s="52"/>
      <c r="R157" s="52"/>
      <c r="S157" s="52"/>
      <c r="T157" s="53"/>
      <c r="U157" s="53"/>
      <c r="V157" s="53"/>
      <c r="W157" s="52"/>
      <c r="X157" s="52"/>
      <c r="Y157" s="52"/>
      <c r="Z157" s="52"/>
      <c r="AA157" s="52"/>
      <c r="AB157" s="54"/>
      <c r="AC157" s="55"/>
      <c r="AD157" s="53"/>
      <c r="AE157" s="53"/>
      <c r="AF157" s="53"/>
      <c r="AG157" s="53"/>
      <c r="AH157" s="56"/>
      <c r="AI157" s="56"/>
    </row>
    <row r="158" spans="1:35" ht="15.75" customHeight="1" x14ac:dyDescent="0.25">
      <c r="A158" s="9"/>
      <c r="B158" s="20"/>
      <c r="C158" s="20"/>
      <c r="D158" s="20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  <c r="P158" s="52"/>
      <c r="Q158" s="52"/>
      <c r="R158" s="52"/>
      <c r="S158" s="52"/>
      <c r="T158" s="53"/>
      <c r="U158" s="53"/>
      <c r="V158" s="53"/>
      <c r="W158" s="52"/>
      <c r="X158" s="52"/>
      <c r="Y158" s="52"/>
      <c r="Z158" s="52"/>
      <c r="AA158" s="52"/>
      <c r="AB158" s="54"/>
      <c r="AC158" s="55"/>
      <c r="AD158" s="53"/>
      <c r="AE158" s="53"/>
      <c r="AF158" s="53"/>
      <c r="AG158" s="53"/>
      <c r="AH158" s="56"/>
      <c r="AI158" s="56"/>
    </row>
    <row r="159" spans="1:35" ht="15.75" customHeight="1" x14ac:dyDescent="0.25">
      <c r="A159" s="9"/>
      <c r="B159" s="20"/>
      <c r="C159" s="20"/>
      <c r="D159" s="20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  <c r="P159" s="52"/>
      <c r="Q159" s="52"/>
      <c r="R159" s="52"/>
      <c r="S159" s="52"/>
      <c r="T159" s="53"/>
      <c r="U159" s="53"/>
      <c r="V159" s="53"/>
      <c r="W159" s="52"/>
      <c r="X159" s="52"/>
      <c r="Y159" s="52"/>
      <c r="Z159" s="52"/>
      <c r="AA159" s="52"/>
      <c r="AB159" s="54"/>
      <c r="AC159" s="55"/>
      <c r="AD159" s="53"/>
      <c r="AE159" s="53"/>
      <c r="AF159" s="53"/>
      <c r="AG159" s="53"/>
      <c r="AH159" s="56"/>
      <c r="AI159" s="56"/>
    </row>
    <row r="160" spans="1:35" ht="15.75" customHeight="1" x14ac:dyDescent="0.25">
      <c r="A160" s="9"/>
      <c r="B160" s="20"/>
      <c r="C160" s="20"/>
      <c r="D160" s="20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  <c r="P160" s="52"/>
      <c r="Q160" s="52"/>
      <c r="R160" s="52"/>
      <c r="S160" s="52"/>
      <c r="T160" s="53"/>
      <c r="U160" s="53"/>
      <c r="V160" s="53"/>
      <c r="W160" s="52"/>
      <c r="X160" s="52"/>
      <c r="Y160" s="52"/>
      <c r="Z160" s="52"/>
      <c r="AA160" s="52"/>
      <c r="AB160" s="54"/>
      <c r="AC160" s="55"/>
      <c r="AD160" s="53"/>
      <c r="AE160" s="53"/>
      <c r="AF160" s="53"/>
      <c r="AG160" s="53"/>
      <c r="AH160" s="56"/>
      <c r="AI160" s="56"/>
    </row>
    <row r="161" spans="1:35" ht="15.75" customHeight="1" x14ac:dyDescent="0.25">
      <c r="A161" s="9"/>
      <c r="B161" s="20"/>
      <c r="C161" s="20"/>
      <c r="D161" s="20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  <c r="P161" s="52"/>
      <c r="Q161" s="52"/>
      <c r="R161" s="52"/>
      <c r="S161" s="52"/>
      <c r="T161" s="53"/>
      <c r="U161" s="53"/>
      <c r="V161" s="53"/>
      <c r="W161" s="52"/>
      <c r="X161" s="52"/>
      <c r="Y161" s="52"/>
      <c r="Z161" s="52"/>
      <c r="AA161" s="52"/>
      <c r="AB161" s="54"/>
      <c r="AC161" s="55"/>
      <c r="AD161" s="53"/>
      <c r="AE161" s="53"/>
      <c r="AF161" s="53"/>
      <c r="AG161" s="53"/>
      <c r="AH161" s="56"/>
      <c r="AI161" s="56"/>
    </row>
    <row r="162" spans="1:35" ht="15.75" customHeight="1" x14ac:dyDescent="0.25">
      <c r="A162" s="9"/>
      <c r="B162" s="20"/>
      <c r="C162" s="20"/>
      <c r="D162" s="20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  <c r="P162" s="52"/>
      <c r="Q162" s="52"/>
      <c r="R162" s="52"/>
      <c r="S162" s="52"/>
      <c r="T162" s="53"/>
      <c r="U162" s="53"/>
      <c r="V162" s="53"/>
      <c r="W162" s="52"/>
      <c r="X162" s="52"/>
      <c r="Y162" s="52"/>
      <c r="Z162" s="52"/>
      <c r="AA162" s="52"/>
      <c r="AB162" s="54"/>
      <c r="AC162" s="55"/>
      <c r="AD162" s="53"/>
      <c r="AE162" s="53"/>
      <c r="AF162" s="53"/>
      <c r="AG162" s="53"/>
      <c r="AH162" s="56"/>
      <c r="AI162" s="56"/>
    </row>
    <row r="163" spans="1:35" ht="15.75" customHeight="1" x14ac:dyDescent="0.25">
      <c r="A163" s="9"/>
      <c r="B163" s="20"/>
      <c r="C163" s="20"/>
      <c r="D163" s="20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  <c r="P163" s="52"/>
      <c r="Q163" s="52"/>
      <c r="R163" s="52"/>
      <c r="S163" s="52"/>
      <c r="T163" s="53"/>
      <c r="U163" s="53"/>
      <c r="V163" s="53"/>
      <c r="W163" s="52"/>
      <c r="X163" s="52"/>
      <c r="Y163" s="52"/>
      <c r="Z163" s="52"/>
      <c r="AA163" s="52"/>
      <c r="AB163" s="54"/>
      <c r="AC163" s="55"/>
      <c r="AD163" s="53"/>
      <c r="AE163" s="53"/>
      <c r="AF163" s="53"/>
      <c r="AG163" s="53"/>
      <c r="AH163" s="56"/>
      <c r="AI163" s="56"/>
    </row>
    <row r="164" spans="1:35" ht="15.75" customHeight="1" x14ac:dyDescent="0.25">
      <c r="A164" s="9"/>
      <c r="B164" s="20"/>
      <c r="C164" s="20"/>
      <c r="D164" s="20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  <c r="P164" s="52"/>
      <c r="Q164" s="52"/>
      <c r="R164" s="52"/>
      <c r="S164" s="52"/>
      <c r="T164" s="53"/>
      <c r="U164" s="53"/>
      <c r="V164" s="53"/>
      <c r="W164" s="52"/>
      <c r="X164" s="52"/>
      <c r="Y164" s="52"/>
      <c r="Z164" s="52"/>
      <c r="AA164" s="52"/>
      <c r="AB164" s="54"/>
      <c r="AC164" s="55"/>
      <c r="AD164" s="53"/>
      <c r="AE164" s="53"/>
      <c r="AF164" s="53"/>
      <c r="AG164" s="53"/>
      <c r="AH164" s="56"/>
      <c r="AI164" s="56"/>
    </row>
    <row r="165" spans="1:35" ht="15.75" customHeight="1" x14ac:dyDescent="0.25">
      <c r="A165" s="9"/>
      <c r="B165" s="20"/>
      <c r="C165" s="20"/>
      <c r="D165" s="20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  <c r="P165" s="52"/>
      <c r="Q165" s="52"/>
      <c r="R165" s="52"/>
      <c r="S165" s="52"/>
      <c r="T165" s="53"/>
      <c r="U165" s="53"/>
      <c r="V165" s="53"/>
      <c r="W165" s="52"/>
      <c r="X165" s="52"/>
      <c r="Y165" s="52"/>
      <c r="Z165" s="52"/>
      <c r="AA165" s="52"/>
      <c r="AB165" s="54"/>
      <c r="AC165" s="55"/>
      <c r="AD165" s="53"/>
      <c r="AE165" s="53"/>
      <c r="AF165" s="53"/>
      <c r="AG165" s="53"/>
      <c r="AH165" s="56"/>
      <c r="AI165" s="56"/>
    </row>
    <row r="166" spans="1:35" ht="15.75" customHeight="1" x14ac:dyDescent="0.25">
      <c r="A166" s="9"/>
      <c r="B166" s="20"/>
      <c r="C166" s="20"/>
      <c r="D166" s="20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  <c r="P166" s="52"/>
      <c r="Q166" s="52"/>
      <c r="R166" s="52"/>
      <c r="S166" s="52"/>
      <c r="T166" s="53"/>
      <c r="U166" s="53"/>
      <c r="V166" s="53"/>
      <c r="W166" s="52"/>
      <c r="X166" s="52"/>
      <c r="Y166" s="52"/>
      <c r="Z166" s="52"/>
      <c r="AA166" s="52"/>
      <c r="AB166" s="54"/>
      <c r="AC166" s="55"/>
      <c r="AD166" s="53"/>
      <c r="AE166" s="53"/>
      <c r="AF166" s="53"/>
      <c r="AG166" s="53"/>
      <c r="AH166" s="56"/>
      <c r="AI166" s="56"/>
    </row>
    <row r="167" spans="1:35" ht="15.75" customHeight="1" x14ac:dyDescent="0.25">
      <c r="A167" s="9"/>
      <c r="B167" s="20"/>
      <c r="C167" s="20"/>
      <c r="D167" s="20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  <c r="P167" s="52"/>
      <c r="Q167" s="52"/>
      <c r="R167" s="52"/>
      <c r="S167" s="52"/>
      <c r="T167" s="53"/>
      <c r="U167" s="53"/>
      <c r="V167" s="53"/>
      <c r="W167" s="52"/>
      <c r="X167" s="52"/>
      <c r="Y167" s="52"/>
      <c r="Z167" s="52"/>
      <c r="AA167" s="52"/>
      <c r="AB167" s="54"/>
      <c r="AC167" s="55"/>
      <c r="AD167" s="53"/>
      <c r="AE167" s="53"/>
      <c r="AF167" s="53"/>
      <c r="AG167" s="53"/>
      <c r="AH167" s="56"/>
      <c r="AI167" s="56"/>
    </row>
    <row r="168" spans="1:35" ht="15.75" customHeight="1" x14ac:dyDescent="0.25">
      <c r="A168" s="9"/>
      <c r="B168" s="20"/>
      <c r="C168" s="20"/>
      <c r="D168" s="20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  <c r="P168" s="52"/>
      <c r="Q168" s="52"/>
      <c r="R168" s="52"/>
      <c r="S168" s="52"/>
      <c r="T168" s="53"/>
      <c r="U168" s="53"/>
      <c r="V168" s="53"/>
      <c r="W168" s="52"/>
      <c r="X168" s="52"/>
      <c r="Y168" s="52"/>
      <c r="Z168" s="52"/>
      <c r="AA168" s="52"/>
      <c r="AB168" s="54"/>
      <c r="AC168" s="55"/>
      <c r="AD168" s="53"/>
      <c r="AE168" s="53"/>
      <c r="AF168" s="53"/>
      <c r="AG168" s="53"/>
      <c r="AH168" s="56"/>
      <c r="AI168" s="56"/>
    </row>
    <row r="169" spans="1:35" ht="15.75" customHeight="1" x14ac:dyDescent="0.25">
      <c r="A169" s="9"/>
      <c r="B169" s="20"/>
      <c r="C169" s="20"/>
      <c r="D169" s="20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  <c r="P169" s="52"/>
      <c r="Q169" s="52"/>
      <c r="R169" s="52"/>
      <c r="S169" s="52"/>
      <c r="T169" s="53"/>
      <c r="U169" s="53"/>
      <c r="V169" s="53"/>
      <c r="W169" s="52"/>
      <c r="X169" s="52"/>
      <c r="Y169" s="52"/>
      <c r="Z169" s="52"/>
      <c r="AA169" s="52"/>
      <c r="AB169" s="54"/>
      <c r="AC169" s="55"/>
      <c r="AD169" s="53"/>
      <c r="AE169" s="53"/>
      <c r="AF169" s="53"/>
      <c r="AG169" s="53"/>
      <c r="AH169" s="56"/>
      <c r="AI169" s="56"/>
    </row>
    <row r="170" spans="1:35" ht="15.75" customHeight="1" x14ac:dyDescent="0.25">
      <c r="A170" s="9"/>
      <c r="B170" s="20"/>
      <c r="C170" s="20"/>
      <c r="D170" s="20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  <c r="P170" s="52"/>
      <c r="Q170" s="52"/>
      <c r="R170" s="52"/>
      <c r="S170" s="52"/>
      <c r="T170" s="53"/>
      <c r="U170" s="53"/>
      <c r="V170" s="53"/>
      <c r="W170" s="52"/>
      <c r="X170" s="52"/>
      <c r="Y170" s="52"/>
      <c r="Z170" s="52"/>
      <c r="AA170" s="52"/>
      <c r="AB170" s="54"/>
      <c r="AC170" s="55"/>
      <c r="AD170" s="53"/>
      <c r="AE170" s="53"/>
      <c r="AF170" s="53"/>
      <c r="AG170" s="53"/>
      <c r="AH170" s="56"/>
      <c r="AI170" s="56"/>
    </row>
    <row r="171" spans="1:35" ht="15.75" customHeight="1" x14ac:dyDescent="0.25">
      <c r="A171" s="9"/>
      <c r="B171" s="20"/>
      <c r="C171" s="20"/>
      <c r="D171" s="20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  <c r="P171" s="52"/>
      <c r="Q171" s="52"/>
      <c r="R171" s="52"/>
      <c r="S171" s="52"/>
      <c r="T171" s="53"/>
      <c r="U171" s="53"/>
      <c r="V171" s="53"/>
      <c r="W171" s="52"/>
      <c r="X171" s="52"/>
      <c r="Y171" s="52"/>
      <c r="Z171" s="52"/>
      <c r="AA171" s="52"/>
      <c r="AB171" s="54"/>
      <c r="AC171" s="55"/>
      <c r="AD171" s="53"/>
      <c r="AE171" s="53"/>
      <c r="AF171" s="53"/>
      <c r="AG171" s="53"/>
      <c r="AH171" s="56"/>
      <c r="AI171" s="56"/>
    </row>
    <row r="172" spans="1:35" ht="15.75" customHeight="1" x14ac:dyDescent="0.25">
      <c r="A172" s="9"/>
      <c r="B172" s="20"/>
      <c r="C172" s="20"/>
      <c r="D172" s="20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  <c r="P172" s="52"/>
      <c r="Q172" s="52"/>
      <c r="R172" s="52"/>
      <c r="S172" s="52"/>
      <c r="T172" s="53"/>
      <c r="U172" s="53"/>
      <c r="V172" s="53"/>
      <c r="W172" s="52"/>
      <c r="X172" s="52"/>
      <c r="Y172" s="52"/>
      <c r="Z172" s="52"/>
      <c r="AA172" s="52"/>
      <c r="AB172" s="54"/>
      <c r="AC172" s="55"/>
      <c r="AD172" s="53"/>
      <c r="AE172" s="53"/>
      <c r="AF172" s="53"/>
      <c r="AG172" s="53"/>
      <c r="AH172" s="56"/>
      <c r="AI172" s="56"/>
    </row>
    <row r="173" spans="1:35" ht="15.75" customHeight="1" x14ac:dyDescent="0.25">
      <c r="A173" s="9"/>
      <c r="B173" s="20"/>
      <c r="C173" s="20"/>
      <c r="D173" s="20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  <c r="P173" s="52"/>
      <c r="Q173" s="52"/>
      <c r="R173" s="52"/>
      <c r="S173" s="52"/>
      <c r="T173" s="53"/>
      <c r="U173" s="53"/>
      <c r="V173" s="53"/>
      <c r="W173" s="52"/>
      <c r="X173" s="52"/>
      <c r="Y173" s="52"/>
      <c r="Z173" s="52"/>
      <c r="AA173" s="52"/>
      <c r="AB173" s="54"/>
      <c r="AC173" s="55"/>
      <c r="AD173" s="53"/>
      <c r="AE173" s="53"/>
      <c r="AF173" s="53"/>
      <c r="AG173" s="53"/>
      <c r="AH173" s="56"/>
      <c r="AI173" s="56"/>
    </row>
    <row r="174" spans="1:35" ht="15.75" customHeight="1" x14ac:dyDescent="0.25">
      <c r="A174" s="9"/>
      <c r="B174" s="20"/>
      <c r="C174" s="20"/>
      <c r="D174" s="20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  <c r="P174" s="52"/>
      <c r="Q174" s="52"/>
      <c r="R174" s="52"/>
      <c r="S174" s="52"/>
      <c r="T174" s="53"/>
      <c r="U174" s="53"/>
      <c r="V174" s="53"/>
      <c r="W174" s="52"/>
      <c r="X174" s="52"/>
      <c r="Y174" s="52"/>
      <c r="Z174" s="52"/>
      <c r="AA174" s="52"/>
      <c r="AB174" s="54"/>
      <c r="AC174" s="55"/>
      <c r="AD174" s="53"/>
      <c r="AE174" s="53"/>
      <c r="AF174" s="53"/>
      <c r="AG174" s="53"/>
      <c r="AH174" s="56"/>
      <c r="AI174" s="56"/>
    </row>
    <row r="175" spans="1:35" ht="15.75" customHeight="1" x14ac:dyDescent="0.25">
      <c r="A175" s="9"/>
      <c r="B175" s="20"/>
      <c r="C175" s="20"/>
      <c r="D175" s="20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  <c r="P175" s="52"/>
      <c r="Q175" s="52"/>
      <c r="R175" s="52"/>
      <c r="S175" s="52"/>
      <c r="T175" s="53"/>
      <c r="U175" s="53"/>
      <c r="V175" s="53"/>
      <c r="W175" s="52"/>
      <c r="X175" s="52"/>
      <c r="Y175" s="52"/>
      <c r="Z175" s="52"/>
      <c r="AA175" s="52"/>
      <c r="AB175" s="54"/>
      <c r="AC175" s="55"/>
      <c r="AD175" s="53"/>
      <c r="AE175" s="53"/>
      <c r="AF175" s="53"/>
      <c r="AG175" s="53"/>
      <c r="AH175" s="56"/>
      <c r="AI175" s="56"/>
    </row>
    <row r="176" spans="1:35" ht="15.75" customHeight="1" x14ac:dyDescent="0.25">
      <c r="A176" s="9"/>
      <c r="B176" s="20"/>
      <c r="C176" s="20"/>
      <c r="D176" s="20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  <c r="P176" s="52"/>
      <c r="Q176" s="52"/>
      <c r="R176" s="52"/>
      <c r="S176" s="52"/>
      <c r="T176" s="53"/>
      <c r="U176" s="53"/>
      <c r="V176" s="53"/>
      <c r="W176" s="52"/>
      <c r="X176" s="52"/>
      <c r="Y176" s="52"/>
      <c r="Z176" s="52"/>
      <c r="AA176" s="52"/>
      <c r="AB176" s="54"/>
      <c r="AC176" s="55"/>
      <c r="AD176" s="53"/>
      <c r="AE176" s="53"/>
      <c r="AF176" s="53"/>
      <c r="AG176" s="53"/>
      <c r="AH176" s="56"/>
      <c r="AI176" s="56"/>
    </row>
    <row r="177" spans="1:35" ht="15.75" customHeight="1" x14ac:dyDescent="0.25">
      <c r="A177" s="9"/>
      <c r="B177" s="20"/>
      <c r="C177" s="20"/>
      <c r="D177" s="20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  <c r="P177" s="52"/>
      <c r="Q177" s="52"/>
      <c r="R177" s="52"/>
      <c r="S177" s="52"/>
      <c r="T177" s="53"/>
      <c r="U177" s="53"/>
      <c r="V177" s="53"/>
      <c r="W177" s="52"/>
      <c r="X177" s="52"/>
      <c r="Y177" s="52"/>
      <c r="Z177" s="52"/>
      <c r="AA177" s="52"/>
      <c r="AB177" s="54"/>
      <c r="AC177" s="55"/>
      <c r="AD177" s="53"/>
      <c r="AE177" s="53"/>
      <c r="AF177" s="53"/>
      <c r="AG177" s="53"/>
      <c r="AH177" s="56"/>
      <c r="AI177" s="56"/>
    </row>
    <row r="178" spans="1:35" ht="15.75" customHeight="1" x14ac:dyDescent="0.25">
      <c r="A178" s="9"/>
      <c r="B178" s="20"/>
      <c r="C178" s="20"/>
      <c r="D178" s="20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  <c r="P178" s="52"/>
      <c r="Q178" s="52"/>
      <c r="R178" s="52"/>
      <c r="S178" s="52"/>
      <c r="T178" s="53"/>
      <c r="U178" s="53"/>
      <c r="V178" s="53"/>
      <c r="W178" s="52"/>
      <c r="X178" s="52"/>
      <c r="Y178" s="52"/>
      <c r="Z178" s="52"/>
      <c r="AA178" s="52"/>
      <c r="AB178" s="54"/>
      <c r="AC178" s="55"/>
      <c r="AD178" s="53"/>
      <c r="AE178" s="53"/>
      <c r="AF178" s="53"/>
      <c r="AG178" s="53"/>
      <c r="AH178" s="56"/>
      <c r="AI178" s="56"/>
    </row>
    <row r="179" spans="1:35" ht="15.75" customHeight="1" x14ac:dyDescent="0.25">
      <c r="A179" s="9"/>
      <c r="B179" s="20"/>
      <c r="C179" s="20"/>
      <c r="D179" s="20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  <c r="P179" s="52"/>
      <c r="Q179" s="52"/>
      <c r="R179" s="52"/>
      <c r="S179" s="52"/>
      <c r="T179" s="53"/>
      <c r="U179" s="53"/>
      <c r="V179" s="53"/>
      <c r="W179" s="52"/>
      <c r="X179" s="52"/>
      <c r="Y179" s="52"/>
      <c r="Z179" s="52"/>
      <c r="AA179" s="52"/>
      <c r="AB179" s="54"/>
      <c r="AC179" s="55"/>
      <c r="AD179" s="53"/>
      <c r="AE179" s="53"/>
      <c r="AF179" s="53"/>
      <c r="AG179" s="53"/>
      <c r="AH179" s="56"/>
      <c r="AI179" s="56"/>
    </row>
    <row r="180" spans="1:35" ht="15.75" customHeight="1" x14ac:dyDescent="0.25">
      <c r="A180" s="9"/>
      <c r="B180" s="20"/>
      <c r="C180" s="20"/>
      <c r="D180" s="20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  <c r="P180" s="52"/>
      <c r="Q180" s="52"/>
      <c r="R180" s="52"/>
      <c r="S180" s="52"/>
      <c r="T180" s="53"/>
      <c r="U180" s="53"/>
      <c r="V180" s="53"/>
      <c r="W180" s="52"/>
      <c r="X180" s="52"/>
      <c r="Y180" s="52"/>
      <c r="Z180" s="52"/>
      <c r="AA180" s="52"/>
      <c r="AB180" s="54"/>
      <c r="AC180" s="55"/>
      <c r="AD180" s="53"/>
      <c r="AE180" s="53"/>
      <c r="AF180" s="53"/>
      <c r="AG180" s="53"/>
      <c r="AH180" s="56"/>
      <c r="AI180" s="56"/>
    </row>
    <row r="181" spans="1:35" ht="15.75" customHeight="1" x14ac:dyDescent="0.25">
      <c r="A181" s="9"/>
      <c r="B181" s="20"/>
      <c r="C181" s="20"/>
      <c r="D181" s="20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  <c r="P181" s="52"/>
      <c r="Q181" s="52"/>
      <c r="R181" s="52"/>
      <c r="S181" s="52"/>
      <c r="T181" s="53"/>
      <c r="U181" s="53"/>
      <c r="V181" s="53"/>
      <c r="W181" s="52"/>
      <c r="X181" s="52"/>
      <c r="Y181" s="52"/>
      <c r="Z181" s="52"/>
      <c r="AA181" s="52"/>
      <c r="AB181" s="54"/>
      <c r="AC181" s="55"/>
      <c r="AD181" s="53"/>
      <c r="AE181" s="53"/>
      <c r="AF181" s="53"/>
      <c r="AG181" s="53"/>
      <c r="AH181" s="56"/>
      <c r="AI181" s="56"/>
    </row>
    <row r="182" spans="1:35" ht="15.75" customHeight="1" x14ac:dyDescent="0.25">
      <c r="A182" s="9"/>
      <c r="B182" s="20"/>
      <c r="C182" s="20"/>
      <c r="D182" s="20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  <c r="P182" s="52"/>
      <c r="Q182" s="52"/>
      <c r="R182" s="52"/>
      <c r="S182" s="52"/>
      <c r="T182" s="53"/>
      <c r="U182" s="53"/>
      <c r="V182" s="53"/>
      <c r="W182" s="52"/>
      <c r="X182" s="52"/>
      <c r="Y182" s="52"/>
      <c r="Z182" s="52"/>
      <c r="AA182" s="52"/>
      <c r="AB182" s="54"/>
      <c r="AC182" s="55"/>
      <c r="AD182" s="53"/>
      <c r="AE182" s="53"/>
      <c r="AF182" s="53"/>
      <c r="AG182" s="53"/>
      <c r="AH182" s="56"/>
      <c r="AI182" s="56"/>
    </row>
    <row r="183" spans="1:35" ht="15.75" customHeight="1" x14ac:dyDescent="0.25">
      <c r="A183" s="9"/>
      <c r="B183" s="20"/>
      <c r="C183" s="20"/>
      <c r="D183" s="20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  <c r="P183" s="52"/>
      <c r="Q183" s="52"/>
      <c r="R183" s="52"/>
      <c r="S183" s="52"/>
      <c r="T183" s="53"/>
      <c r="U183" s="53"/>
      <c r="V183" s="53"/>
      <c r="W183" s="52"/>
      <c r="X183" s="52"/>
      <c r="Y183" s="52"/>
      <c r="Z183" s="52"/>
      <c r="AA183" s="52"/>
      <c r="AB183" s="54"/>
      <c r="AC183" s="55"/>
      <c r="AD183" s="53"/>
      <c r="AE183" s="53"/>
      <c r="AF183" s="53"/>
      <c r="AG183" s="53"/>
      <c r="AH183" s="56"/>
      <c r="AI183" s="56"/>
    </row>
    <row r="184" spans="1:35" ht="15.75" customHeight="1" x14ac:dyDescent="0.25">
      <c r="A184" s="9"/>
      <c r="B184" s="20"/>
      <c r="C184" s="20"/>
      <c r="D184" s="20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  <c r="P184" s="52"/>
      <c r="Q184" s="52"/>
      <c r="R184" s="52"/>
      <c r="S184" s="52"/>
      <c r="T184" s="53"/>
      <c r="U184" s="53"/>
      <c r="V184" s="53"/>
      <c r="W184" s="52"/>
      <c r="X184" s="52"/>
      <c r="Y184" s="52"/>
      <c r="Z184" s="52"/>
      <c r="AA184" s="52"/>
      <c r="AB184" s="54"/>
      <c r="AC184" s="55"/>
      <c r="AD184" s="53"/>
      <c r="AE184" s="53"/>
      <c r="AF184" s="53"/>
      <c r="AG184" s="53"/>
      <c r="AH184" s="56"/>
      <c r="AI184" s="56"/>
    </row>
    <row r="185" spans="1:35" ht="15.75" customHeight="1" x14ac:dyDescent="0.25">
      <c r="A185" s="9"/>
      <c r="B185" s="20"/>
      <c r="C185" s="20"/>
      <c r="D185" s="20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  <c r="P185" s="52"/>
      <c r="Q185" s="52"/>
      <c r="R185" s="52"/>
      <c r="S185" s="52"/>
      <c r="T185" s="53"/>
      <c r="U185" s="53"/>
      <c r="V185" s="53"/>
      <c r="W185" s="52"/>
      <c r="X185" s="52"/>
      <c r="Y185" s="52"/>
      <c r="Z185" s="52"/>
      <c r="AA185" s="52"/>
      <c r="AB185" s="54"/>
      <c r="AC185" s="55"/>
      <c r="AD185" s="53"/>
      <c r="AE185" s="53"/>
      <c r="AF185" s="53"/>
      <c r="AG185" s="53"/>
      <c r="AH185" s="56"/>
      <c r="AI185" s="56"/>
    </row>
    <row r="186" spans="1:35" ht="15.75" customHeight="1" x14ac:dyDescent="0.25">
      <c r="A186" s="9"/>
      <c r="B186" s="20"/>
      <c r="C186" s="20"/>
      <c r="D186" s="20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  <c r="P186" s="52"/>
      <c r="Q186" s="52"/>
      <c r="R186" s="52"/>
      <c r="S186" s="52"/>
      <c r="T186" s="53"/>
      <c r="U186" s="53"/>
      <c r="V186" s="53"/>
      <c r="W186" s="52"/>
      <c r="X186" s="52"/>
      <c r="Y186" s="52"/>
      <c r="Z186" s="52"/>
      <c r="AA186" s="52"/>
      <c r="AB186" s="54"/>
      <c r="AC186" s="55"/>
      <c r="AD186" s="53"/>
      <c r="AE186" s="53"/>
      <c r="AF186" s="53"/>
      <c r="AG186" s="53"/>
      <c r="AH186" s="56"/>
      <c r="AI186" s="56"/>
    </row>
    <row r="187" spans="1:35" ht="15.75" customHeight="1" x14ac:dyDescent="0.25">
      <c r="A187" s="9"/>
      <c r="B187" s="20"/>
      <c r="C187" s="20"/>
      <c r="D187" s="20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  <c r="P187" s="52"/>
      <c r="Q187" s="52"/>
      <c r="R187" s="52"/>
      <c r="S187" s="52"/>
      <c r="T187" s="53"/>
      <c r="U187" s="53"/>
      <c r="V187" s="53"/>
      <c r="W187" s="52"/>
      <c r="X187" s="52"/>
      <c r="Y187" s="52"/>
      <c r="Z187" s="52"/>
      <c r="AA187" s="52"/>
      <c r="AB187" s="54"/>
      <c r="AC187" s="55"/>
      <c r="AD187" s="53"/>
      <c r="AE187" s="53"/>
      <c r="AF187" s="53"/>
      <c r="AG187" s="53"/>
      <c r="AH187" s="56"/>
      <c r="AI187" s="56"/>
    </row>
    <row r="188" spans="1:35" ht="15.75" customHeight="1" x14ac:dyDescent="0.25">
      <c r="A188" s="9"/>
      <c r="B188" s="20"/>
      <c r="C188" s="20"/>
      <c r="D188" s="20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  <c r="P188" s="52"/>
      <c r="Q188" s="52"/>
      <c r="R188" s="52"/>
      <c r="S188" s="52"/>
      <c r="T188" s="53"/>
      <c r="U188" s="53"/>
      <c r="V188" s="53"/>
      <c r="W188" s="52"/>
      <c r="X188" s="52"/>
      <c r="Y188" s="52"/>
      <c r="Z188" s="52"/>
      <c r="AA188" s="52"/>
      <c r="AB188" s="54"/>
      <c r="AC188" s="55"/>
      <c r="AD188" s="53"/>
      <c r="AE188" s="53"/>
      <c r="AF188" s="53"/>
      <c r="AG188" s="53"/>
      <c r="AH188" s="56"/>
      <c r="AI188" s="56"/>
    </row>
    <row r="189" spans="1:35" ht="15.75" customHeight="1" x14ac:dyDescent="0.25">
      <c r="A189" s="9"/>
      <c r="B189" s="20"/>
      <c r="C189" s="20"/>
      <c r="D189" s="20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  <c r="P189" s="52"/>
      <c r="Q189" s="52"/>
      <c r="R189" s="52"/>
      <c r="S189" s="52"/>
      <c r="T189" s="53"/>
      <c r="U189" s="53"/>
      <c r="V189" s="53"/>
      <c r="W189" s="52"/>
      <c r="X189" s="52"/>
      <c r="Y189" s="52"/>
      <c r="Z189" s="52"/>
      <c r="AA189" s="52"/>
      <c r="AB189" s="54"/>
      <c r="AC189" s="55"/>
      <c r="AD189" s="53"/>
      <c r="AE189" s="53"/>
      <c r="AF189" s="53"/>
      <c r="AG189" s="53"/>
      <c r="AH189" s="56"/>
      <c r="AI189" s="56"/>
    </row>
    <row r="190" spans="1:35" ht="15.75" customHeight="1" x14ac:dyDescent="0.25">
      <c r="A190" s="9"/>
      <c r="B190" s="20"/>
      <c r="C190" s="20"/>
      <c r="D190" s="20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  <c r="P190" s="52"/>
      <c r="Q190" s="52"/>
      <c r="R190" s="52"/>
      <c r="S190" s="52"/>
      <c r="T190" s="53"/>
      <c r="U190" s="53"/>
      <c r="V190" s="53"/>
      <c r="W190" s="52"/>
      <c r="X190" s="52"/>
      <c r="Y190" s="52"/>
      <c r="Z190" s="52"/>
      <c r="AA190" s="52"/>
      <c r="AB190" s="54"/>
      <c r="AC190" s="55"/>
      <c r="AD190" s="53"/>
      <c r="AE190" s="53"/>
      <c r="AF190" s="53"/>
      <c r="AG190" s="53"/>
      <c r="AH190" s="56"/>
      <c r="AI190" s="56"/>
    </row>
    <row r="191" spans="1:35" ht="15.75" customHeight="1" x14ac:dyDescent="0.25">
      <c r="A191" s="9"/>
      <c r="B191" s="20"/>
      <c r="C191" s="20"/>
      <c r="D191" s="20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  <c r="P191" s="52"/>
      <c r="Q191" s="52"/>
      <c r="R191" s="52"/>
      <c r="S191" s="52"/>
      <c r="T191" s="53"/>
      <c r="U191" s="53"/>
      <c r="V191" s="53"/>
      <c r="W191" s="52"/>
      <c r="X191" s="52"/>
      <c r="Y191" s="52"/>
      <c r="Z191" s="52"/>
      <c r="AA191" s="52"/>
      <c r="AB191" s="54"/>
      <c r="AC191" s="55"/>
      <c r="AD191" s="53"/>
      <c r="AE191" s="53"/>
      <c r="AF191" s="53"/>
      <c r="AG191" s="53"/>
      <c r="AH191" s="56"/>
      <c r="AI191" s="56"/>
    </row>
    <row r="192" spans="1:35" ht="15.75" customHeight="1" x14ac:dyDescent="0.25">
      <c r="A192" s="9"/>
      <c r="B192" s="20"/>
      <c r="C192" s="20"/>
      <c r="D192" s="20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  <c r="P192" s="52"/>
      <c r="Q192" s="52"/>
      <c r="R192" s="52"/>
      <c r="S192" s="52"/>
      <c r="T192" s="53"/>
      <c r="U192" s="53"/>
      <c r="V192" s="53"/>
      <c r="W192" s="52"/>
      <c r="X192" s="52"/>
      <c r="Y192" s="52"/>
      <c r="Z192" s="52"/>
      <c r="AA192" s="52"/>
      <c r="AB192" s="54"/>
      <c r="AC192" s="55"/>
      <c r="AD192" s="53"/>
      <c r="AE192" s="53"/>
      <c r="AF192" s="53"/>
      <c r="AG192" s="53"/>
      <c r="AH192" s="56"/>
      <c r="AI192" s="56"/>
    </row>
    <row r="193" spans="1:35" ht="15.75" customHeight="1" x14ac:dyDescent="0.25">
      <c r="A193" s="9"/>
      <c r="B193" s="20"/>
      <c r="C193" s="20"/>
      <c r="D193" s="20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  <c r="P193" s="52"/>
      <c r="Q193" s="52"/>
      <c r="R193" s="52"/>
      <c r="S193" s="52"/>
      <c r="T193" s="53"/>
      <c r="U193" s="53"/>
      <c r="V193" s="53"/>
      <c r="W193" s="52"/>
      <c r="X193" s="52"/>
      <c r="Y193" s="52"/>
      <c r="Z193" s="52"/>
      <c r="AA193" s="52"/>
      <c r="AB193" s="54"/>
      <c r="AC193" s="55"/>
      <c r="AD193" s="53"/>
      <c r="AE193" s="53"/>
      <c r="AF193" s="53"/>
      <c r="AG193" s="53"/>
      <c r="AH193" s="56"/>
      <c r="AI193" s="56"/>
    </row>
    <row r="194" spans="1:35" ht="15.75" customHeight="1" x14ac:dyDescent="0.25">
      <c r="A194" s="9"/>
      <c r="B194" s="20"/>
      <c r="C194" s="20"/>
      <c r="D194" s="20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  <c r="P194" s="52"/>
      <c r="Q194" s="52"/>
      <c r="R194" s="52"/>
      <c r="S194" s="52"/>
      <c r="T194" s="53"/>
      <c r="U194" s="53"/>
      <c r="V194" s="53"/>
      <c r="W194" s="52"/>
      <c r="X194" s="52"/>
      <c r="Y194" s="52"/>
      <c r="Z194" s="52"/>
      <c r="AA194" s="52"/>
      <c r="AB194" s="54"/>
      <c r="AC194" s="55"/>
      <c r="AD194" s="53"/>
      <c r="AE194" s="53"/>
      <c r="AF194" s="53"/>
      <c r="AG194" s="53"/>
      <c r="AH194" s="56"/>
      <c r="AI194" s="56"/>
    </row>
    <row r="195" spans="1:35" ht="15.75" customHeight="1" x14ac:dyDescent="0.25">
      <c r="A195" s="9"/>
      <c r="B195" s="20"/>
      <c r="C195" s="20"/>
      <c r="D195" s="20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  <c r="P195" s="52"/>
      <c r="Q195" s="52"/>
      <c r="R195" s="52"/>
      <c r="S195" s="52"/>
      <c r="T195" s="53"/>
      <c r="U195" s="53"/>
      <c r="V195" s="53"/>
      <c r="W195" s="52"/>
      <c r="X195" s="52"/>
      <c r="Y195" s="52"/>
      <c r="Z195" s="52"/>
      <c r="AA195" s="52"/>
      <c r="AB195" s="54"/>
      <c r="AC195" s="55"/>
      <c r="AD195" s="53"/>
      <c r="AE195" s="53"/>
      <c r="AF195" s="53"/>
      <c r="AG195" s="53"/>
      <c r="AH195" s="56"/>
      <c r="AI195" s="56"/>
    </row>
    <row r="196" spans="1:35" ht="15.75" customHeight="1" x14ac:dyDescent="0.25">
      <c r="A196" s="9"/>
      <c r="B196" s="20"/>
      <c r="C196" s="20"/>
      <c r="D196" s="20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  <c r="P196" s="52"/>
      <c r="Q196" s="52"/>
      <c r="R196" s="52"/>
      <c r="S196" s="52"/>
      <c r="T196" s="53"/>
      <c r="U196" s="53"/>
      <c r="V196" s="53"/>
      <c r="W196" s="52"/>
      <c r="X196" s="52"/>
      <c r="Y196" s="52"/>
      <c r="Z196" s="52"/>
      <c r="AA196" s="52"/>
      <c r="AB196" s="54"/>
      <c r="AC196" s="55"/>
      <c r="AD196" s="53"/>
      <c r="AE196" s="53"/>
      <c r="AF196" s="53"/>
      <c r="AG196" s="53"/>
      <c r="AH196" s="56"/>
      <c r="AI196" s="56"/>
    </row>
    <row r="197" spans="1:35" ht="15.75" customHeight="1" x14ac:dyDescent="0.25">
      <c r="A197" s="9"/>
      <c r="B197" s="20"/>
      <c r="C197" s="20"/>
      <c r="D197" s="20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  <c r="P197" s="52"/>
      <c r="Q197" s="52"/>
      <c r="R197" s="52"/>
      <c r="S197" s="52"/>
      <c r="T197" s="53"/>
      <c r="U197" s="53"/>
      <c r="V197" s="53"/>
      <c r="W197" s="52"/>
      <c r="X197" s="52"/>
      <c r="Y197" s="52"/>
      <c r="Z197" s="52"/>
      <c r="AA197" s="52"/>
      <c r="AB197" s="54"/>
      <c r="AC197" s="55"/>
      <c r="AD197" s="53"/>
      <c r="AE197" s="53"/>
      <c r="AF197" s="53"/>
      <c r="AG197" s="53"/>
      <c r="AH197" s="56"/>
      <c r="AI197" s="56"/>
    </row>
    <row r="198" spans="1:35" ht="15.75" customHeight="1" x14ac:dyDescent="0.25">
      <c r="A198" s="9"/>
      <c r="B198" s="20"/>
      <c r="C198" s="20"/>
      <c r="D198" s="20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  <c r="P198" s="52"/>
      <c r="Q198" s="52"/>
      <c r="R198" s="52"/>
      <c r="S198" s="52"/>
      <c r="T198" s="53"/>
      <c r="U198" s="53"/>
      <c r="V198" s="53"/>
      <c r="W198" s="52"/>
      <c r="X198" s="52"/>
      <c r="Y198" s="52"/>
      <c r="Z198" s="52"/>
      <c r="AA198" s="52"/>
      <c r="AB198" s="54"/>
      <c r="AC198" s="55"/>
      <c r="AD198" s="53"/>
      <c r="AE198" s="53"/>
      <c r="AF198" s="53"/>
      <c r="AG198" s="53"/>
      <c r="AH198" s="56"/>
      <c r="AI198" s="56"/>
    </row>
    <row r="199" spans="1:35" ht="15.75" customHeight="1" x14ac:dyDescent="0.25">
      <c r="A199" s="9"/>
      <c r="B199" s="20"/>
      <c r="C199" s="20"/>
      <c r="D199" s="20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  <c r="P199" s="52"/>
      <c r="Q199" s="52"/>
      <c r="R199" s="52"/>
      <c r="S199" s="52"/>
      <c r="T199" s="53"/>
      <c r="U199" s="53"/>
      <c r="V199" s="53"/>
      <c r="W199" s="52"/>
      <c r="X199" s="52"/>
      <c r="Y199" s="52"/>
      <c r="Z199" s="52"/>
      <c r="AA199" s="52"/>
      <c r="AB199" s="54"/>
      <c r="AC199" s="55"/>
      <c r="AD199" s="53"/>
      <c r="AE199" s="53"/>
      <c r="AF199" s="53"/>
      <c r="AG199" s="53"/>
      <c r="AH199" s="56"/>
      <c r="AI199" s="56"/>
    </row>
    <row r="200" spans="1:35" ht="15.75" customHeight="1" x14ac:dyDescent="0.25">
      <c r="A200" s="9"/>
      <c r="B200" s="20"/>
      <c r="C200" s="20"/>
      <c r="D200" s="20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  <c r="P200" s="52"/>
      <c r="Q200" s="52"/>
      <c r="R200" s="52"/>
      <c r="S200" s="52"/>
      <c r="T200" s="53"/>
      <c r="U200" s="53"/>
      <c r="V200" s="53"/>
      <c r="W200" s="52"/>
      <c r="X200" s="52"/>
      <c r="Y200" s="52"/>
      <c r="Z200" s="52"/>
      <c r="AA200" s="52"/>
      <c r="AB200" s="54"/>
      <c r="AC200" s="55"/>
      <c r="AD200" s="53"/>
      <c r="AE200" s="53"/>
      <c r="AF200" s="53"/>
      <c r="AG200" s="53"/>
      <c r="AH200" s="56"/>
      <c r="AI200" s="56"/>
    </row>
    <row r="201" spans="1:35" ht="15.75" customHeight="1" x14ac:dyDescent="0.25">
      <c r="A201" s="9"/>
      <c r="B201" s="20"/>
      <c r="C201" s="20"/>
      <c r="D201" s="20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  <c r="P201" s="52"/>
      <c r="Q201" s="52"/>
      <c r="R201" s="52"/>
      <c r="S201" s="52"/>
      <c r="T201" s="53"/>
      <c r="U201" s="53"/>
      <c r="V201" s="53"/>
      <c r="W201" s="52"/>
      <c r="X201" s="52"/>
      <c r="Y201" s="52"/>
      <c r="Z201" s="52"/>
      <c r="AA201" s="52"/>
      <c r="AB201" s="54"/>
      <c r="AC201" s="55"/>
      <c r="AD201" s="53"/>
      <c r="AE201" s="53"/>
      <c r="AF201" s="53"/>
      <c r="AG201" s="53"/>
      <c r="AH201" s="56"/>
      <c r="AI201" s="56"/>
    </row>
    <row r="202" spans="1:35" ht="15.75" customHeight="1" x14ac:dyDescent="0.25">
      <c r="A202" s="9"/>
      <c r="B202" s="20"/>
      <c r="C202" s="20"/>
      <c r="D202" s="20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  <c r="P202" s="52"/>
      <c r="Q202" s="52"/>
      <c r="R202" s="52"/>
      <c r="S202" s="52"/>
      <c r="T202" s="53"/>
      <c r="U202" s="53"/>
      <c r="V202" s="53"/>
      <c r="W202" s="52"/>
      <c r="X202" s="52"/>
      <c r="Y202" s="52"/>
      <c r="Z202" s="52"/>
      <c r="AA202" s="52"/>
      <c r="AB202" s="54"/>
      <c r="AC202" s="55"/>
      <c r="AD202" s="53"/>
      <c r="AE202" s="53"/>
      <c r="AF202" s="53"/>
      <c r="AG202" s="53"/>
      <c r="AH202" s="56"/>
      <c r="AI202" s="56"/>
    </row>
    <row r="203" spans="1:35" ht="15.75" customHeight="1" x14ac:dyDescent="0.25">
      <c r="A203" s="9"/>
      <c r="B203" s="20"/>
      <c r="C203" s="20"/>
      <c r="D203" s="20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  <c r="P203" s="52"/>
      <c r="Q203" s="52"/>
      <c r="R203" s="52"/>
      <c r="S203" s="52"/>
      <c r="T203" s="53"/>
      <c r="U203" s="53"/>
      <c r="V203" s="53"/>
      <c r="W203" s="52"/>
      <c r="X203" s="52"/>
      <c r="Y203" s="52"/>
      <c r="Z203" s="52"/>
      <c r="AA203" s="52"/>
      <c r="AB203" s="54"/>
      <c r="AC203" s="55"/>
      <c r="AD203" s="53"/>
      <c r="AE203" s="53"/>
      <c r="AF203" s="53"/>
      <c r="AG203" s="53"/>
      <c r="AH203" s="56"/>
      <c r="AI203" s="56"/>
    </row>
    <row r="204" spans="1:35" ht="15.75" customHeight="1" x14ac:dyDescent="0.25">
      <c r="A204" s="9"/>
      <c r="B204" s="20"/>
      <c r="C204" s="20"/>
      <c r="D204" s="20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  <c r="P204" s="52"/>
      <c r="Q204" s="52"/>
      <c r="R204" s="52"/>
      <c r="S204" s="52"/>
      <c r="T204" s="53"/>
      <c r="U204" s="53"/>
      <c r="V204" s="53"/>
      <c r="W204" s="52"/>
      <c r="X204" s="52"/>
      <c r="Y204" s="52"/>
      <c r="Z204" s="52"/>
      <c r="AA204" s="52"/>
      <c r="AB204" s="54"/>
      <c r="AC204" s="55"/>
      <c r="AD204" s="53"/>
      <c r="AE204" s="53"/>
      <c r="AF204" s="53"/>
      <c r="AG204" s="53"/>
      <c r="AH204" s="56"/>
      <c r="AI204" s="56"/>
    </row>
    <row r="205" spans="1:35" ht="15.75" customHeight="1" x14ac:dyDescent="0.25">
      <c r="A205" s="9"/>
      <c r="B205" s="20"/>
      <c r="C205" s="20"/>
      <c r="D205" s="20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  <c r="P205" s="52"/>
      <c r="Q205" s="52"/>
      <c r="R205" s="52"/>
      <c r="S205" s="52"/>
      <c r="T205" s="53"/>
      <c r="U205" s="53"/>
      <c r="V205" s="53"/>
      <c r="W205" s="52"/>
      <c r="X205" s="52"/>
      <c r="Y205" s="52"/>
      <c r="Z205" s="52"/>
      <c r="AA205" s="52"/>
      <c r="AB205" s="54"/>
      <c r="AC205" s="55"/>
      <c r="AD205" s="53"/>
      <c r="AE205" s="53"/>
      <c r="AF205" s="53"/>
      <c r="AG205" s="53"/>
      <c r="AH205" s="56"/>
      <c r="AI205" s="56"/>
    </row>
    <row r="206" spans="1:35" ht="15.75" customHeight="1" x14ac:dyDescent="0.25">
      <c r="A206" s="9"/>
      <c r="B206" s="20"/>
      <c r="C206" s="20"/>
      <c r="D206" s="20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  <c r="P206" s="52"/>
      <c r="Q206" s="52"/>
      <c r="R206" s="52"/>
      <c r="S206" s="52"/>
      <c r="T206" s="53"/>
      <c r="U206" s="53"/>
      <c r="V206" s="53"/>
      <c r="W206" s="52"/>
      <c r="X206" s="52"/>
      <c r="Y206" s="52"/>
      <c r="Z206" s="52"/>
      <c r="AA206" s="52"/>
      <c r="AB206" s="54"/>
      <c r="AC206" s="55"/>
      <c r="AD206" s="53"/>
      <c r="AE206" s="53"/>
      <c r="AF206" s="53"/>
      <c r="AG206" s="53"/>
      <c r="AH206" s="56"/>
      <c r="AI206" s="56"/>
    </row>
    <row r="207" spans="1:35" ht="15.75" customHeight="1" x14ac:dyDescent="0.25">
      <c r="A207" s="9"/>
      <c r="B207" s="20"/>
      <c r="C207" s="20"/>
      <c r="D207" s="20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  <c r="P207" s="52"/>
      <c r="Q207" s="52"/>
      <c r="R207" s="52"/>
      <c r="S207" s="52"/>
      <c r="T207" s="53"/>
      <c r="U207" s="53"/>
      <c r="V207" s="53"/>
      <c r="W207" s="52"/>
      <c r="X207" s="52"/>
      <c r="Y207" s="52"/>
      <c r="Z207" s="52"/>
      <c r="AA207" s="52"/>
      <c r="AB207" s="54"/>
      <c r="AC207" s="55"/>
      <c r="AD207" s="53"/>
      <c r="AE207" s="53"/>
      <c r="AF207" s="53"/>
      <c r="AG207" s="53"/>
      <c r="AH207" s="56"/>
      <c r="AI207" s="56"/>
    </row>
    <row r="208" spans="1:35" ht="15.75" customHeight="1" x14ac:dyDescent="0.25">
      <c r="A208" s="9"/>
      <c r="B208" s="20"/>
      <c r="C208" s="20"/>
      <c r="D208" s="20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  <c r="P208" s="52"/>
      <c r="Q208" s="52"/>
      <c r="R208" s="52"/>
      <c r="S208" s="52"/>
      <c r="T208" s="53"/>
      <c r="U208" s="53"/>
      <c r="V208" s="53"/>
      <c r="W208" s="52"/>
      <c r="X208" s="52"/>
      <c r="Y208" s="52"/>
      <c r="Z208" s="52"/>
      <c r="AA208" s="52"/>
      <c r="AB208" s="54"/>
      <c r="AC208" s="55"/>
      <c r="AD208" s="53"/>
      <c r="AE208" s="53"/>
      <c r="AF208" s="53"/>
      <c r="AG208" s="53"/>
      <c r="AH208" s="56"/>
      <c r="AI208" s="56"/>
    </row>
    <row r="209" spans="1:35" ht="15.75" customHeight="1" x14ac:dyDescent="0.25">
      <c r="A209" s="9"/>
      <c r="B209" s="20"/>
      <c r="C209" s="20"/>
      <c r="D209" s="20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  <c r="P209" s="52"/>
      <c r="Q209" s="52"/>
      <c r="R209" s="52"/>
      <c r="S209" s="52"/>
      <c r="T209" s="53"/>
      <c r="U209" s="53"/>
      <c r="V209" s="53"/>
      <c r="W209" s="52"/>
      <c r="X209" s="52"/>
      <c r="Y209" s="52"/>
      <c r="Z209" s="52"/>
      <c r="AA209" s="52"/>
      <c r="AB209" s="54"/>
      <c r="AC209" s="55"/>
      <c r="AD209" s="53"/>
      <c r="AE209" s="53"/>
      <c r="AF209" s="53"/>
      <c r="AG209" s="53"/>
      <c r="AH209" s="56"/>
      <c r="AI209" s="56"/>
    </row>
    <row r="210" spans="1:35" ht="15.75" customHeight="1" x14ac:dyDescent="0.25">
      <c r="A210" s="9"/>
      <c r="B210" s="20"/>
      <c r="C210" s="20"/>
      <c r="D210" s="20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  <c r="P210" s="52"/>
      <c r="Q210" s="52"/>
      <c r="R210" s="52"/>
      <c r="S210" s="52"/>
      <c r="T210" s="53"/>
      <c r="U210" s="53"/>
      <c r="V210" s="53"/>
      <c r="W210" s="52"/>
      <c r="X210" s="52"/>
      <c r="Y210" s="52"/>
      <c r="Z210" s="52"/>
      <c r="AA210" s="52"/>
      <c r="AB210" s="54"/>
      <c r="AC210" s="55"/>
      <c r="AD210" s="53"/>
      <c r="AE210" s="53"/>
      <c r="AF210" s="53"/>
      <c r="AG210" s="53"/>
      <c r="AH210" s="56"/>
      <c r="AI210" s="56"/>
    </row>
    <row r="211" spans="1:35" ht="15.75" customHeight="1" x14ac:dyDescent="0.25">
      <c r="A211" s="9"/>
      <c r="B211" s="20"/>
      <c r="C211" s="20"/>
      <c r="D211" s="20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  <c r="P211" s="52"/>
      <c r="Q211" s="52"/>
      <c r="R211" s="52"/>
      <c r="S211" s="52"/>
      <c r="T211" s="53"/>
      <c r="U211" s="53"/>
      <c r="V211" s="53"/>
      <c r="W211" s="52"/>
      <c r="X211" s="52"/>
      <c r="Y211" s="52"/>
      <c r="Z211" s="52"/>
      <c r="AA211" s="52"/>
      <c r="AB211" s="54"/>
      <c r="AC211" s="55"/>
      <c r="AD211" s="53"/>
      <c r="AE211" s="53"/>
      <c r="AF211" s="53"/>
      <c r="AG211" s="53"/>
      <c r="AH211" s="56"/>
      <c r="AI211" s="56"/>
    </row>
    <row r="212" spans="1:35" ht="15.75" customHeight="1" x14ac:dyDescent="0.25">
      <c r="A212" s="9"/>
      <c r="B212" s="20"/>
      <c r="C212" s="20"/>
      <c r="D212" s="20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  <c r="P212" s="52"/>
      <c r="Q212" s="52"/>
      <c r="R212" s="52"/>
      <c r="S212" s="52"/>
      <c r="T212" s="53"/>
      <c r="U212" s="53"/>
      <c r="V212" s="53"/>
      <c r="W212" s="52"/>
      <c r="X212" s="52"/>
      <c r="Y212" s="52"/>
      <c r="Z212" s="52"/>
      <c r="AA212" s="52"/>
      <c r="AB212" s="54"/>
      <c r="AC212" s="55"/>
      <c r="AD212" s="53"/>
      <c r="AE212" s="53"/>
      <c r="AF212" s="53"/>
      <c r="AG212" s="53"/>
      <c r="AH212" s="56"/>
      <c r="AI212" s="56"/>
    </row>
    <row r="213" spans="1:35" ht="15.75" customHeight="1" x14ac:dyDescent="0.25">
      <c r="A213" s="9"/>
      <c r="B213" s="20"/>
      <c r="C213" s="20"/>
      <c r="D213" s="20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  <c r="P213" s="52"/>
      <c r="Q213" s="52"/>
      <c r="R213" s="52"/>
      <c r="S213" s="52"/>
      <c r="T213" s="53"/>
      <c r="U213" s="53"/>
      <c r="V213" s="53"/>
      <c r="W213" s="52"/>
      <c r="X213" s="52"/>
      <c r="Y213" s="52"/>
      <c r="Z213" s="52"/>
      <c r="AA213" s="52"/>
      <c r="AB213" s="54"/>
      <c r="AC213" s="55"/>
      <c r="AD213" s="53"/>
      <c r="AE213" s="53"/>
      <c r="AF213" s="53"/>
      <c r="AG213" s="53"/>
      <c r="AH213" s="56"/>
      <c r="AI213" s="56"/>
    </row>
    <row r="214" spans="1:35" ht="15.75" customHeight="1" x14ac:dyDescent="0.25">
      <c r="A214" s="9"/>
      <c r="B214" s="20"/>
      <c r="C214" s="20"/>
      <c r="D214" s="20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  <c r="P214" s="52"/>
      <c r="Q214" s="52"/>
      <c r="R214" s="52"/>
      <c r="S214" s="52"/>
      <c r="T214" s="53"/>
      <c r="U214" s="53"/>
      <c r="V214" s="53"/>
      <c r="W214" s="52"/>
      <c r="X214" s="52"/>
      <c r="Y214" s="52"/>
      <c r="Z214" s="52"/>
      <c r="AA214" s="52"/>
      <c r="AB214" s="54"/>
      <c r="AC214" s="55"/>
      <c r="AD214" s="53"/>
      <c r="AE214" s="53"/>
      <c r="AF214" s="53"/>
      <c r="AG214" s="53"/>
      <c r="AH214" s="56"/>
      <c r="AI214" s="56"/>
    </row>
    <row r="215" spans="1:35" ht="15.75" customHeight="1" x14ac:dyDescent="0.25">
      <c r="A215" s="9"/>
      <c r="B215" s="20"/>
      <c r="C215" s="20"/>
      <c r="D215" s="20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  <c r="P215" s="52"/>
      <c r="Q215" s="52"/>
      <c r="R215" s="52"/>
      <c r="S215" s="52"/>
      <c r="T215" s="53"/>
      <c r="U215" s="53"/>
      <c r="V215" s="53"/>
      <c r="W215" s="52"/>
      <c r="X215" s="52"/>
      <c r="Y215" s="52"/>
      <c r="Z215" s="52"/>
      <c r="AA215" s="52"/>
      <c r="AB215" s="54"/>
      <c r="AC215" s="55"/>
      <c r="AD215" s="53"/>
      <c r="AE215" s="53"/>
      <c r="AF215" s="53"/>
      <c r="AG215" s="53"/>
      <c r="AH215" s="56"/>
      <c r="AI215" s="56"/>
    </row>
    <row r="216" spans="1:35" ht="15.75" customHeight="1" x14ac:dyDescent="0.25">
      <c r="A216" s="9"/>
      <c r="B216" s="20"/>
      <c r="C216" s="20"/>
      <c r="D216" s="20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  <c r="P216" s="52"/>
      <c r="Q216" s="52"/>
      <c r="R216" s="52"/>
      <c r="S216" s="52"/>
      <c r="T216" s="53"/>
      <c r="U216" s="53"/>
      <c r="V216" s="53"/>
      <c r="W216" s="52"/>
      <c r="X216" s="52"/>
      <c r="Y216" s="52"/>
      <c r="Z216" s="52"/>
      <c r="AA216" s="52"/>
      <c r="AB216" s="54"/>
      <c r="AC216" s="55"/>
      <c r="AD216" s="53"/>
      <c r="AE216" s="53"/>
      <c r="AF216" s="53"/>
      <c r="AG216" s="53"/>
      <c r="AH216" s="56"/>
      <c r="AI216" s="56"/>
    </row>
    <row r="217" spans="1:35" ht="15.75" customHeight="1" x14ac:dyDescent="0.25">
      <c r="A217" s="9"/>
      <c r="B217" s="20"/>
      <c r="C217" s="20"/>
      <c r="D217" s="20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  <c r="P217" s="52"/>
      <c r="Q217" s="52"/>
      <c r="R217" s="52"/>
      <c r="S217" s="52"/>
      <c r="T217" s="53"/>
      <c r="U217" s="53"/>
      <c r="V217" s="53"/>
      <c r="W217" s="52"/>
      <c r="X217" s="52"/>
      <c r="Y217" s="52"/>
      <c r="Z217" s="52"/>
      <c r="AA217" s="52"/>
      <c r="AB217" s="54"/>
      <c r="AC217" s="55"/>
      <c r="AD217" s="53"/>
      <c r="AE217" s="53"/>
      <c r="AF217" s="53"/>
      <c r="AG217" s="53"/>
      <c r="AH217" s="56"/>
      <c r="AI217" s="56"/>
    </row>
    <row r="218" spans="1:35" ht="15.75" customHeight="1" x14ac:dyDescent="0.25">
      <c r="A218" s="9"/>
      <c r="B218" s="20"/>
      <c r="C218" s="20"/>
      <c r="D218" s="20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  <c r="P218" s="52"/>
      <c r="Q218" s="52"/>
      <c r="R218" s="52"/>
      <c r="S218" s="52"/>
      <c r="T218" s="53"/>
      <c r="U218" s="53"/>
      <c r="V218" s="53"/>
      <c r="W218" s="52"/>
      <c r="X218" s="52"/>
      <c r="Y218" s="52"/>
      <c r="Z218" s="52"/>
      <c r="AA218" s="52"/>
      <c r="AB218" s="54"/>
      <c r="AC218" s="55"/>
      <c r="AD218" s="53"/>
      <c r="AE218" s="53"/>
      <c r="AF218" s="53"/>
      <c r="AG218" s="53"/>
      <c r="AH218" s="56"/>
      <c r="AI218" s="56"/>
    </row>
    <row r="219" spans="1:35" ht="15.75" customHeight="1" x14ac:dyDescent="0.25">
      <c r="A219" s="9"/>
      <c r="B219" s="20"/>
      <c r="C219" s="20"/>
      <c r="D219" s="20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  <c r="P219" s="52"/>
      <c r="Q219" s="52"/>
      <c r="R219" s="52"/>
      <c r="S219" s="52"/>
      <c r="T219" s="53"/>
      <c r="U219" s="53"/>
      <c r="V219" s="53"/>
      <c r="W219" s="52"/>
      <c r="X219" s="52"/>
      <c r="Y219" s="52"/>
      <c r="Z219" s="52"/>
      <c r="AA219" s="52"/>
      <c r="AB219" s="54"/>
      <c r="AC219" s="55"/>
      <c r="AD219" s="53"/>
      <c r="AE219" s="53"/>
      <c r="AF219" s="53"/>
      <c r="AG219" s="53"/>
      <c r="AH219" s="56"/>
      <c r="AI219" s="56"/>
    </row>
    <row r="220" spans="1:35" ht="15.75" customHeight="1" x14ac:dyDescent="0.25">
      <c r="A220" s="9"/>
      <c r="B220" s="20"/>
      <c r="C220" s="20"/>
      <c r="D220" s="20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  <c r="P220" s="52"/>
      <c r="Q220" s="52"/>
      <c r="R220" s="52"/>
      <c r="S220" s="52"/>
      <c r="T220" s="53"/>
      <c r="U220" s="53"/>
      <c r="V220" s="53"/>
      <c r="W220" s="52"/>
      <c r="X220" s="52"/>
      <c r="Y220" s="52"/>
      <c r="Z220" s="52"/>
      <c r="AA220" s="52"/>
      <c r="AB220" s="54"/>
      <c r="AC220" s="55"/>
      <c r="AD220" s="53"/>
      <c r="AE220" s="53"/>
      <c r="AF220" s="53"/>
      <c r="AG220" s="53"/>
      <c r="AH220" s="56"/>
      <c r="AI220" s="56"/>
    </row>
    <row r="221" spans="1:35" ht="15.75" customHeight="1" x14ac:dyDescent="0.25">
      <c r="A221" s="9"/>
      <c r="B221" s="20"/>
      <c r="C221" s="20"/>
      <c r="D221" s="20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  <c r="P221" s="52"/>
      <c r="Q221" s="52"/>
      <c r="R221" s="52"/>
      <c r="S221" s="52"/>
      <c r="T221" s="53"/>
      <c r="U221" s="53"/>
      <c r="V221" s="53"/>
      <c r="W221" s="52"/>
      <c r="X221" s="52"/>
      <c r="Y221" s="52"/>
      <c r="Z221" s="52"/>
      <c r="AA221" s="52"/>
      <c r="AB221" s="54"/>
      <c r="AC221" s="55"/>
      <c r="AD221" s="53"/>
      <c r="AE221" s="53"/>
      <c r="AF221" s="53"/>
      <c r="AG221" s="53"/>
      <c r="AH221" s="56"/>
      <c r="AI221" s="56"/>
    </row>
    <row r="222" spans="1:35" ht="15.75" customHeight="1" x14ac:dyDescent="0.25">
      <c r="A222" s="9"/>
      <c r="B222" s="20"/>
      <c r="C222" s="20"/>
      <c r="D222" s="20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  <c r="P222" s="52"/>
      <c r="Q222" s="52"/>
      <c r="R222" s="52"/>
      <c r="S222" s="52"/>
      <c r="T222" s="53"/>
      <c r="U222" s="53"/>
      <c r="V222" s="53"/>
      <c r="W222" s="52"/>
      <c r="X222" s="52"/>
      <c r="Y222" s="52"/>
      <c r="Z222" s="52"/>
      <c r="AA222" s="52"/>
      <c r="AB222" s="54"/>
      <c r="AC222" s="55"/>
      <c r="AD222" s="53"/>
      <c r="AE222" s="53"/>
      <c r="AF222" s="53"/>
      <c r="AG222" s="53"/>
      <c r="AH222" s="56"/>
      <c r="AI222" s="56"/>
    </row>
    <row r="223" spans="1:35" ht="15.75" customHeight="1" x14ac:dyDescent="0.25">
      <c r="A223" s="9"/>
      <c r="B223" s="20"/>
      <c r="C223" s="20"/>
      <c r="D223" s="20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  <c r="P223" s="52"/>
      <c r="Q223" s="52"/>
      <c r="R223" s="52"/>
      <c r="S223" s="52"/>
      <c r="T223" s="53"/>
      <c r="U223" s="53"/>
      <c r="V223" s="53"/>
      <c r="W223" s="52"/>
      <c r="X223" s="52"/>
      <c r="Y223" s="52"/>
      <c r="Z223" s="52"/>
      <c r="AA223" s="52"/>
      <c r="AB223" s="54"/>
      <c r="AC223" s="55"/>
      <c r="AD223" s="53"/>
      <c r="AE223" s="53"/>
      <c r="AF223" s="53"/>
      <c r="AG223" s="53"/>
      <c r="AH223" s="56"/>
      <c r="AI223" s="56"/>
    </row>
    <row r="224" spans="1:35" ht="15.75" customHeight="1" x14ac:dyDescent="0.25">
      <c r="A224" s="9"/>
      <c r="B224" s="20"/>
      <c r="C224" s="20"/>
      <c r="D224" s="20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  <c r="P224" s="52"/>
      <c r="Q224" s="52"/>
      <c r="R224" s="52"/>
      <c r="S224" s="52"/>
      <c r="T224" s="53"/>
      <c r="U224" s="53"/>
      <c r="V224" s="53"/>
      <c r="W224" s="52"/>
      <c r="X224" s="52"/>
      <c r="Y224" s="52"/>
      <c r="Z224" s="52"/>
      <c r="AA224" s="52"/>
      <c r="AB224" s="54"/>
      <c r="AC224" s="55"/>
      <c r="AD224" s="53"/>
      <c r="AE224" s="53"/>
      <c r="AF224" s="53"/>
      <c r="AG224" s="53"/>
      <c r="AH224" s="56"/>
      <c r="AI224" s="56"/>
    </row>
    <row r="225" spans="1:35" ht="15.75" customHeight="1" x14ac:dyDescent="0.25">
      <c r="A225" s="9"/>
      <c r="B225" s="20"/>
      <c r="C225" s="20"/>
      <c r="D225" s="20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  <c r="P225" s="52"/>
      <c r="Q225" s="52"/>
      <c r="R225" s="52"/>
      <c r="S225" s="52"/>
      <c r="T225" s="53"/>
      <c r="U225" s="53"/>
      <c r="V225" s="53"/>
      <c r="W225" s="52"/>
      <c r="X225" s="52"/>
      <c r="Y225" s="52"/>
      <c r="Z225" s="52"/>
      <c r="AA225" s="52"/>
      <c r="AB225" s="54"/>
      <c r="AC225" s="55"/>
      <c r="AD225" s="53"/>
      <c r="AE225" s="53"/>
      <c r="AF225" s="53"/>
      <c r="AG225" s="53"/>
      <c r="AH225" s="56"/>
      <c r="AI225" s="56"/>
    </row>
    <row r="226" spans="1:35" ht="15.75" customHeight="1" x14ac:dyDescent="0.25">
      <c r="A226" s="9"/>
      <c r="B226" s="20"/>
      <c r="C226" s="20"/>
      <c r="D226" s="20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  <c r="P226" s="52"/>
      <c r="Q226" s="52"/>
      <c r="R226" s="52"/>
      <c r="S226" s="52"/>
      <c r="T226" s="53"/>
      <c r="U226" s="53"/>
      <c r="V226" s="53"/>
      <c r="W226" s="52"/>
      <c r="X226" s="52"/>
      <c r="Y226" s="52"/>
      <c r="Z226" s="52"/>
      <c r="AA226" s="52"/>
      <c r="AB226" s="54"/>
      <c r="AC226" s="55"/>
      <c r="AD226" s="53"/>
      <c r="AE226" s="53"/>
      <c r="AF226" s="53"/>
      <c r="AG226" s="53"/>
      <c r="AH226" s="56"/>
      <c r="AI226" s="56"/>
    </row>
    <row r="227" spans="1:35" ht="15.75" customHeight="1" x14ac:dyDescent="0.25">
      <c r="A227" s="9"/>
      <c r="B227" s="20"/>
      <c r="C227" s="20"/>
      <c r="D227" s="20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  <c r="P227" s="52"/>
      <c r="Q227" s="52"/>
      <c r="R227" s="52"/>
      <c r="S227" s="52"/>
      <c r="T227" s="53"/>
      <c r="U227" s="53"/>
      <c r="V227" s="53"/>
      <c r="W227" s="52"/>
      <c r="X227" s="52"/>
      <c r="Y227" s="52"/>
      <c r="Z227" s="52"/>
      <c r="AA227" s="52"/>
      <c r="AB227" s="54"/>
      <c r="AC227" s="55"/>
      <c r="AD227" s="53"/>
      <c r="AE227" s="53"/>
      <c r="AF227" s="53"/>
      <c r="AG227" s="53"/>
      <c r="AH227" s="56"/>
      <c r="AI227" s="56"/>
    </row>
    <row r="228" spans="1:35" ht="15.75" customHeight="1" x14ac:dyDescent="0.25">
      <c r="A228" s="9"/>
      <c r="B228" s="20"/>
      <c r="C228" s="20"/>
      <c r="D228" s="20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  <c r="P228" s="52"/>
      <c r="Q228" s="52"/>
      <c r="R228" s="52"/>
      <c r="S228" s="52"/>
      <c r="T228" s="53"/>
      <c r="U228" s="53"/>
      <c r="V228" s="53"/>
      <c r="W228" s="52"/>
      <c r="X228" s="52"/>
      <c r="Y228" s="52"/>
      <c r="Z228" s="52"/>
      <c r="AA228" s="52"/>
      <c r="AB228" s="54"/>
      <c r="AC228" s="55"/>
      <c r="AD228" s="53"/>
      <c r="AE228" s="53"/>
      <c r="AF228" s="53"/>
      <c r="AG228" s="53"/>
      <c r="AH228" s="56"/>
      <c r="AI228" s="56"/>
    </row>
    <row r="229" spans="1:35" ht="15.75" customHeight="1" x14ac:dyDescent="0.25">
      <c r="A229" s="9"/>
      <c r="B229" s="20"/>
      <c r="C229" s="20"/>
      <c r="D229" s="20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  <c r="P229" s="52"/>
      <c r="Q229" s="52"/>
      <c r="R229" s="52"/>
      <c r="S229" s="52"/>
      <c r="T229" s="53"/>
      <c r="U229" s="53"/>
      <c r="V229" s="53"/>
      <c r="W229" s="52"/>
      <c r="X229" s="52"/>
      <c r="Y229" s="52"/>
      <c r="Z229" s="52"/>
      <c r="AA229" s="52"/>
      <c r="AB229" s="54"/>
      <c r="AC229" s="55"/>
      <c r="AD229" s="53"/>
      <c r="AE229" s="53"/>
      <c r="AF229" s="53"/>
      <c r="AG229" s="53"/>
      <c r="AH229" s="56"/>
      <c r="AI229" s="56"/>
    </row>
    <row r="230" spans="1:35" ht="15.75" customHeight="1" x14ac:dyDescent="0.25">
      <c r="A230" s="9"/>
      <c r="B230" s="20"/>
      <c r="C230" s="20"/>
      <c r="D230" s="20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  <c r="P230" s="52"/>
      <c r="Q230" s="52"/>
      <c r="R230" s="52"/>
      <c r="S230" s="52"/>
      <c r="T230" s="53"/>
      <c r="U230" s="53"/>
      <c r="V230" s="53"/>
      <c r="W230" s="52"/>
      <c r="X230" s="52"/>
      <c r="Y230" s="52"/>
      <c r="Z230" s="52"/>
      <c r="AA230" s="52"/>
      <c r="AB230" s="54"/>
      <c r="AC230" s="55"/>
      <c r="AD230" s="53"/>
      <c r="AE230" s="53"/>
      <c r="AF230" s="53"/>
      <c r="AG230" s="53"/>
      <c r="AH230" s="56"/>
      <c r="AI230" s="56"/>
    </row>
    <row r="231" spans="1:35" ht="15.75" customHeight="1" x14ac:dyDescent="0.25">
      <c r="A231" s="9"/>
      <c r="B231" s="20"/>
      <c r="C231" s="20"/>
      <c r="D231" s="20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  <c r="P231" s="52"/>
      <c r="Q231" s="52"/>
      <c r="R231" s="52"/>
      <c r="S231" s="52"/>
      <c r="T231" s="53"/>
      <c r="U231" s="53"/>
      <c r="V231" s="53"/>
      <c r="W231" s="52"/>
      <c r="X231" s="52"/>
      <c r="Y231" s="52"/>
      <c r="Z231" s="52"/>
      <c r="AA231" s="52"/>
      <c r="AB231" s="54"/>
      <c r="AC231" s="55"/>
      <c r="AD231" s="53"/>
      <c r="AE231" s="53"/>
      <c r="AF231" s="53"/>
      <c r="AG231" s="53"/>
      <c r="AH231" s="56"/>
      <c r="AI231" s="56"/>
    </row>
    <row r="232" spans="1:35" ht="15.75" customHeight="1" x14ac:dyDescent="0.25">
      <c r="A232" s="9"/>
      <c r="B232" s="20"/>
      <c r="C232" s="20"/>
      <c r="D232" s="20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  <c r="P232" s="52"/>
      <c r="Q232" s="52"/>
      <c r="R232" s="52"/>
      <c r="S232" s="52"/>
      <c r="T232" s="53"/>
      <c r="U232" s="53"/>
      <c r="V232" s="53"/>
      <c r="W232" s="52"/>
      <c r="X232" s="52"/>
      <c r="Y232" s="52"/>
      <c r="Z232" s="52"/>
      <c r="AA232" s="52"/>
      <c r="AB232" s="54"/>
      <c r="AC232" s="55"/>
      <c r="AD232" s="53"/>
      <c r="AE232" s="53"/>
      <c r="AF232" s="53"/>
      <c r="AG232" s="53"/>
      <c r="AH232" s="56"/>
      <c r="AI232" s="56"/>
    </row>
    <row r="233" spans="1:35" ht="15.75" customHeight="1" x14ac:dyDescent="0.25">
      <c r="A233" s="9"/>
      <c r="B233" s="20"/>
      <c r="C233" s="20"/>
      <c r="D233" s="20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  <c r="P233" s="52"/>
      <c r="Q233" s="52"/>
      <c r="R233" s="52"/>
      <c r="S233" s="52"/>
      <c r="T233" s="53"/>
      <c r="U233" s="53"/>
      <c r="V233" s="53"/>
      <c r="W233" s="52"/>
      <c r="X233" s="52"/>
      <c r="Y233" s="52"/>
      <c r="Z233" s="52"/>
      <c r="AA233" s="52"/>
      <c r="AB233" s="54"/>
      <c r="AC233" s="55"/>
      <c r="AD233" s="53"/>
      <c r="AE233" s="53"/>
      <c r="AF233" s="53"/>
      <c r="AG233" s="53"/>
      <c r="AH233" s="56"/>
      <c r="AI233" s="56"/>
    </row>
    <row r="234" spans="1:35" ht="15.75" customHeight="1" x14ac:dyDescent="0.25">
      <c r="A234" s="9"/>
      <c r="B234" s="20"/>
      <c r="C234" s="20"/>
      <c r="D234" s="20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  <c r="P234" s="52"/>
      <c r="Q234" s="52"/>
      <c r="R234" s="52"/>
      <c r="S234" s="52"/>
      <c r="T234" s="53"/>
      <c r="U234" s="53"/>
      <c r="V234" s="53"/>
      <c r="W234" s="52"/>
      <c r="X234" s="52"/>
      <c r="Y234" s="52"/>
      <c r="Z234" s="52"/>
      <c r="AA234" s="52"/>
      <c r="AB234" s="54"/>
      <c r="AC234" s="55"/>
      <c r="AD234" s="53"/>
      <c r="AE234" s="53"/>
      <c r="AF234" s="53"/>
      <c r="AG234" s="53"/>
      <c r="AH234" s="56"/>
      <c r="AI234" s="56"/>
    </row>
    <row r="235" spans="1:35" ht="15.75" customHeight="1" x14ac:dyDescent="0.25">
      <c r="A235" s="9"/>
      <c r="B235" s="20"/>
      <c r="C235" s="20"/>
      <c r="D235" s="20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  <c r="P235" s="52"/>
      <c r="Q235" s="52"/>
      <c r="R235" s="52"/>
      <c r="S235" s="52"/>
      <c r="T235" s="53"/>
      <c r="U235" s="53"/>
      <c r="V235" s="53"/>
      <c r="W235" s="52"/>
      <c r="X235" s="52"/>
      <c r="Y235" s="52"/>
      <c r="Z235" s="52"/>
      <c r="AA235" s="52"/>
      <c r="AB235" s="54"/>
      <c r="AC235" s="55"/>
      <c r="AD235" s="53"/>
      <c r="AE235" s="53"/>
      <c r="AF235" s="53"/>
      <c r="AG235" s="53"/>
      <c r="AH235" s="56"/>
      <c r="AI235" s="56"/>
    </row>
    <row r="236" spans="1:35" ht="15.75" customHeight="1" x14ac:dyDescent="0.25">
      <c r="A236" s="9"/>
      <c r="B236" s="20"/>
      <c r="C236" s="20"/>
      <c r="D236" s="20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  <c r="P236" s="52"/>
      <c r="Q236" s="52"/>
      <c r="R236" s="52"/>
      <c r="S236" s="52"/>
      <c r="T236" s="53"/>
      <c r="U236" s="53"/>
      <c r="V236" s="53"/>
      <c r="W236" s="52"/>
      <c r="X236" s="52"/>
      <c r="Y236" s="52"/>
      <c r="Z236" s="52"/>
      <c r="AA236" s="52"/>
      <c r="AB236" s="54"/>
      <c r="AC236" s="55"/>
      <c r="AD236" s="53"/>
      <c r="AE236" s="53"/>
      <c r="AF236" s="53"/>
      <c r="AG236" s="53"/>
      <c r="AH236" s="56"/>
      <c r="AI236" s="56"/>
    </row>
    <row r="237" spans="1:35" ht="15.75" customHeight="1" x14ac:dyDescent="0.25">
      <c r="A237" s="9"/>
      <c r="B237" s="20"/>
      <c r="C237" s="20"/>
      <c r="D237" s="20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  <c r="P237" s="52"/>
      <c r="Q237" s="52"/>
      <c r="R237" s="52"/>
      <c r="S237" s="52"/>
      <c r="T237" s="53"/>
      <c r="U237" s="53"/>
      <c r="V237" s="53"/>
      <c r="W237" s="52"/>
      <c r="X237" s="52"/>
      <c r="Y237" s="52"/>
      <c r="Z237" s="52"/>
      <c r="AA237" s="52"/>
      <c r="AB237" s="54"/>
      <c r="AC237" s="55"/>
      <c r="AD237" s="53"/>
      <c r="AE237" s="53"/>
      <c r="AF237" s="53"/>
      <c r="AG237" s="53"/>
      <c r="AH237" s="56"/>
      <c r="AI237" s="56"/>
    </row>
    <row r="238" spans="1:35" ht="15.75" customHeight="1" x14ac:dyDescent="0.25">
      <c r="A238" s="9"/>
      <c r="B238" s="20"/>
      <c r="C238" s="20"/>
      <c r="D238" s="20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  <c r="P238" s="52"/>
      <c r="Q238" s="52"/>
      <c r="R238" s="52"/>
      <c r="S238" s="52"/>
      <c r="T238" s="53"/>
      <c r="U238" s="53"/>
      <c r="V238" s="53"/>
      <c r="W238" s="52"/>
      <c r="X238" s="52"/>
      <c r="Y238" s="52"/>
      <c r="Z238" s="52"/>
      <c r="AA238" s="52"/>
      <c r="AB238" s="54"/>
      <c r="AC238" s="55"/>
      <c r="AD238" s="53"/>
      <c r="AE238" s="53"/>
      <c r="AF238" s="53"/>
      <c r="AG238" s="53"/>
      <c r="AH238" s="56"/>
      <c r="AI238" s="56"/>
    </row>
    <row r="239" spans="1:35" ht="15.75" customHeight="1" x14ac:dyDescent="0.25">
      <c r="A239" s="9"/>
      <c r="B239" s="20"/>
      <c r="C239" s="20"/>
      <c r="D239" s="20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  <c r="P239" s="52"/>
      <c r="Q239" s="52"/>
      <c r="R239" s="52"/>
      <c r="S239" s="52"/>
      <c r="T239" s="53"/>
      <c r="U239" s="53"/>
      <c r="V239" s="53"/>
      <c r="W239" s="52"/>
      <c r="X239" s="52"/>
      <c r="Y239" s="52"/>
      <c r="Z239" s="52"/>
      <c r="AA239" s="52"/>
      <c r="AB239" s="54"/>
      <c r="AC239" s="55"/>
      <c r="AD239" s="53"/>
      <c r="AE239" s="53"/>
      <c r="AF239" s="53"/>
      <c r="AG239" s="53"/>
      <c r="AH239" s="56"/>
      <c r="AI239" s="56"/>
    </row>
    <row r="240" spans="1:35" ht="15.75" customHeight="1" x14ac:dyDescent="0.25">
      <c r="A240" s="9"/>
      <c r="B240" s="9"/>
      <c r="C240" s="9"/>
      <c r="D240" s="9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6"/>
      <c r="P240" s="57"/>
      <c r="Q240" s="57"/>
      <c r="R240" s="57"/>
      <c r="S240" s="57"/>
      <c r="T240" s="56"/>
      <c r="U240" s="56"/>
      <c r="V240" s="56"/>
      <c r="W240" s="57"/>
      <c r="X240" s="57"/>
      <c r="Y240" s="57"/>
      <c r="Z240" s="57"/>
      <c r="AA240" s="57"/>
      <c r="AB240" s="56"/>
      <c r="AC240" s="58"/>
      <c r="AD240" s="56"/>
      <c r="AE240" s="56"/>
      <c r="AF240" s="56"/>
      <c r="AG240" s="56"/>
      <c r="AH240" s="56"/>
      <c r="AI240" s="56"/>
    </row>
    <row r="241" spans="1:35" ht="15.75" customHeight="1" x14ac:dyDescent="0.25">
      <c r="A241" s="9"/>
      <c r="B241" s="9"/>
      <c r="C241" s="9"/>
      <c r="D241" s="9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6"/>
      <c r="P241" s="57"/>
      <c r="Q241" s="57"/>
      <c r="R241" s="57"/>
      <c r="S241" s="57"/>
      <c r="T241" s="56"/>
      <c r="U241" s="56"/>
      <c r="V241" s="56"/>
      <c r="W241" s="57"/>
      <c r="X241" s="57"/>
      <c r="Y241" s="57"/>
      <c r="Z241" s="57"/>
      <c r="AA241" s="57"/>
      <c r="AB241" s="56"/>
      <c r="AC241" s="58"/>
      <c r="AD241" s="56"/>
      <c r="AE241" s="56"/>
      <c r="AF241" s="56"/>
      <c r="AG241" s="56"/>
      <c r="AH241" s="56"/>
      <c r="AI241" s="56"/>
    </row>
    <row r="242" spans="1:35" ht="15.75" customHeight="1" x14ac:dyDescent="0.25">
      <c r="A242" s="9"/>
      <c r="B242" s="9"/>
      <c r="C242" s="9"/>
      <c r="D242" s="9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6"/>
      <c r="P242" s="57"/>
      <c r="Q242" s="57"/>
      <c r="R242" s="57"/>
      <c r="S242" s="57"/>
      <c r="T242" s="56"/>
      <c r="U242" s="56"/>
      <c r="V242" s="56"/>
      <c r="W242" s="57"/>
      <c r="X242" s="57"/>
      <c r="Y242" s="57"/>
      <c r="Z242" s="57"/>
      <c r="AA242" s="57"/>
      <c r="AB242" s="56"/>
      <c r="AC242" s="58"/>
      <c r="AD242" s="56"/>
      <c r="AE242" s="56"/>
      <c r="AF242" s="56"/>
      <c r="AG242" s="56"/>
      <c r="AH242" s="56"/>
      <c r="AI242" s="56"/>
    </row>
    <row r="243" spans="1:35" ht="15.75" customHeight="1" x14ac:dyDescent="0.25">
      <c r="A243" s="9"/>
      <c r="B243" s="9"/>
      <c r="C243" s="9"/>
      <c r="D243" s="9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6"/>
      <c r="P243" s="57"/>
      <c r="Q243" s="57"/>
      <c r="R243" s="57"/>
      <c r="S243" s="57"/>
      <c r="T243" s="56"/>
      <c r="U243" s="56"/>
      <c r="V243" s="56"/>
      <c r="W243" s="57"/>
      <c r="X243" s="57"/>
      <c r="Y243" s="57"/>
      <c r="Z243" s="57"/>
      <c r="AA243" s="57"/>
      <c r="AB243" s="56"/>
      <c r="AC243" s="58"/>
      <c r="AD243" s="56"/>
      <c r="AE243" s="56"/>
      <c r="AF243" s="56"/>
      <c r="AG243" s="56"/>
      <c r="AH243" s="56"/>
      <c r="AI243" s="56"/>
    </row>
    <row r="244" spans="1:35" ht="15.75" customHeight="1" x14ac:dyDescent="0.25">
      <c r="A244" s="9"/>
      <c r="B244" s="9"/>
      <c r="C244" s="9"/>
      <c r="D244" s="9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6"/>
      <c r="P244" s="57"/>
      <c r="Q244" s="57"/>
      <c r="R244" s="57"/>
      <c r="S244" s="57"/>
      <c r="T244" s="56"/>
      <c r="U244" s="56"/>
      <c r="V244" s="56"/>
      <c r="W244" s="57"/>
      <c r="X244" s="57"/>
      <c r="Y244" s="57"/>
      <c r="Z244" s="57"/>
      <c r="AA244" s="57"/>
      <c r="AB244" s="56"/>
      <c r="AC244" s="58"/>
      <c r="AD244" s="56"/>
      <c r="AE244" s="56"/>
      <c r="AF244" s="56"/>
      <c r="AG244" s="56"/>
      <c r="AH244" s="56"/>
      <c r="AI244" s="56"/>
    </row>
    <row r="245" spans="1:35" ht="15.75" customHeight="1" x14ac:dyDescent="0.25">
      <c r="A245" s="9"/>
      <c r="B245" s="9"/>
      <c r="C245" s="9"/>
      <c r="D245" s="9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6"/>
      <c r="P245" s="57"/>
      <c r="Q245" s="57"/>
      <c r="R245" s="57"/>
      <c r="S245" s="57"/>
      <c r="T245" s="56"/>
      <c r="U245" s="56"/>
      <c r="V245" s="56"/>
      <c r="W245" s="57"/>
      <c r="X245" s="57"/>
      <c r="Y245" s="57"/>
      <c r="Z245" s="57"/>
      <c r="AA245" s="57"/>
      <c r="AB245" s="56"/>
      <c r="AC245" s="58"/>
      <c r="AD245" s="56"/>
      <c r="AE245" s="56"/>
      <c r="AF245" s="56"/>
      <c r="AG245" s="56"/>
      <c r="AH245" s="56"/>
      <c r="AI245" s="56"/>
    </row>
    <row r="246" spans="1:35" ht="15.75" customHeight="1" x14ac:dyDescent="0.25">
      <c r="A246" s="9"/>
      <c r="B246" s="9"/>
      <c r="C246" s="9"/>
      <c r="D246" s="9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6"/>
      <c r="P246" s="57"/>
      <c r="Q246" s="57"/>
      <c r="R246" s="57"/>
      <c r="S246" s="57"/>
      <c r="T246" s="56"/>
      <c r="U246" s="56"/>
      <c r="V246" s="56"/>
      <c r="W246" s="57"/>
      <c r="X246" s="57"/>
      <c r="Y246" s="57"/>
      <c r="Z246" s="57"/>
      <c r="AA246" s="57"/>
      <c r="AB246" s="56"/>
      <c r="AC246" s="58"/>
      <c r="AD246" s="56"/>
      <c r="AE246" s="56"/>
      <c r="AF246" s="56"/>
      <c r="AG246" s="56"/>
      <c r="AH246" s="56"/>
      <c r="AI246" s="56"/>
    </row>
    <row r="247" spans="1:35" ht="15.75" customHeight="1" x14ac:dyDescent="0.25">
      <c r="A247" s="9"/>
      <c r="B247" s="9"/>
      <c r="C247" s="9"/>
      <c r="D247" s="9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6"/>
      <c r="P247" s="57"/>
      <c r="Q247" s="57"/>
      <c r="R247" s="57"/>
      <c r="S247" s="57"/>
      <c r="T247" s="56"/>
      <c r="U247" s="56"/>
      <c r="V247" s="56"/>
      <c r="W247" s="57"/>
      <c r="X247" s="57"/>
      <c r="Y247" s="57"/>
      <c r="Z247" s="57"/>
      <c r="AA247" s="57"/>
      <c r="AB247" s="56"/>
      <c r="AC247" s="58"/>
      <c r="AD247" s="56"/>
      <c r="AE247" s="56"/>
      <c r="AF247" s="56"/>
      <c r="AG247" s="56"/>
      <c r="AH247" s="56"/>
      <c r="AI247" s="56"/>
    </row>
    <row r="248" spans="1:35" ht="15.75" customHeight="1" x14ac:dyDescent="0.25">
      <c r="A248" s="9"/>
      <c r="B248" s="9"/>
      <c r="C248" s="9"/>
      <c r="D248" s="9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6"/>
      <c r="P248" s="57"/>
      <c r="Q248" s="57"/>
      <c r="R248" s="57"/>
      <c r="S248" s="57"/>
      <c r="T248" s="56"/>
      <c r="U248" s="56"/>
      <c r="V248" s="56"/>
      <c r="W248" s="57"/>
      <c r="X248" s="57"/>
      <c r="Y248" s="57"/>
      <c r="Z248" s="57"/>
      <c r="AA248" s="57"/>
      <c r="AB248" s="56"/>
      <c r="AC248" s="58"/>
      <c r="AD248" s="56"/>
      <c r="AE248" s="56"/>
      <c r="AF248" s="56"/>
      <c r="AG248" s="56"/>
      <c r="AH248" s="56"/>
      <c r="AI248" s="56"/>
    </row>
    <row r="249" spans="1:35" ht="15.75" customHeight="1" x14ac:dyDescent="0.25">
      <c r="A249" s="9"/>
      <c r="B249" s="9"/>
      <c r="C249" s="9"/>
      <c r="D249" s="9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6"/>
      <c r="P249" s="57"/>
      <c r="Q249" s="57"/>
      <c r="R249" s="57"/>
      <c r="S249" s="57"/>
      <c r="T249" s="56"/>
      <c r="U249" s="56"/>
      <c r="V249" s="56"/>
      <c r="W249" s="57"/>
      <c r="X249" s="57"/>
      <c r="Y249" s="57"/>
      <c r="Z249" s="57"/>
      <c r="AA249" s="57"/>
      <c r="AB249" s="56"/>
      <c r="AC249" s="58"/>
      <c r="AD249" s="56"/>
      <c r="AE249" s="56"/>
      <c r="AF249" s="56"/>
      <c r="AG249" s="56"/>
      <c r="AH249" s="56"/>
      <c r="AI249" s="56"/>
    </row>
    <row r="250" spans="1:35" ht="15.75" customHeight="1" x14ac:dyDescent="0.25">
      <c r="A250" s="9"/>
      <c r="B250" s="9"/>
      <c r="C250" s="9"/>
      <c r="D250" s="9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6"/>
      <c r="P250" s="57"/>
      <c r="Q250" s="57"/>
      <c r="R250" s="57"/>
      <c r="S250" s="57"/>
      <c r="T250" s="56"/>
      <c r="U250" s="56"/>
      <c r="V250" s="56"/>
      <c r="W250" s="57"/>
      <c r="X250" s="57"/>
      <c r="Y250" s="57"/>
      <c r="Z250" s="57"/>
      <c r="AA250" s="57"/>
      <c r="AB250" s="56"/>
      <c r="AC250" s="58"/>
      <c r="AD250" s="56"/>
      <c r="AE250" s="56"/>
      <c r="AF250" s="56"/>
      <c r="AG250" s="56"/>
      <c r="AH250" s="56"/>
      <c r="AI250" s="56"/>
    </row>
    <row r="251" spans="1:35" ht="15.75" customHeight="1" x14ac:dyDescent="0.25">
      <c r="A251" s="9"/>
      <c r="B251" s="9"/>
      <c r="C251" s="9"/>
      <c r="D251" s="9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6"/>
      <c r="P251" s="57"/>
      <c r="Q251" s="57"/>
      <c r="R251" s="57"/>
      <c r="S251" s="57"/>
      <c r="T251" s="56"/>
      <c r="U251" s="56"/>
      <c r="V251" s="56"/>
      <c r="W251" s="57"/>
      <c r="X251" s="57"/>
      <c r="Y251" s="57"/>
      <c r="Z251" s="57"/>
      <c r="AA251" s="57"/>
      <c r="AB251" s="56"/>
      <c r="AC251" s="58"/>
      <c r="AD251" s="56"/>
      <c r="AE251" s="56"/>
      <c r="AF251" s="56"/>
      <c r="AG251" s="56"/>
      <c r="AH251" s="56"/>
      <c r="AI251" s="56"/>
    </row>
    <row r="252" spans="1:35" ht="15.75" customHeight="1" x14ac:dyDescent="0.25">
      <c r="A252" s="9"/>
      <c r="B252" s="9"/>
      <c r="C252" s="9"/>
      <c r="D252" s="9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6"/>
      <c r="P252" s="57"/>
      <c r="Q252" s="57"/>
      <c r="R252" s="57"/>
      <c r="S252" s="57"/>
      <c r="T252" s="56"/>
      <c r="U252" s="56"/>
      <c r="V252" s="56"/>
      <c r="W252" s="57"/>
      <c r="X252" s="57"/>
      <c r="Y252" s="57"/>
      <c r="Z252" s="57"/>
      <c r="AA252" s="57"/>
      <c r="AB252" s="56"/>
      <c r="AC252" s="58"/>
      <c r="AD252" s="56"/>
      <c r="AE252" s="56"/>
      <c r="AF252" s="56"/>
      <c r="AG252" s="56"/>
      <c r="AH252" s="56"/>
      <c r="AI252" s="56"/>
    </row>
    <row r="253" spans="1:35" ht="15.75" customHeight="1" x14ac:dyDescent="0.25">
      <c r="A253" s="9"/>
      <c r="B253" s="9"/>
      <c r="C253" s="9"/>
      <c r="D253" s="9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6"/>
      <c r="P253" s="57"/>
      <c r="Q253" s="57"/>
      <c r="R253" s="57"/>
      <c r="S253" s="57"/>
      <c r="T253" s="56"/>
      <c r="U253" s="56"/>
      <c r="V253" s="56"/>
      <c r="W253" s="57"/>
      <c r="X253" s="57"/>
      <c r="Y253" s="57"/>
      <c r="Z253" s="57"/>
      <c r="AA253" s="57"/>
      <c r="AB253" s="56"/>
      <c r="AC253" s="58"/>
      <c r="AD253" s="56"/>
      <c r="AE253" s="56"/>
      <c r="AF253" s="56"/>
      <c r="AG253" s="56"/>
      <c r="AH253" s="56"/>
      <c r="AI253" s="56"/>
    </row>
    <row r="254" spans="1:35" ht="15.75" customHeight="1" x14ac:dyDescent="0.25">
      <c r="A254" s="9"/>
      <c r="B254" s="9"/>
      <c r="C254" s="9"/>
      <c r="D254" s="9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6"/>
      <c r="P254" s="57"/>
      <c r="Q254" s="57"/>
      <c r="R254" s="57"/>
      <c r="S254" s="57"/>
      <c r="T254" s="56"/>
      <c r="U254" s="56"/>
      <c r="V254" s="56"/>
      <c r="W254" s="57"/>
      <c r="X254" s="57"/>
      <c r="Y254" s="57"/>
      <c r="Z254" s="57"/>
      <c r="AA254" s="57"/>
      <c r="AB254" s="56"/>
      <c r="AC254" s="58"/>
      <c r="AD254" s="56"/>
      <c r="AE254" s="56"/>
      <c r="AF254" s="56"/>
      <c r="AG254" s="56"/>
      <c r="AH254" s="56"/>
      <c r="AI254" s="56"/>
    </row>
    <row r="255" spans="1:35" ht="15.75" customHeight="1" x14ac:dyDescent="0.25">
      <c r="A255" s="9"/>
      <c r="B255" s="9"/>
      <c r="C255" s="9"/>
      <c r="D255" s="9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6"/>
      <c r="P255" s="57"/>
      <c r="Q255" s="57"/>
      <c r="R255" s="57"/>
      <c r="S255" s="57"/>
      <c r="T255" s="56"/>
      <c r="U255" s="56"/>
      <c r="V255" s="56"/>
      <c r="W255" s="57"/>
      <c r="X255" s="57"/>
      <c r="Y255" s="57"/>
      <c r="Z255" s="57"/>
      <c r="AA255" s="57"/>
      <c r="AB255" s="56"/>
      <c r="AC255" s="58"/>
      <c r="AD255" s="56"/>
      <c r="AE255" s="56"/>
      <c r="AF255" s="56"/>
      <c r="AG255" s="56"/>
      <c r="AH255" s="56"/>
      <c r="AI255" s="56"/>
    </row>
    <row r="256" spans="1:35" ht="15.75" customHeight="1" x14ac:dyDescent="0.25">
      <c r="A256" s="9"/>
      <c r="B256" s="9"/>
      <c r="C256" s="9"/>
      <c r="D256" s="9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6"/>
      <c r="P256" s="57"/>
      <c r="Q256" s="57"/>
      <c r="R256" s="57"/>
      <c r="S256" s="57"/>
      <c r="T256" s="56"/>
      <c r="U256" s="56"/>
      <c r="V256" s="56"/>
      <c r="W256" s="57"/>
      <c r="X256" s="57"/>
      <c r="Y256" s="57"/>
      <c r="Z256" s="57"/>
      <c r="AA256" s="57"/>
      <c r="AB256" s="56"/>
      <c r="AC256" s="58"/>
      <c r="AD256" s="56"/>
      <c r="AE256" s="56"/>
      <c r="AF256" s="56"/>
      <c r="AG256" s="56"/>
      <c r="AH256" s="56"/>
      <c r="AI256" s="56"/>
    </row>
    <row r="257" spans="1:35" ht="15.75" customHeight="1" x14ac:dyDescent="0.25">
      <c r="A257" s="9"/>
      <c r="B257" s="9"/>
      <c r="C257" s="9"/>
      <c r="D257" s="9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6"/>
      <c r="P257" s="57"/>
      <c r="Q257" s="57"/>
      <c r="R257" s="57"/>
      <c r="S257" s="57"/>
      <c r="T257" s="56"/>
      <c r="U257" s="56"/>
      <c r="V257" s="56"/>
      <c r="W257" s="57"/>
      <c r="X257" s="57"/>
      <c r="Y257" s="57"/>
      <c r="Z257" s="57"/>
      <c r="AA257" s="57"/>
      <c r="AB257" s="56"/>
      <c r="AC257" s="58"/>
      <c r="AD257" s="56"/>
      <c r="AE257" s="56"/>
      <c r="AF257" s="56"/>
      <c r="AG257" s="56"/>
      <c r="AH257" s="56"/>
      <c r="AI257" s="56"/>
    </row>
    <row r="258" spans="1:35" ht="15.75" customHeight="1" x14ac:dyDescent="0.25">
      <c r="A258" s="9"/>
      <c r="B258" s="9"/>
      <c r="C258" s="9"/>
      <c r="D258" s="9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6"/>
      <c r="P258" s="57"/>
      <c r="Q258" s="57"/>
      <c r="R258" s="57"/>
      <c r="S258" s="57"/>
      <c r="T258" s="56"/>
      <c r="U258" s="56"/>
      <c r="V258" s="56"/>
      <c r="W258" s="57"/>
      <c r="X258" s="57"/>
      <c r="Y258" s="57"/>
      <c r="Z258" s="57"/>
      <c r="AA258" s="57"/>
      <c r="AB258" s="56"/>
      <c r="AC258" s="58"/>
      <c r="AD258" s="56"/>
      <c r="AE258" s="56"/>
      <c r="AF258" s="56"/>
      <c r="AG258" s="56"/>
      <c r="AH258" s="56"/>
      <c r="AI258" s="56"/>
    </row>
    <row r="259" spans="1:35" ht="15.75" customHeight="1" x14ac:dyDescent="0.25"/>
    <row r="260" spans="1:35" ht="15.75" customHeight="1" x14ac:dyDescent="0.25"/>
    <row r="261" spans="1:35" ht="15.75" customHeight="1" x14ac:dyDescent="0.25"/>
    <row r="262" spans="1:35" ht="15.75" customHeight="1" x14ac:dyDescent="0.25"/>
    <row r="263" spans="1:35" ht="15.75" customHeight="1" x14ac:dyDescent="0.25"/>
    <row r="264" spans="1:35" ht="15.75" customHeight="1" x14ac:dyDescent="0.25"/>
    <row r="265" spans="1:35" ht="15.75" customHeight="1" x14ac:dyDescent="0.25"/>
    <row r="266" spans="1:35" ht="15.75" customHeight="1" x14ac:dyDescent="0.25"/>
    <row r="267" spans="1:35" ht="15.75" customHeight="1" x14ac:dyDescent="0.25"/>
    <row r="268" spans="1:35" ht="15.75" customHeight="1" x14ac:dyDescent="0.25"/>
    <row r="269" spans="1:35" ht="15.75" customHeight="1" x14ac:dyDescent="0.25"/>
    <row r="270" spans="1:35" ht="15.75" customHeight="1" x14ac:dyDescent="0.25"/>
    <row r="271" spans="1:35" ht="15.75" customHeight="1" x14ac:dyDescent="0.25"/>
    <row r="272" spans="1:35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AI58">
    <sortCondition ref="B2:B58"/>
  </sortState>
  <printOptions horizontalCentered="1" gridLines="1"/>
  <pageMargins left="0.70866141732283505" right="0.70866141732283505" top="0.74803149606299202" bottom="0.74803149606299202" header="0" footer="0"/>
  <pageSetup paperSize="9" fitToHeight="0" orientation="landscape"/>
  <headerFooter>
    <oddHeader>&amp;L&amp;D&amp;CLIST OF STUDENTS PAYMENT STATUS&amp;R&amp;T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17" customWidth="1"/>
    <col min="2" max="2" width="14" customWidth="1"/>
    <col min="3" max="3" width="61.7109375" customWidth="1"/>
    <col min="4" max="4" width="16.5703125" customWidth="1"/>
    <col min="5" max="5" width="37.5703125" customWidth="1"/>
    <col min="6" max="6" width="16.7109375" customWidth="1"/>
    <col min="7" max="7" width="9" customWidth="1"/>
    <col min="8" max="8" width="15.140625" customWidth="1"/>
  </cols>
  <sheetData>
    <row r="1" spans="1:26" x14ac:dyDescent="0.25">
      <c r="A1" s="59" t="s">
        <v>247</v>
      </c>
      <c r="B1" s="60" t="s">
        <v>248</v>
      </c>
      <c r="C1" s="61" t="s">
        <v>249</v>
      </c>
      <c r="D1" s="62" t="s">
        <v>250</v>
      </c>
      <c r="E1" s="60" t="s">
        <v>251</v>
      </c>
      <c r="F1" s="60" t="s">
        <v>252</v>
      </c>
      <c r="G1" s="63"/>
      <c r="H1" s="64">
        <f>SUM(D2:D1000)</f>
        <v>2877740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x14ac:dyDescent="0.25">
      <c r="A2" s="65" t="s">
        <v>253</v>
      </c>
      <c r="B2" s="66" t="s">
        <v>254</v>
      </c>
      <c r="C2" s="66" t="s">
        <v>255</v>
      </c>
      <c r="D2" s="67">
        <v>45000</v>
      </c>
      <c r="E2" s="48" t="s">
        <v>256</v>
      </c>
      <c r="F2" s="48" t="s">
        <v>257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65" t="s">
        <v>258</v>
      </c>
      <c r="B3" s="66" t="s">
        <v>259</v>
      </c>
      <c r="C3" s="66" t="s">
        <v>260</v>
      </c>
      <c r="D3" s="67">
        <v>50000</v>
      </c>
      <c r="E3" s="48" t="s">
        <v>261</v>
      </c>
      <c r="F3" s="48" t="s">
        <v>257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65" t="s">
        <v>262</v>
      </c>
      <c r="B4" s="66" t="s">
        <v>263</v>
      </c>
      <c r="C4" s="66" t="s">
        <v>264</v>
      </c>
      <c r="D4" s="67">
        <v>50000</v>
      </c>
      <c r="E4" s="48" t="s">
        <v>265</v>
      </c>
      <c r="F4" s="48" t="s">
        <v>257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65" t="s">
        <v>266</v>
      </c>
      <c r="B5" s="66" t="s">
        <v>267</v>
      </c>
      <c r="C5" s="66" t="s">
        <v>268</v>
      </c>
      <c r="D5" s="67">
        <v>60000</v>
      </c>
      <c r="E5" s="48" t="s">
        <v>269</v>
      </c>
      <c r="F5" s="48" t="s">
        <v>257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65" t="s">
        <v>270</v>
      </c>
      <c r="B6" s="66" t="s">
        <v>271</v>
      </c>
      <c r="C6" s="66" t="s">
        <v>268</v>
      </c>
      <c r="D6" s="67">
        <v>30000</v>
      </c>
      <c r="E6" s="48" t="s">
        <v>269</v>
      </c>
      <c r="F6" s="48" t="s">
        <v>257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65" t="s">
        <v>272</v>
      </c>
      <c r="B7" s="66" t="s">
        <v>273</v>
      </c>
      <c r="C7" s="66" t="s">
        <v>274</v>
      </c>
      <c r="D7" s="67">
        <v>20000</v>
      </c>
      <c r="E7" s="48" t="s">
        <v>275</v>
      </c>
      <c r="F7" s="48" t="s">
        <v>257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65" t="s">
        <v>272</v>
      </c>
      <c r="B8" s="66" t="s">
        <v>276</v>
      </c>
      <c r="C8" s="66" t="s">
        <v>277</v>
      </c>
      <c r="D8" s="67">
        <v>43300</v>
      </c>
      <c r="E8" s="48" t="s">
        <v>278</v>
      </c>
      <c r="F8" s="48" t="s">
        <v>257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65" t="s">
        <v>272</v>
      </c>
      <c r="B9" s="66" t="s">
        <v>279</v>
      </c>
      <c r="C9" s="66" t="s">
        <v>280</v>
      </c>
      <c r="D9" s="67">
        <v>21500</v>
      </c>
      <c r="E9" s="48" t="s">
        <v>281</v>
      </c>
      <c r="F9" s="48" t="s">
        <v>257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65" t="s">
        <v>272</v>
      </c>
      <c r="B10" s="66" t="s">
        <v>282</v>
      </c>
      <c r="C10" s="66" t="s">
        <v>283</v>
      </c>
      <c r="D10" s="67">
        <v>1500</v>
      </c>
      <c r="E10" s="48" t="s">
        <v>284</v>
      </c>
      <c r="F10" s="48" t="s">
        <v>285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65" t="s">
        <v>272</v>
      </c>
      <c r="B11" s="66" t="s">
        <v>286</v>
      </c>
      <c r="C11" s="66" t="s">
        <v>287</v>
      </c>
      <c r="D11" s="67">
        <v>40550</v>
      </c>
      <c r="E11" s="48" t="s">
        <v>288</v>
      </c>
      <c r="F11" s="48" t="s">
        <v>257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65" t="s">
        <v>272</v>
      </c>
      <c r="B12" s="66" t="s">
        <v>289</v>
      </c>
      <c r="C12" s="66" t="s">
        <v>290</v>
      </c>
      <c r="D12" s="67">
        <v>29700</v>
      </c>
      <c r="E12" s="48" t="s">
        <v>291</v>
      </c>
      <c r="F12" s="48" t="s">
        <v>257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65" t="s">
        <v>292</v>
      </c>
      <c r="B13" s="66" t="s">
        <v>293</v>
      </c>
      <c r="C13" s="66" t="s">
        <v>294</v>
      </c>
      <c r="D13" s="67">
        <v>50000</v>
      </c>
      <c r="E13" s="48" t="s">
        <v>815</v>
      </c>
      <c r="F13" s="48" t="s">
        <v>257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65" t="s">
        <v>292</v>
      </c>
      <c r="B14" s="66" t="s">
        <v>295</v>
      </c>
      <c r="C14" s="66" t="s">
        <v>296</v>
      </c>
      <c r="D14" s="67">
        <v>50000</v>
      </c>
      <c r="E14" s="48" t="s">
        <v>297</v>
      </c>
      <c r="F14" s="48" t="s">
        <v>257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65" t="s">
        <v>292</v>
      </c>
      <c r="B15" s="66" t="s">
        <v>298</v>
      </c>
      <c r="C15" s="66" t="s">
        <v>299</v>
      </c>
      <c r="D15" s="67">
        <v>43450</v>
      </c>
      <c r="E15" s="48" t="s">
        <v>300</v>
      </c>
      <c r="F15" s="48" t="s">
        <v>257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65" t="s">
        <v>292</v>
      </c>
      <c r="B16" s="66" t="s">
        <v>301</v>
      </c>
      <c r="C16" s="66" t="s">
        <v>302</v>
      </c>
      <c r="D16" s="67">
        <v>51930</v>
      </c>
      <c r="E16" s="48" t="s">
        <v>303</v>
      </c>
      <c r="F16" s="48" t="s">
        <v>257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65" t="s">
        <v>304</v>
      </c>
      <c r="B17" s="66" t="s">
        <v>305</v>
      </c>
      <c r="C17" s="66" t="s">
        <v>306</v>
      </c>
      <c r="D17" s="67">
        <v>51550</v>
      </c>
      <c r="E17" s="48" t="s">
        <v>307</v>
      </c>
      <c r="F17" s="48" t="s">
        <v>257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65" t="s">
        <v>304</v>
      </c>
      <c r="B18" s="66" t="s">
        <v>308</v>
      </c>
      <c r="C18" s="66" t="s">
        <v>309</v>
      </c>
      <c r="D18" s="67">
        <v>40000</v>
      </c>
      <c r="E18" s="48" t="s">
        <v>310</v>
      </c>
      <c r="F18" s="48" t="s">
        <v>257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65" t="s">
        <v>304</v>
      </c>
      <c r="B19" s="66" t="s">
        <v>311</v>
      </c>
      <c r="C19" s="66" t="s">
        <v>312</v>
      </c>
      <c r="D19" s="67">
        <v>50000</v>
      </c>
      <c r="E19" s="48" t="s">
        <v>313</v>
      </c>
      <c r="F19" s="48" t="s">
        <v>257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5">
      <c r="A20" s="65" t="s">
        <v>314</v>
      </c>
      <c r="B20" s="66" t="s">
        <v>315</v>
      </c>
      <c r="C20" s="66" t="s">
        <v>316</v>
      </c>
      <c r="D20" s="67">
        <v>20000</v>
      </c>
      <c r="E20" s="48" t="s">
        <v>317</v>
      </c>
      <c r="F20" s="48" t="s">
        <v>257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65" t="s">
        <v>318</v>
      </c>
      <c r="B21" s="66" t="s">
        <v>319</v>
      </c>
      <c r="C21" s="66" t="s">
        <v>320</v>
      </c>
      <c r="D21" s="67">
        <v>20000</v>
      </c>
      <c r="E21" s="48" t="s">
        <v>321</v>
      </c>
      <c r="F21" s="48" t="s">
        <v>257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65" t="s">
        <v>318</v>
      </c>
      <c r="B22" s="66" t="s">
        <v>322</v>
      </c>
      <c r="C22" s="66" t="s">
        <v>810</v>
      </c>
      <c r="D22" s="67">
        <v>20000</v>
      </c>
      <c r="E22" s="48" t="s">
        <v>811</v>
      </c>
      <c r="F22" s="48" t="s">
        <v>257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65" t="s">
        <v>318</v>
      </c>
      <c r="B23" s="66" t="s">
        <v>323</v>
      </c>
      <c r="C23" s="66" t="s">
        <v>324</v>
      </c>
      <c r="D23" s="67">
        <v>20000</v>
      </c>
      <c r="E23" s="48" t="s">
        <v>325</v>
      </c>
      <c r="F23" s="48" t="s">
        <v>257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65" t="s">
        <v>318</v>
      </c>
      <c r="B24" s="66" t="s">
        <v>326</v>
      </c>
      <c r="C24" s="66" t="s">
        <v>327</v>
      </c>
      <c r="D24" s="67">
        <v>50000</v>
      </c>
      <c r="E24" s="48" t="s">
        <v>328</v>
      </c>
      <c r="F24" s="48" t="s">
        <v>257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65" t="s">
        <v>318</v>
      </c>
      <c r="B25" s="66" t="s">
        <v>329</v>
      </c>
      <c r="C25" s="66" t="s">
        <v>330</v>
      </c>
      <c r="D25" s="67">
        <v>100000</v>
      </c>
      <c r="E25" s="48" t="s">
        <v>331</v>
      </c>
      <c r="F25" s="48" t="s">
        <v>257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65" t="s">
        <v>318</v>
      </c>
      <c r="B26" s="66" t="s">
        <v>332</v>
      </c>
      <c r="C26" s="66" t="s">
        <v>333</v>
      </c>
      <c r="D26" s="67">
        <v>50000</v>
      </c>
      <c r="E26" s="48" t="s">
        <v>334</v>
      </c>
      <c r="F26" s="48" t="s">
        <v>257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65" t="s">
        <v>318</v>
      </c>
      <c r="B27" s="66" t="s">
        <v>335</v>
      </c>
      <c r="C27" s="66" t="s">
        <v>309</v>
      </c>
      <c r="D27" s="67">
        <v>30000</v>
      </c>
      <c r="E27" s="48" t="s">
        <v>310</v>
      </c>
      <c r="F27" s="48" t="s">
        <v>257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65" t="s">
        <v>336</v>
      </c>
      <c r="B28" s="66" t="s">
        <v>337</v>
      </c>
      <c r="C28" s="66" t="s">
        <v>338</v>
      </c>
      <c r="D28" s="67">
        <v>56980</v>
      </c>
      <c r="E28" s="48" t="s">
        <v>339</v>
      </c>
      <c r="F28" s="48" t="s">
        <v>257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65" t="s">
        <v>336</v>
      </c>
      <c r="B29" s="66" t="s">
        <v>340</v>
      </c>
      <c r="C29" s="66" t="s">
        <v>341</v>
      </c>
      <c r="D29" s="67">
        <v>28000</v>
      </c>
      <c r="E29" s="48" t="s">
        <v>342</v>
      </c>
      <c r="F29" s="48" t="s">
        <v>257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65" t="s">
        <v>336</v>
      </c>
      <c r="B30" s="66" t="s">
        <v>343</v>
      </c>
      <c r="C30" s="66" t="s">
        <v>344</v>
      </c>
      <c r="D30" s="67">
        <v>30000</v>
      </c>
      <c r="E30" s="48" t="s">
        <v>345</v>
      </c>
      <c r="F30" s="48" t="s">
        <v>257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65" t="s">
        <v>346</v>
      </c>
      <c r="B31" s="66" t="s">
        <v>347</v>
      </c>
      <c r="C31" s="66" t="s">
        <v>348</v>
      </c>
      <c r="D31" s="67">
        <v>1500</v>
      </c>
      <c r="E31" s="68"/>
      <c r="F31" s="68" t="s">
        <v>285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65" t="s">
        <v>346</v>
      </c>
      <c r="B32" s="66" t="s">
        <v>349</v>
      </c>
      <c r="C32" s="66" t="s">
        <v>350</v>
      </c>
      <c r="D32" s="67">
        <v>20000</v>
      </c>
      <c r="E32" s="48" t="s">
        <v>351</v>
      </c>
      <c r="F32" s="48" t="s">
        <v>257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65" t="s">
        <v>346</v>
      </c>
      <c r="B33" s="66" t="s">
        <v>352</v>
      </c>
      <c r="C33" s="66" t="s">
        <v>350</v>
      </c>
      <c r="D33" s="67">
        <v>10000</v>
      </c>
      <c r="E33" s="48" t="s">
        <v>351</v>
      </c>
      <c r="F33" s="48" t="s">
        <v>257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65" t="s">
        <v>346</v>
      </c>
      <c r="B34" s="66" t="s">
        <v>353</v>
      </c>
      <c r="C34" s="66" t="s">
        <v>354</v>
      </c>
      <c r="D34" s="67">
        <v>20000</v>
      </c>
      <c r="E34" s="48" t="s">
        <v>351</v>
      </c>
      <c r="F34" s="48" t="s">
        <v>257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65" t="s">
        <v>346</v>
      </c>
      <c r="B35" s="66" t="s">
        <v>355</v>
      </c>
      <c r="C35" s="66" t="s">
        <v>354</v>
      </c>
      <c r="D35" s="67">
        <v>10000</v>
      </c>
      <c r="E35" s="48" t="s">
        <v>351</v>
      </c>
      <c r="F35" s="48" t="s">
        <v>257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65" t="s">
        <v>356</v>
      </c>
      <c r="B36" s="66" t="s">
        <v>357</v>
      </c>
      <c r="C36" s="66" t="s">
        <v>358</v>
      </c>
      <c r="D36" s="67">
        <v>20000</v>
      </c>
      <c r="E36" s="48" t="s">
        <v>359</v>
      </c>
      <c r="F36" s="48" t="s">
        <v>257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65" t="s">
        <v>360</v>
      </c>
      <c r="B37" s="66" t="s">
        <v>361</v>
      </c>
      <c r="C37" s="66" t="s">
        <v>362</v>
      </c>
      <c r="D37" s="67">
        <v>15000</v>
      </c>
      <c r="E37" s="48" t="s">
        <v>363</v>
      </c>
      <c r="F37" s="48" t="s">
        <v>257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65" t="s">
        <v>364</v>
      </c>
      <c r="B38" s="66" t="s">
        <v>365</v>
      </c>
      <c r="C38" s="66" t="s">
        <v>366</v>
      </c>
      <c r="D38" s="67">
        <v>20000</v>
      </c>
      <c r="E38" s="48" t="s">
        <v>367</v>
      </c>
      <c r="F38" s="48" t="s">
        <v>257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65" t="s">
        <v>364</v>
      </c>
      <c r="B39" s="66" t="s">
        <v>368</v>
      </c>
      <c r="C39" s="66" t="s">
        <v>366</v>
      </c>
      <c r="D39" s="67">
        <v>10000</v>
      </c>
      <c r="E39" s="48" t="s">
        <v>367</v>
      </c>
      <c r="F39" s="48" t="s">
        <v>257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65" t="s">
        <v>369</v>
      </c>
      <c r="B40" s="66" t="s">
        <v>370</v>
      </c>
      <c r="C40" s="66" t="s">
        <v>371</v>
      </c>
      <c r="D40" s="67">
        <v>31000</v>
      </c>
      <c r="E40" s="48" t="s">
        <v>372</v>
      </c>
      <c r="F40" s="48" t="s">
        <v>257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65" t="s">
        <v>369</v>
      </c>
      <c r="B41" s="66" t="s">
        <v>373</v>
      </c>
      <c r="C41" s="66" t="s">
        <v>374</v>
      </c>
      <c r="D41" s="67">
        <v>20000</v>
      </c>
      <c r="E41" s="48" t="s">
        <v>375</v>
      </c>
      <c r="F41" s="48" t="s">
        <v>257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65" t="s">
        <v>376</v>
      </c>
      <c r="B42" s="66" t="s">
        <v>377</v>
      </c>
      <c r="C42" s="66" t="s">
        <v>378</v>
      </c>
      <c r="D42" s="67">
        <v>30000</v>
      </c>
      <c r="E42" s="48" t="s">
        <v>379</v>
      </c>
      <c r="F42" s="48" t="s">
        <v>257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65" t="s">
        <v>376</v>
      </c>
      <c r="B43" s="66" t="s">
        <v>380</v>
      </c>
      <c r="C43" s="66" t="s">
        <v>381</v>
      </c>
      <c r="D43" s="67">
        <v>30170</v>
      </c>
      <c r="E43" s="48" t="s">
        <v>382</v>
      </c>
      <c r="F43" s="48" t="s">
        <v>257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65" t="s">
        <v>376</v>
      </c>
      <c r="B44" s="66" t="s">
        <v>383</v>
      </c>
      <c r="C44" s="66" t="s">
        <v>384</v>
      </c>
      <c r="D44" s="67">
        <v>20000</v>
      </c>
      <c r="E44" s="48" t="s">
        <v>375</v>
      </c>
      <c r="F44" s="48" t="s">
        <v>257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65" t="s">
        <v>385</v>
      </c>
      <c r="B45" s="66" t="s">
        <v>386</v>
      </c>
      <c r="C45" s="66" t="s">
        <v>358</v>
      </c>
      <c r="D45" s="67">
        <v>20000</v>
      </c>
      <c r="E45" s="48" t="s">
        <v>359</v>
      </c>
      <c r="F45" s="48" t="s">
        <v>257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65" t="s">
        <v>387</v>
      </c>
      <c r="B46" s="66" t="s">
        <v>388</v>
      </c>
      <c r="C46" s="66" t="s">
        <v>324</v>
      </c>
      <c r="D46" s="67">
        <v>19930</v>
      </c>
      <c r="E46" s="48" t="s">
        <v>325</v>
      </c>
      <c r="F46" s="48" t="s">
        <v>257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65" t="s">
        <v>387</v>
      </c>
      <c r="B47" s="66" t="s">
        <v>389</v>
      </c>
      <c r="C47" s="66" t="s">
        <v>390</v>
      </c>
      <c r="D47" s="67">
        <v>36830</v>
      </c>
      <c r="E47" s="48" t="s">
        <v>391</v>
      </c>
      <c r="F47" s="48" t="s">
        <v>257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65" t="s">
        <v>387</v>
      </c>
      <c r="B48" s="66" t="s">
        <v>392</v>
      </c>
      <c r="C48" s="66" t="s">
        <v>393</v>
      </c>
      <c r="D48" s="67">
        <v>70000</v>
      </c>
      <c r="E48" s="48" t="s">
        <v>394</v>
      </c>
      <c r="F48" s="48" t="s">
        <v>257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65" t="s">
        <v>395</v>
      </c>
      <c r="B49" s="66" t="s">
        <v>396</v>
      </c>
      <c r="C49" s="66" t="s">
        <v>393</v>
      </c>
      <c r="D49" s="67">
        <v>10980</v>
      </c>
      <c r="E49" s="48" t="s">
        <v>394</v>
      </c>
      <c r="F49" s="48" t="s">
        <v>257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69" t="s">
        <v>397</v>
      </c>
      <c r="B50" s="66" t="s">
        <v>398</v>
      </c>
      <c r="C50" s="5" t="s">
        <v>399</v>
      </c>
      <c r="D50" s="67">
        <v>25000</v>
      </c>
      <c r="E50" s="48" t="s">
        <v>400</v>
      </c>
      <c r="F50" s="48" t="s">
        <v>257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69" t="s">
        <v>401</v>
      </c>
      <c r="B51" s="5" t="s">
        <v>402</v>
      </c>
      <c r="C51" s="5" t="s">
        <v>312</v>
      </c>
      <c r="D51" s="70">
        <v>35000</v>
      </c>
      <c r="E51" s="48" t="s">
        <v>313</v>
      </c>
      <c r="F51" s="48" t="s">
        <v>257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69" t="s">
        <v>403</v>
      </c>
      <c r="B52" s="5" t="s">
        <v>404</v>
      </c>
      <c r="C52" s="5" t="s">
        <v>393</v>
      </c>
      <c r="D52" s="70">
        <v>37000</v>
      </c>
      <c r="E52" s="48" t="s">
        <v>394</v>
      </c>
      <c r="F52" s="48" t="s">
        <v>257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69" t="s">
        <v>405</v>
      </c>
      <c r="B53" s="71" t="s">
        <v>406</v>
      </c>
      <c r="C53" s="72" t="s">
        <v>407</v>
      </c>
      <c r="D53" s="73">
        <v>30000</v>
      </c>
      <c r="E53" s="71" t="s">
        <v>297</v>
      </c>
      <c r="F53" s="5" t="s">
        <v>257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69" t="s">
        <v>405</v>
      </c>
      <c r="B54" s="71" t="s">
        <v>408</v>
      </c>
      <c r="C54" s="72" t="s">
        <v>409</v>
      </c>
      <c r="D54" s="73">
        <v>36000</v>
      </c>
      <c r="E54" s="71" t="s">
        <v>410</v>
      </c>
      <c r="F54" s="5" t="s">
        <v>257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69" t="s">
        <v>411</v>
      </c>
      <c r="B55" s="5" t="s">
        <v>412</v>
      </c>
      <c r="C55" s="5" t="s">
        <v>316</v>
      </c>
      <c r="D55" s="70">
        <v>20000</v>
      </c>
      <c r="E55" s="5" t="s">
        <v>317</v>
      </c>
      <c r="F55" s="5" t="s">
        <v>257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69" t="s">
        <v>413</v>
      </c>
      <c r="B56" s="5" t="s">
        <v>414</v>
      </c>
      <c r="C56" s="5" t="s">
        <v>327</v>
      </c>
      <c r="D56" s="70">
        <v>18500</v>
      </c>
      <c r="E56" s="5" t="s">
        <v>328</v>
      </c>
      <c r="F56" s="5" t="s">
        <v>257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69" t="s">
        <v>415</v>
      </c>
      <c r="B57" s="5" t="s">
        <v>416</v>
      </c>
      <c r="C57" s="5" t="s">
        <v>417</v>
      </c>
      <c r="D57" s="70">
        <v>15750</v>
      </c>
      <c r="E57" s="5" t="s">
        <v>256</v>
      </c>
      <c r="F57" s="5" t="s">
        <v>257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69" t="s">
        <v>418</v>
      </c>
      <c r="B58" s="5" t="s">
        <v>419</v>
      </c>
      <c r="C58" s="5" t="s">
        <v>420</v>
      </c>
      <c r="D58" s="70">
        <v>23930</v>
      </c>
      <c r="E58" s="5" t="s">
        <v>265</v>
      </c>
      <c r="F58" s="5" t="s">
        <v>257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69" t="s">
        <v>421</v>
      </c>
      <c r="B59" s="5" t="s">
        <v>422</v>
      </c>
      <c r="C59" s="5" t="s">
        <v>366</v>
      </c>
      <c r="D59" s="70">
        <v>20000</v>
      </c>
      <c r="E59" s="5" t="s">
        <v>367</v>
      </c>
      <c r="F59" s="5" t="s">
        <v>257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69" t="s">
        <v>423</v>
      </c>
      <c r="B60" s="5" t="s">
        <v>424</v>
      </c>
      <c r="C60" s="5" t="s">
        <v>366</v>
      </c>
      <c r="D60" s="70">
        <v>10000</v>
      </c>
      <c r="E60" s="5" t="s">
        <v>367</v>
      </c>
      <c r="F60" s="5" t="s">
        <v>257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69" t="s">
        <v>425</v>
      </c>
      <c r="B61" s="5" t="s">
        <v>426</v>
      </c>
      <c r="C61" s="5" t="s">
        <v>427</v>
      </c>
      <c r="D61" s="70">
        <v>50000</v>
      </c>
      <c r="E61" s="5" t="s">
        <v>331</v>
      </c>
      <c r="F61" s="5" t="s">
        <v>257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69" t="s">
        <v>425</v>
      </c>
      <c r="B62" s="5" t="s">
        <v>428</v>
      </c>
      <c r="C62" s="5" t="s">
        <v>429</v>
      </c>
      <c r="D62" s="70">
        <v>25000</v>
      </c>
      <c r="E62" s="5" t="s">
        <v>334</v>
      </c>
      <c r="F62" s="5" t="s">
        <v>257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69" t="s">
        <v>430</v>
      </c>
      <c r="B63" s="5" t="s">
        <v>431</v>
      </c>
      <c r="C63" s="5" t="s">
        <v>384</v>
      </c>
      <c r="D63" s="70">
        <v>20000</v>
      </c>
      <c r="E63" s="5" t="s">
        <v>375</v>
      </c>
      <c r="F63" s="5" t="s">
        <v>257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69" t="s">
        <v>430</v>
      </c>
      <c r="B64" s="5" t="s">
        <v>432</v>
      </c>
      <c r="C64" s="5" t="s">
        <v>384</v>
      </c>
      <c r="D64" s="70">
        <v>20000</v>
      </c>
      <c r="E64" s="5" t="s">
        <v>375</v>
      </c>
      <c r="F64" s="5" t="s">
        <v>257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69" t="s">
        <v>433</v>
      </c>
      <c r="B65" s="5" t="s">
        <v>434</v>
      </c>
      <c r="C65" s="5" t="s">
        <v>435</v>
      </c>
      <c r="D65" s="70">
        <v>50000</v>
      </c>
      <c r="E65" s="5" t="s">
        <v>815</v>
      </c>
      <c r="F65" s="5" t="s">
        <v>257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69" t="s">
        <v>436</v>
      </c>
      <c r="B66" s="5" t="s">
        <v>437</v>
      </c>
      <c r="C66" s="5" t="s">
        <v>350</v>
      </c>
      <c r="D66" s="70">
        <v>20000</v>
      </c>
      <c r="E66" s="5" t="s">
        <v>351</v>
      </c>
      <c r="F66" s="5" t="s">
        <v>257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69" t="s">
        <v>436</v>
      </c>
      <c r="B67" s="5" t="s">
        <v>438</v>
      </c>
      <c r="C67" s="5" t="s">
        <v>350</v>
      </c>
      <c r="D67" s="70">
        <v>20000</v>
      </c>
      <c r="E67" s="5" t="s">
        <v>351</v>
      </c>
      <c r="F67" s="5" t="s">
        <v>257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69" t="s">
        <v>436</v>
      </c>
      <c r="B68" s="5" t="s">
        <v>439</v>
      </c>
      <c r="C68" s="5" t="s">
        <v>350</v>
      </c>
      <c r="D68" s="70">
        <v>10000</v>
      </c>
      <c r="E68" s="5" t="s">
        <v>351</v>
      </c>
      <c r="F68" s="5" t="s">
        <v>257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69" t="s">
        <v>436</v>
      </c>
      <c r="B69" s="5" t="s">
        <v>440</v>
      </c>
      <c r="C69" s="5" t="s">
        <v>441</v>
      </c>
      <c r="D69" s="70">
        <v>20000</v>
      </c>
      <c r="E69" s="5" t="s">
        <v>275</v>
      </c>
      <c r="F69" s="5" t="s">
        <v>257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69" t="s">
        <v>436</v>
      </c>
      <c r="B70" s="5" t="s">
        <v>442</v>
      </c>
      <c r="C70" s="5" t="s">
        <v>443</v>
      </c>
      <c r="D70" s="70">
        <v>21850</v>
      </c>
      <c r="E70" s="5" t="s">
        <v>321</v>
      </c>
      <c r="F70" s="5" t="s">
        <v>257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69" t="s">
        <v>436</v>
      </c>
      <c r="B71" s="5" t="s">
        <v>444</v>
      </c>
      <c r="C71" s="5" t="s">
        <v>445</v>
      </c>
      <c r="D71" s="70">
        <v>31550</v>
      </c>
      <c r="E71" s="5" t="s">
        <v>379</v>
      </c>
      <c r="F71" s="5" t="s">
        <v>257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69" t="s">
        <v>436</v>
      </c>
      <c r="B72" s="5" t="s">
        <v>446</v>
      </c>
      <c r="C72" s="5" t="s">
        <v>447</v>
      </c>
      <c r="D72" s="70">
        <v>18500</v>
      </c>
      <c r="E72" s="5" t="s">
        <v>325</v>
      </c>
      <c r="F72" s="5" t="s">
        <v>257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69" t="s">
        <v>436</v>
      </c>
      <c r="B73" s="5" t="s">
        <v>448</v>
      </c>
      <c r="C73" s="5" t="s">
        <v>358</v>
      </c>
      <c r="D73" s="70">
        <v>10000</v>
      </c>
      <c r="E73" s="5" t="s">
        <v>359</v>
      </c>
      <c r="F73" s="5" t="s">
        <v>257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69" t="s">
        <v>449</v>
      </c>
      <c r="B74" s="5" t="s">
        <v>450</v>
      </c>
      <c r="C74" s="5" t="s">
        <v>451</v>
      </c>
      <c r="D74" s="70">
        <v>20000</v>
      </c>
      <c r="E74" s="5" t="s">
        <v>313</v>
      </c>
      <c r="F74" s="5" t="s">
        <v>257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69" t="s">
        <v>449</v>
      </c>
      <c r="B75" s="5" t="s">
        <v>452</v>
      </c>
      <c r="C75" s="5" t="s">
        <v>453</v>
      </c>
      <c r="D75" s="70">
        <v>22000</v>
      </c>
      <c r="E75" s="5" t="s">
        <v>345</v>
      </c>
      <c r="F75" s="5" t="s">
        <v>257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69" t="s">
        <v>449</v>
      </c>
      <c r="B76" s="5" t="s">
        <v>454</v>
      </c>
      <c r="C76" s="5" t="s">
        <v>455</v>
      </c>
      <c r="D76" s="70">
        <v>10000</v>
      </c>
      <c r="E76" s="5" t="s">
        <v>281</v>
      </c>
      <c r="F76" s="5" t="s">
        <v>257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69" t="s">
        <v>449</v>
      </c>
      <c r="B77" s="5" t="s">
        <v>456</v>
      </c>
      <c r="C77" s="5" t="s">
        <v>457</v>
      </c>
      <c r="D77" s="70">
        <v>30000</v>
      </c>
      <c r="E77" s="5" t="s">
        <v>331</v>
      </c>
      <c r="F77" s="5" t="s">
        <v>257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69" t="s">
        <v>458</v>
      </c>
      <c r="B78" s="5" t="s">
        <v>459</v>
      </c>
      <c r="C78" s="5" t="s">
        <v>309</v>
      </c>
      <c r="D78" s="70">
        <v>40000</v>
      </c>
      <c r="E78" s="5" t="s">
        <v>310</v>
      </c>
      <c r="F78" s="5" t="s">
        <v>257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69" t="s">
        <v>460</v>
      </c>
      <c r="B79" s="5" t="s">
        <v>461</v>
      </c>
      <c r="C79" s="5" t="s">
        <v>327</v>
      </c>
      <c r="D79" s="70">
        <v>10000</v>
      </c>
      <c r="E79" s="5" t="s">
        <v>328</v>
      </c>
      <c r="F79" s="5" t="s">
        <v>257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69" t="s">
        <v>460</v>
      </c>
      <c r="B80" s="5" t="s">
        <v>462</v>
      </c>
      <c r="C80" s="5" t="s">
        <v>327</v>
      </c>
      <c r="D80" s="70">
        <v>10000</v>
      </c>
      <c r="E80" s="5" t="s">
        <v>328</v>
      </c>
      <c r="F80" s="5" t="s">
        <v>257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69" t="s">
        <v>463</v>
      </c>
      <c r="B81" s="5" t="s">
        <v>464</v>
      </c>
      <c r="C81" s="5" t="s">
        <v>268</v>
      </c>
      <c r="D81" s="70">
        <v>15000</v>
      </c>
      <c r="E81" s="5" t="s">
        <v>269</v>
      </c>
      <c r="F81" s="5" t="s">
        <v>257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69" t="s">
        <v>463</v>
      </c>
      <c r="B82" s="5" t="s">
        <v>465</v>
      </c>
      <c r="C82" s="5" t="s">
        <v>466</v>
      </c>
      <c r="D82" s="70">
        <v>29100</v>
      </c>
      <c r="E82" s="5" t="s">
        <v>317</v>
      </c>
      <c r="F82" s="5" t="s">
        <v>257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69" t="s">
        <v>463</v>
      </c>
      <c r="B83" s="5" t="s">
        <v>467</v>
      </c>
      <c r="C83" s="5" t="s">
        <v>468</v>
      </c>
      <c r="D83" s="70">
        <v>10000</v>
      </c>
      <c r="E83" s="5" t="s">
        <v>275</v>
      </c>
      <c r="F83" s="5" t="s">
        <v>257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69" t="s">
        <v>469</v>
      </c>
      <c r="B84" s="5" t="s">
        <v>470</v>
      </c>
      <c r="C84" s="5" t="s">
        <v>371</v>
      </c>
      <c r="D84" s="70">
        <v>10050</v>
      </c>
      <c r="E84" s="5" t="s">
        <v>372</v>
      </c>
      <c r="F84" s="5" t="s">
        <v>257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69" t="s">
        <v>469</v>
      </c>
      <c r="B85" s="5" t="s">
        <v>471</v>
      </c>
      <c r="C85" s="5" t="s">
        <v>472</v>
      </c>
      <c r="D85" s="70">
        <v>5000</v>
      </c>
      <c r="E85" s="5" t="s">
        <v>811</v>
      </c>
      <c r="F85" s="5" t="s">
        <v>257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69" t="s">
        <v>469</v>
      </c>
      <c r="B86" s="5" t="s">
        <v>473</v>
      </c>
      <c r="C86" s="5" t="s">
        <v>399</v>
      </c>
      <c r="D86" s="70">
        <v>15000</v>
      </c>
      <c r="E86" s="5" t="s">
        <v>400</v>
      </c>
      <c r="F86" s="5" t="s">
        <v>257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69" t="s">
        <v>469</v>
      </c>
      <c r="B87" s="5" t="s">
        <v>474</v>
      </c>
      <c r="C87" s="5" t="s">
        <v>475</v>
      </c>
      <c r="D87" s="70">
        <v>23600</v>
      </c>
      <c r="E87" s="5" t="s">
        <v>261</v>
      </c>
      <c r="F87" s="5" t="s">
        <v>257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69" t="s">
        <v>476</v>
      </c>
      <c r="B88" s="5" t="s">
        <v>477</v>
      </c>
      <c r="C88" s="5" t="s">
        <v>478</v>
      </c>
      <c r="D88" s="70">
        <v>15000</v>
      </c>
      <c r="E88" s="5" t="s">
        <v>334</v>
      </c>
      <c r="F88" s="5" t="s">
        <v>257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69" t="s">
        <v>476</v>
      </c>
      <c r="B89" s="5" t="s">
        <v>479</v>
      </c>
      <c r="C89" s="5" t="s">
        <v>358</v>
      </c>
      <c r="D89" s="70">
        <v>15000</v>
      </c>
      <c r="E89" s="5" t="s">
        <v>359</v>
      </c>
      <c r="F89" s="5" t="s">
        <v>257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69" t="s">
        <v>476</v>
      </c>
      <c r="B90" s="5" t="s">
        <v>480</v>
      </c>
      <c r="C90" s="5" t="s">
        <v>481</v>
      </c>
      <c r="D90" s="70">
        <v>10000</v>
      </c>
      <c r="E90" s="5" t="s">
        <v>307</v>
      </c>
      <c r="F90" s="5" t="s">
        <v>257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69" t="s">
        <v>482</v>
      </c>
      <c r="B91" s="5" t="s">
        <v>483</v>
      </c>
      <c r="C91" s="5" t="s">
        <v>484</v>
      </c>
      <c r="D91" s="70">
        <v>17430</v>
      </c>
      <c r="E91" s="5" t="s">
        <v>331</v>
      </c>
      <c r="F91" s="5" t="s">
        <v>257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69" t="s">
        <v>485</v>
      </c>
      <c r="B92" s="5" t="s">
        <v>486</v>
      </c>
      <c r="C92" s="5" t="s">
        <v>371</v>
      </c>
      <c r="D92" s="70">
        <v>5000</v>
      </c>
      <c r="E92" s="5" t="s">
        <v>372</v>
      </c>
      <c r="F92" s="5" t="s">
        <v>257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69" t="s">
        <v>485</v>
      </c>
      <c r="B93" s="5" t="s">
        <v>486</v>
      </c>
      <c r="C93" s="5" t="s">
        <v>487</v>
      </c>
      <c r="D93" s="70">
        <v>10000</v>
      </c>
      <c r="E93" s="5" t="s">
        <v>351</v>
      </c>
      <c r="F93" s="5" t="s">
        <v>257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69" t="s">
        <v>488</v>
      </c>
      <c r="B94" s="5" t="s">
        <v>489</v>
      </c>
      <c r="C94" s="5" t="s">
        <v>490</v>
      </c>
      <c r="D94" s="70">
        <v>15000</v>
      </c>
      <c r="E94" s="5" t="s">
        <v>410</v>
      </c>
      <c r="F94" s="5" t="s">
        <v>257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69" t="s">
        <v>491</v>
      </c>
      <c r="B95" s="5" t="s">
        <v>492</v>
      </c>
      <c r="C95" s="5" t="s">
        <v>268</v>
      </c>
      <c r="D95" s="70">
        <v>8160</v>
      </c>
      <c r="E95" s="5" t="s">
        <v>269</v>
      </c>
      <c r="F95" s="5" t="s">
        <v>257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69" t="s">
        <v>491</v>
      </c>
      <c r="B96" s="5" t="s">
        <v>493</v>
      </c>
      <c r="C96" s="5" t="s">
        <v>451</v>
      </c>
      <c r="D96" s="70">
        <v>15000</v>
      </c>
      <c r="E96" s="5" t="s">
        <v>313</v>
      </c>
      <c r="F96" s="5" t="s">
        <v>257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69" t="s">
        <v>494</v>
      </c>
      <c r="B97" s="5" t="s">
        <v>495</v>
      </c>
      <c r="C97" s="5" t="s">
        <v>350</v>
      </c>
      <c r="D97" s="70">
        <v>10000</v>
      </c>
      <c r="E97" s="5" t="s">
        <v>351</v>
      </c>
      <c r="F97" s="5" t="s">
        <v>257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69" t="s">
        <v>496</v>
      </c>
      <c r="B98" s="5" t="s">
        <v>497</v>
      </c>
      <c r="C98" s="5" t="s">
        <v>490</v>
      </c>
      <c r="D98" s="70">
        <v>15000</v>
      </c>
      <c r="E98" s="5" t="s">
        <v>410</v>
      </c>
      <c r="F98" s="5" t="s">
        <v>257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69" t="s">
        <v>498</v>
      </c>
      <c r="B99" s="5" t="s">
        <v>499</v>
      </c>
      <c r="C99" s="5" t="s">
        <v>500</v>
      </c>
      <c r="D99" s="70">
        <v>20450</v>
      </c>
      <c r="E99" s="5" t="s">
        <v>363</v>
      </c>
      <c r="F99" s="5" t="s">
        <v>257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69" t="s">
        <v>501</v>
      </c>
      <c r="B100" s="5" t="s">
        <v>502</v>
      </c>
      <c r="C100" s="5" t="s">
        <v>503</v>
      </c>
      <c r="D100" s="70">
        <v>4000</v>
      </c>
      <c r="E100" s="5" t="s">
        <v>359</v>
      </c>
      <c r="F100" s="5" t="s">
        <v>257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69" t="s">
        <v>501</v>
      </c>
      <c r="B101" s="5" t="s">
        <v>504</v>
      </c>
      <c r="C101" s="5" t="s">
        <v>505</v>
      </c>
      <c r="D101" s="70">
        <v>80000</v>
      </c>
      <c r="E101" s="5" t="s">
        <v>297</v>
      </c>
      <c r="F101" s="5" t="s">
        <v>257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69" t="s">
        <v>506</v>
      </c>
      <c r="B102" s="5" t="s">
        <v>507</v>
      </c>
      <c r="C102" s="5" t="s">
        <v>312</v>
      </c>
      <c r="D102" s="70">
        <v>10000</v>
      </c>
      <c r="E102" s="5" t="s">
        <v>313</v>
      </c>
      <c r="F102" s="5" t="s">
        <v>257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69" t="s">
        <v>506</v>
      </c>
      <c r="B103" s="5" t="s">
        <v>508</v>
      </c>
      <c r="C103" s="5" t="s">
        <v>366</v>
      </c>
      <c r="D103" s="70">
        <v>10000</v>
      </c>
      <c r="E103" s="5" t="s">
        <v>367</v>
      </c>
      <c r="F103" s="5" t="s">
        <v>257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69" t="s">
        <v>509</v>
      </c>
      <c r="B104" s="5" t="s">
        <v>510</v>
      </c>
      <c r="C104" s="5" t="s">
        <v>309</v>
      </c>
      <c r="D104" s="70">
        <v>20000</v>
      </c>
      <c r="E104" s="5" t="s">
        <v>310</v>
      </c>
      <c r="F104" s="5" t="s">
        <v>257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69" t="s">
        <v>509</v>
      </c>
      <c r="B105" s="5" t="s">
        <v>511</v>
      </c>
      <c r="C105" s="5" t="s">
        <v>327</v>
      </c>
      <c r="D105" s="70">
        <v>35200</v>
      </c>
      <c r="E105" s="5" t="s">
        <v>328</v>
      </c>
      <c r="F105" s="5" t="s">
        <v>257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69" t="s">
        <v>512</v>
      </c>
      <c r="B106" s="5" t="s">
        <v>513</v>
      </c>
      <c r="C106" s="5" t="s">
        <v>399</v>
      </c>
      <c r="D106" s="70">
        <v>28600</v>
      </c>
      <c r="E106" s="5" t="s">
        <v>400</v>
      </c>
      <c r="F106" s="5" t="s">
        <v>257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69" t="s">
        <v>512</v>
      </c>
      <c r="B107" s="5" t="s">
        <v>514</v>
      </c>
      <c r="C107" s="5" t="s">
        <v>366</v>
      </c>
      <c r="D107" s="70">
        <v>20000</v>
      </c>
      <c r="E107" s="5" t="s">
        <v>367</v>
      </c>
      <c r="F107" s="5" t="s">
        <v>257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69" t="s">
        <v>512</v>
      </c>
      <c r="B108" s="5" t="s">
        <v>515</v>
      </c>
      <c r="C108" s="5" t="s">
        <v>516</v>
      </c>
      <c r="D108" s="70">
        <v>27200</v>
      </c>
      <c r="E108" s="5" t="s">
        <v>375</v>
      </c>
      <c r="F108" s="5" t="s">
        <v>257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69">
        <v>44900</v>
      </c>
      <c r="B109" s="5" t="s">
        <v>517</v>
      </c>
      <c r="C109" s="5" t="s">
        <v>518</v>
      </c>
      <c r="D109" s="70">
        <v>50000</v>
      </c>
      <c r="E109" s="5" t="s">
        <v>275</v>
      </c>
      <c r="F109" s="5" t="s">
        <v>257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69">
        <v>44900</v>
      </c>
      <c r="B110" s="5" t="s">
        <v>519</v>
      </c>
      <c r="C110" s="5" t="s">
        <v>435</v>
      </c>
      <c r="D110" s="70">
        <v>30000</v>
      </c>
      <c r="E110" s="5" t="s">
        <v>815</v>
      </c>
      <c r="F110" s="5" t="s">
        <v>257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69"/>
      <c r="B111" s="5"/>
      <c r="C111" s="5"/>
      <c r="D111" s="7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69"/>
      <c r="B112" s="5"/>
      <c r="C112" s="5"/>
      <c r="D112" s="7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69"/>
      <c r="B113" s="5"/>
      <c r="C113" s="5"/>
      <c r="D113" s="7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69"/>
      <c r="B114" s="5"/>
      <c r="C114" s="5"/>
      <c r="D114" s="7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69"/>
      <c r="B115" s="5"/>
      <c r="C115" s="5"/>
      <c r="D115" s="7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69"/>
      <c r="B116" s="5"/>
      <c r="C116" s="5"/>
      <c r="D116" s="7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69"/>
      <c r="B117" s="5"/>
      <c r="C117" s="5"/>
      <c r="D117" s="7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69"/>
      <c r="B118" s="5"/>
      <c r="C118" s="5"/>
      <c r="D118" s="7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69"/>
      <c r="B119" s="5"/>
      <c r="C119" s="5"/>
      <c r="D119" s="7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69"/>
      <c r="B120" s="5"/>
      <c r="C120" s="5"/>
      <c r="D120" s="7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69"/>
      <c r="B121" s="5"/>
      <c r="C121" s="5"/>
      <c r="D121" s="7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69"/>
      <c r="B122" s="5"/>
      <c r="C122" s="5"/>
      <c r="D122" s="7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69"/>
      <c r="B123" s="5"/>
      <c r="C123" s="5"/>
      <c r="D123" s="7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69"/>
      <c r="B124" s="5"/>
      <c r="C124" s="5"/>
      <c r="D124" s="7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69"/>
      <c r="B125" s="5"/>
      <c r="C125" s="5"/>
      <c r="D125" s="7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69"/>
      <c r="B126" s="5"/>
      <c r="C126" s="5"/>
      <c r="D126" s="7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69"/>
      <c r="B127" s="5"/>
      <c r="C127" s="5"/>
      <c r="D127" s="7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69"/>
      <c r="B128" s="5"/>
      <c r="C128" s="5"/>
      <c r="D128" s="7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69"/>
      <c r="B129" s="5"/>
      <c r="C129" s="5"/>
      <c r="D129" s="7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69"/>
      <c r="B130" s="5"/>
      <c r="C130" s="5"/>
      <c r="D130" s="7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69"/>
      <c r="B131" s="5"/>
      <c r="C131" s="5"/>
      <c r="D131" s="7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69"/>
      <c r="B132" s="5"/>
      <c r="C132" s="5"/>
      <c r="D132" s="7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69"/>
      <c r="B133" s="5"/>
      <c r="C133" s="5"/>
      <c r="D133" s="7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69"/>
      <c r="B134" s="5"/>
      <c r="C134" s="5"/>
      <c r="D134" s="7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69"/>
      <c r="B135" s="5"/>
      <c r="C135" s="5"/>
      <c r="D135" s="7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69"/>
      <c r="B136" s="5"/>
      <c r="C136" s="5"/>
      <c r="D136" s="7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69"/>
      <c r="B137" s="5"/>
      <c r="C137" s="5"/>
      <c r="D137" s="7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69"/>
      <c r="B138" s="5"/>
      <c r="C138" s="5"/>
      <c r="D138" s="7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69"/>
      <c r="B139" s="5"/>
      <c r="C139" s="5"/>
      <c r="D139" s="7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69"/>
      <c r="B140" s="5"/>
      <c r="C140" s="5"/>
      <c r="D140" s="7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69"/>
      <c r="B141" s="5"/>
      <c r="C141" s="5"/>
      <c r="D141" s="7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69"/>
      <c r="B142" s="5"/>
      <c r="C142" s="5"/>
      <c r="D142" s="7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69"/>
      <c r="B143" s="5"/>
      <c r="C143" s="5"/>
      <c r="D143" s="7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69"/>
      <c r="B144" s="5"/>
      <c r="C144" s="5"/>
      <c r="D144" s="7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69"/>
      <c r="B145" s="5"/>
      <c r="C145" s="5"/>
      <c r="D145" s="7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69"/>
      <c r="B146" s="5"/>
      <c r="C146" s="5"/>
      <c r="D146" s="7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69"/>
      <c r="B147" s="5"/>
      <c r="C147" s="5"/>
      <c r="D147" s="7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69"/>
      <c r="B148" s="5"/>
      <c r="C148" s="5"/>
      <c r="D148" s="7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69"/>
      <c r="B149" s="5"/>
      <c r="C149" s="5"/>
      <c r="D149" s="7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69"/>
      <c r="B150" s="5"/>
      <c r="C150" s="5"/>
      <c r="D150" s="7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69"/>
      <c r="B151" s="5"/>
      <c r="C151" s="5"/>
      <c r="D151" s="7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69"/>
      <c r="B152" s="5"/>
      <c r="C152" s="5"/>
      <c r="D152" s="7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69"/>
      <c r="B153" s="5"/>
      <c r="C153" s="5"/>
      <c r="D153" s="7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69"/>
      <c r="B154" s="5"/>
      <c r="C154" s="5"/>
      <c r="D154" s="7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69"/>
      <c r="B155" s="5"/>
      <c r="C155" s="5"/>
      <c r="D155" s="7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69"/>
      <c r="B156" s="5"/>
      <c r="C156" s="5"/>
      <c r="D156" s="7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69"/>
      <c r="B157" s="5"/>
      <c r="C157" s="5"/>
      <c r="D157" s="7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69"/>
      <c r="B158" s="5"/>
      <c r="C158" s="5"/>
      <c r="D158" s="7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69"/>
      <c r="B159" s="5"/>
      <c r="C159" s="5"/>
      <c r="D159" s="7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69"/>
      <c r="B160" s="5"/>
      <c r="C160" s="5"/>
      <c r="D160" s="7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69"/>
      <c r="B161" s="5"/>
      <c r="C161" s="5"/>
      <c r="D161" s="7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69"/>
      <c r="B162" s="5"/>
      <c r="C162" s="5"/>
      <c r="D162" s="7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69"/>
      <c r="B163" s="5"/>
      <c r="C163" s="5"/>
      <c r="D163" s="7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69"/>
      <c r="B164" s="5"/>
      <c r="C164" s="5"/>
      <c r="D164" s="7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69"/>
      <c r="B165" s="5"/>
      <c r="C165" s="5"/>
      <c r="D165" s="7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69"/>
      <c r="B166" s="5"/>
      <c r="C166" s="5"/>
      <c r="D166" s="7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69"/>
      <c r="B167" s="5"/>
      <c r="C167" s="5"/>
      <c r="D167" s="7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69"/>
      <c r="B168" s="5"/>
      <c r="C168" s="5"/>
      <c r="D168" s="7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69"/>
      <c r="B169" s="5"/>
      <c r="C169" s="5"/>
      <c r="D169" s="7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69"/>
      <c r="B170" s="5"/>
      <c r="C170" s="5"/>
      <c r="D170" s="7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69"/>
      <c r="B171" s="5"/>
      <c r="C171" s="5"/>
      <c r="D171" s="7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69"/>
      <c r="B172" s="5"/>
      <c r="C172" s="5"/>
      <c r="D172" s="7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69"/>
      <c r="B173" s="5"/>
      <c r="C173" s="5"/>
      <c r="D173" s="7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69"/>
      <c r="B174" s="5"/>
      <c r="C174" s="5"/>
      <c r="D174" s="7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69"/>
      <c r="B175" s="5"/>
      <c r="C175" s="5"/>
      <c r="D175" s="7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69"/>
      <c r="B176" s="5"/>
      <c r="C176" s="5"/>
      <c r="D176" s="7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69"/>
      <c r="B177" s="5"/>
      <c r="C177" s="5"/>
      <c r="D177" s="7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69"/>
      <c r="B178" s="5"/>
      <c r="C178" s="5"/>
      <c r="D178" s="7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69"/>
      <c r="B179" s="5"/>
      <c r="C179" s="5"/>
      <c r="D179" s="7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69"/>
      <c r="B180" s="5"/>
      <c r="C180" s="5"/>
      <c r="D180" s="7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69"/>
      <c r="B181" s="5"/>
      <c r="C181" s="5"/>
      <c r="D181" s="7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69"/>
      <c r="B182" s="5"/>
      <c r="C182" s="5"/>
      <c r="D182" s="7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69"/>
      <c r="B183" s="5"/>
      <c r="C183" s="5"/>
      <c r="D183" s="7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69"/>
      <c r="B184" s="5"/>
      <c r="C184" s="5"/>
      <c r="D184" s="7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69"/>
      <c r="B185" s="5"/>
      <c r="C185" s="5"/>
      <c r="D185" s="7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69"/>
      <c r="B186" s="5"/>
      <c r="C186" s="5"/>
      <c r="D186" s="7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69"/>
      <c r="B187" s="5"/>
      <c r="C187" s="5"/>
      <c r="D187" s="7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69"/>
      <c r="B188" s="5"/>
      <c r="C188" s="5"/>
      <c r="D188" s="7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69"/>
      <c r="B189" s="5"/>
      <c r="C189" s="5"/>
      <c r="D189" s="7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69"/>
      <c r="B190" s="5"/>
      <c r="C190" s="5"/>
      <c r="D190" s="7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69"/>
      <c r="B191" s="5"/>
      <c r="C191" s="5"/>
      <c r="D191" s="7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69"/>
      <c r="B192" s="5"/>
      <c r="C192" s="5"/>
      <c r="D192" s="7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69"/>
      <c r="B193" s="5"/>
      <c r="C193" s="5"/>
      <c r="D193" s="7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69"/>
      <c r="B194" s="5"/>
      <c r="C194" s="5"/>
      <c r="D194" s="7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69"/>
      <c r="B195" s="5"/>
      <c r="C195" s="5"/>
      <c r="D195" s="7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69"/>
      <c r="B196" s="5"/>
      <c r="C196" s="5"/>
      <c r="D196" s="7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69"/>
      <c r="B197" s="5"/>
      <c r="C197" s="5"/>
      <c r="D197" s="7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69"/>
      <c r="B198" s="5"/>
      <c r="C198" s="5"/>
      <c r="D198" s="7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69"/>
      <c r="B199" s="5"/>
      <c r="C199" s="5"/>
      <c r="D199" s="7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69"/>
      <c r="B200" s="5"/>
      <c r="C200" s="5"/>
      <c r="D200" s="7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69"/>
      <c r="B201" s="5"/>
      <c r="C201" s="5"/>
      <c r="D201" s="7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69"/>
      <c r="B202" s="5"/>
      <c r="C202" s="5"/>
      <c r="D202" s="7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69"/>
      <c r="B203" s="5"/>
      <c r="C203" s="5"/>
      <c r="D203" s="7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69"/>
      <c r="B204" s="5"/>
      <c r="C204" s="5"/>
      <c r="D204" s="7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69"/>
      <c r="B205" s="5"/>
      <c r="C205" s="5"/>
      <c r="D205" s="7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69"/>
      <c r="B206" s="5"/>
      <c r="C206" s="5"/>
      <c r="D206" s="7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69"/>
      <c r="B207" s="5"/>
      <c r="C207" s="5"/>
      <c r="D207" s="7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69"/>
      <c r="B208" s="5"/>
      <c r="C208" s="5"/>
      <c r="D208" s="7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69"/>
      <c r="B209" s="5"/>
      <c r="C209" s="5"/>
      <c r="D209" s="7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69"/>
      <c r="B210" s="5"/>
      <c r="C210" s="5"/>
      <c r="D210" s="7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69"/>
      <c r="B211" s="5"/>
      <c r="C211" s="5"/>
      <c r="D211" s="7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69"/>
      <c r="B212" s="5"/>
      <c r="C212" s="5"/>
      <c r="D212" s="7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69"/>
      <c r="B213" s="5"/>
      <c r="C213" s="5"/>
      <c r="D213" s="7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69"/>
      <c r="B214" s="5"/>
      <c r="C214" s="5"/>
      <c r="D214" s="7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69"/>
      <c r="B215" s="5"/>
      <c r="C215" s="5"/>
      <c r="D215" s="7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69"/>
      <c r="B216" s="5"/>
      <c r="C216" s="5"/>
      <c r="D216" s="7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69"/>
      <c r="B217" s="5"/>
      <c r="C217" s="5"/>
      <c r="D217" s="7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69"/>
      <c r="B218" s="5"/>
      <c r="C218" s="5"/>
      <c r="D218" s="7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69"/>
      <c r="B219" s="5"/>
      <c r="C219" s="5"/>
      <c r="D219" s="7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69"/>
      <c r="B220" s="5"/>
      <c r="C220" s="5"/>
      <c r="D220" s="7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69"/>
      <c r="B221" s="5"/>
      <c r="C221" s="5"/>
      <c r="D221" s="7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69"/>
      <c r="B222" s="5"/>
      <c r="C222" s="5"/>
      <c r="D222" s="7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69"/>
      <c r="B223" s="5"/>
      <c r="C223" s="5"/>
      <c r="D223" s="7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69"/>
      <c r="B224" s="5"/>
      <c r="C224" s="5"/>
      <c r="D224" s="7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69"/>
      <c r="B225" s="5"/>
      <c r="C225" s="5"/>
      <c r="D225" s="7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69"/>
      <c r="B226" s="5"/>
      <c r="C226" s="5"/>
      <c r="D226" s="7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69"/>
      <c r="B227" s="5"/>
      <c r="C227" s="5"/>
      <c r="D227" s="7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69"/>
      <c r="B228" s="5"/>
      <c r="C228" s="5"/>
      <c r="D228" s="7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69"/>
      <c r="B229" s="5"/>
      <c r="C229" s="5"/>
      <c r="D229" s="7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69"/>
      <c r="B230" s="5"/>
      <c r="C230" s="5"/>
      <c r="D230" s="7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69"/>
      <c r="B231" s="5"/>
      <c r="C231" s="5"/>
      <c r="D231" s="7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69"/>
      <c r="B232" s="5"/>
      <c r="C232" s="5"/>
      <c r="D232" s="7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69"/>
      <c r="B233" s="5"/>
      <c r="C233" s="5"/>
      <c r="D233" s="7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69"/>
      <c r="B234" s="5"/>
      <c r="C234" s="5"/>
      <c r="D234" s="7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69"/>
      <c r="B235" s="5"/>
      <c r="C235" s="5"/>
      <c r="D235" s="7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69"/>
      <c r="B236" s="5"/>
      <c r="C236" s="5"/>
      <c r="D236" s="7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69"/>
      <c r="B237" s="5"/>
      <c r="C237" s="5"/>
      <c r="D237" s="7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69"/>
      <c r="B238" s="5"/>
      <c r="C238" s="5"/>
      <c r="D238" s="7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69"/>
      <c r="B239" s="5"/>
      <c r="C239" s="5"/>
      <c r="D239" s="7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69"/>
      <c r="B240" s="5"/>
      <c r="C240" s="5"/>
      <c r="D240" s="7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69"/>
      <c r="B241" s="5"/>
      <c r="C241" s="5"/>
      <c r="D241" s="7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69"/>
      <c r="B242" s="5"/>
      <c r="C242" s="5"/>
      <c r="D242" s="7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69"/>
      <c r="B243" s="5"/>
      <c r="C243" s="5"/>
      <c r="D243" s="7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69"/>
      <c r="B244" s="5"/>
      <c r="C244" s="5"/>
      <c r="D244" s="7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69"/>
      <c r="B245" s="5"/>
      <c r="C245" s="5"/>
      <c r="D245" s="7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69"/>
      <c r="B246" s="5"/>
      <c r="C246" s="5"/>
      <c r="D246" s="7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69"/>
      <c r="B247" s="5"/>
      <c r="C247" s="5"/>
      <c r="D247" s="7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69"/>
      <c r="B248" s="5"/>
      <c r="C248" s="5"/>
      <c r="D248" s="7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69"/>
      <c r="B249" s="5"/>
      <c r="C249" s="5"/>
      <c r="D249" s="7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69"/>
      <c r="B250" s="5"/>
      <c r="C250" s="5"/>
      <c r="D250" s="7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69"/>
      <c r="B251" s="5"/>
      <c r="C251" s="5"/>
      <c r="D251" s="7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69"/>
      <c r="B252" s="5"/>
      <c r="C252" s="5"/>
      <c r="D252" s="7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69"/>
      <c r="B253" s="5"/>
      <c r="C253" s="5"/>
      <c r="D253" s="7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69"/>
      <c r="B254" s="5"/>
      <c r="C254" s="5"/>
      <c r="D254" s="7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69"/>
      <c r="B255" s="5"/>
      <c r="C255" s="5"/>
      <c r="D255" s="7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69"/>
      <c r="B256" s="5"/>
      <c r="C256" s="5"/>
      <c r="D256" s="7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69"/>
      <c r="B257" s="5"/>
      <c r="C257" s="5"/>
      <c r="D257" s="7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69"/>
      <c r="B258" s="5"/>
      <c r="C258" s="5"/>
      <c r="D258" s="7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69"/>
      <c r="B259" s="5"/>
      <c r="C259" s="5"/>
      <c r="D259" s="7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69"/>
      <c r="B260" s="5"/>
      <c r="C260" s="5"/>
      <c r="D260" s="7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69"/>
      <c r="B261" s="5"/>
      <c r="C261" s="5"/>
      <c r="D261" s="7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69"/>
      <c r="B262" s="5"/>
      <c r="C262" s="5"/>
      <c r="D262" s="7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69"/>
      <c r="B263" s="5"/>
      <c r="C263" s="5"/>
      <c r="D263" s="7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69"/>
      <c r="B264" s="5"/>
      <c r="C264" s="5"/>
      <c r="D264" s="7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69"/>
      <c r="B265" s="5"/>
      <c r="C265" s="5"/>
      <c r="D265" s="7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69"/>
      <c r="B266" s="5"/>
      <c r="C266" s="5"/>
      <c r="D266" s="7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69"/>
      <c r="B267" s="5"/>
      <c r="C267" s="5"/>
      <c r="D267" s="7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69"/>
      <c r="B268" s="5"/>
      <c r="C268" s="5"/>
      <c r="D268" s="7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69"/>
      <c r="B269" s="5"/>
      <c r="C269" s="5"/>
      <c r="D269" s="7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69"/>
      <c r="B270" s="5"/>
      <c r="C270" s="5"/>
      <c r="D270" s="7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69"/>
      <c r="B271" s="5"/>
      <c r="C271" s="5"/>
      <c r="D271" s="7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69"/>
      <c r="B272" s="5"/>
      <c r="C272" s="5"/>
      <c r="D272" s="7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69"/>
      <c r="B273" s="5"/>
      <c r="C273" s="5"/>
      <c r="D273" s="7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69"/>
      <c r="B274" s="5"/>
      <c r="C274" s="5"/>
      <c r="D274" s="7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69"/>
      <c r="B275" s="5"/>
      <c r="C275" s="5"/>
      <c r="D275" s="7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69"/>
      <c r="B276" s="5"/>
      <c r="C276" s="5"/>
      <c r="D276" s="7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69"/>
      <c r="B277" s="5"/>
      <c r="C277" s="5"/>
      <c r="D277" s="7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69"/>
      <c r="B278" s="5"/>
      <c r="C278" s="5"/>
      <c r="D278" s="7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69"/>
      <c r="B279" s="5"/>
      <c r="C279" s="5"/>
      <c r="D279" s="7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69"/>
      <c r="B280" s="5"/>
      <c r="C280" s="5"/>
      <c r="D280" s="7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69"/>
      <c r="B281" s="5"/>
      <c r="C281" s="5"/>
      <c r="D281" s="7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69"/>
      <c r="B282" s="5"/>
      <c r="C282" s="5"/>
      <c r="D282" s="7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69"/>
      <c r="B283" s="5"/>
      <c r="C283" s="5"/>
      <c r="D283" s="7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69"/>
      <c r="B284" s="5"/>
      <c r="C284" s="5"/>
      <c r="D284" s="7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69"/>
      <c r="B285" s="5"/>
      <c r="C285" s="5"/>
      <c r="D285" s="7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69"/>
      <c r="B286" s="5"/>
      <c r="C286" s="5"/>
      <c r="D286" s="7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69"/>
      <c r="B287" s="5"/>
      <c r="C287" s="5"/>
      <c r="D287" s="7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6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6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6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6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6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6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6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6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6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6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6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6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6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6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6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6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6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6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6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6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6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6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6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/>
    <row r="312" spans="1:26" ht="15.75" customHeight="1" x14ac:dyDescent="0.25"/>
    <row r="313" spans="1:26" ht="15.75" customHeight="1" x14ac:dyDescent="0.25"/>
    <row r="314" spans="1:26" ht="15.75" customHeight="1" x14ac:dyDescent="0.25"/>
    <row r="315" spans="1:26" ht="15.75" customHeight="1" x14ac:dyDescent="0.25"/>
    <row r="316" spans="1:26" ht="15.75" customHeight="1" x14ac:dyDescent="0.25"/>
    <row r="317" spans="1:26" ht="15.75" customHeight="1" x14ac:dyDescent="0.25"/>
    <row r="318" spans="1:26" ht="15.75" customHeight="1" x14ac:dyDescent="0.25"/>
    <row r="319" spans="1:26" ht="15.75" customHeight="1" x14ac:dyDescent="0.25"/>
    <row r="320" spans="1:26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000"/>
  <sheetViews>
    <sheetView workbookViewId="0">
      <pane xSplit="4" ySplit="1" topLeftCell="E30" activePane="bottomRight" state="frozen"/>
      <selection pane="topRight" activeCell="E1" sqref="E1"/>
      <selection pane="bottomLeft" activeCell="A2" sqref="A2"/>
      <selection pane="bottomRight" activeCell="C53" sqref="C53"/>
    </sheetView>
  </sheetViews>
  <sheetFormatPr defaultColWidth="14.42578125" defaultRowHeight="15" customHeight="1" x14ac:dyDescent="0.25"/>
  <cols>
    <col min="1" max="1" width="4.28515625" customWidth="1"/>
    <col min="2" max="2" width="12" customWidth="1"/>
    <col min="3" max="3" width="26.42578125" customWidth="1"/>
    <col min="4" max="4" width="10.140625" customWidth="1"/>
    <col min="5" max="5" width="18.7109375" customWidth="1"/>
    <col min="6" max="6" width="14" customWidth="1"/>
    <col min="7" max="7" width="11.7109375" customWidth="1"/>
    <col min="9" max="9" width="15.7109375" customWidth="1"/>
    <col min="10" max="10" width="22.7109375" customWidth="1"/>
    <col min="11" max="11" width="27.7109375" customWidth="1"/>
    <col min="12" max="12" width="11" customWidth="1"/>
    <col min="13" max="13" width="20.5703125" customWidth="1"/>
    <col min="14" max="14" width="12" customWidth="1"/>
    <col min="15" max="15" width="20.42578125" customWidth="1"/>
    <col min="16" max="16" width="23.85546875" customWidth="1"/>
    <col min="17" max="17" width="12.42578125" customWidth="1"/>
    <col min="18" max="18" width="16.85546875" customWidth="1"/>
    <col min="19" max="19" width="14.5703125" customWidth="1"/>
    <col min="20" max="20" width="20.140625" customWidth="1"/>
    <col min="21" max="21" width="11.7109375" customWidth="1"/>
    <col min="22" max="22" width="28.140625" customWidth="1"/>
    <col min="23" max="23" width="13.28515625" customWidth="1"/>
    <col min="24" max="24" width="18.85546875" customWidth="1"/>
    <col min="25" max="25" width="5.7109375" customWidth="1"/>
    <col min="26" max="26" width="11" customWidth="1"/>
    <col min="27" max="27" width="13.42578125" customWidth="1"/>
    <col min="28" max="28" width="19.85546875" customWidth="1"/>
    <col min="29" max="29" width="12" customWidth="1"/>
    <col min="30" max="30" width="15.140625" customWidth="1"/>
    <col min="31" max="31" width="18" customWidth="1"/>
    <col min="32" max="32" width="13.140625" customWidth="1"/>
    <col min="33" max="33" width="14.7109375" customWidth="1"/>
    <col min="34" max="34" width="13.5703125" customWidth="1"/>
    <col min="35" max="35" width="19.28515625" customWidth="1"/>
    <col min="36" max="36" width="23.28515625" customWidth="1"/>
    <col min="37" max="37" width="12" customWidth="1"/>
  </cols>
  <sheetData>
    <row r="1" spans="1:37" x14ac:dyDescent="0.25">
      <c r="A1" s="74" t="s">
        <v>185</v>
      </c>
      <c r="B1" s="74" t="s">
        <v>0</v>
      </c>
      <c r="C1" s="74" t="s">
        <v>1</v>
      </c>
      <c r="D1" s="74" t="s">
        <v>2</v>
      </c>
      <c r="E1" s="75" t="s">
        <v>186</v>
      </c>
      <c r="F1" s="75" t="s">
        <v>520</v>
      </c>
      <c r="G1" s="75" t="s">
        <v>188</v>
      </c>
      <c r="H1" s="75" t="s">
        <v>189</v>
      </c>
      <c r="I1" s="75" t="s">
        <v>192</v>
      </c>
      <c r="J1" s="75" t="s">
        <v>521</v>
      </c>
      <c r="K1" s="75" t="s">
        <v>522</v>
      </c>
      <c r="L1" s="75" t="s">
        <v>202</v>
      </c>
      <c r="M1" s="75" t="s">
        <v>198</v>
      </c>
      <c r="N1" s="75" t="s">
        <v>523</v>
      </c>
      <c r="O1" s="75" t="s">
        <v>200</v>
      </c>
      <c r="P1" s="75" t="s">
        <v>204</v>
      </c>
      <c r="Q1" s="75" t="s">
        <v>206</v>
      </c>
      <c r="R1" s="75" t="s">
        <v>205</v>
      </c>
      <c r="S1" s="75" t="s">
        <v>207</v>
      </c>
      <c r="T1" s="75" t="s">
        <v>208</v>
      </c>
      <c r="U1" s="75" t="s">
        <v>524</v>
      </c>
      <c r="V1" s="75" t="s">
        <v>190</v>
      </c>
      <c r="W1" s="75" t="s">
        <v>191</v>
      </c>
      <c r="X1" s="75" t="s">
        <v>193</v>
      </c>
      <c r="Y1" s="75" t="s">
        <v>194</v>
      </c>
      <c r="Z1" s="75" t="s">
        <v>195</v>
      </c>
      <c r="AA1" s="75" t="s">
        <v>199</v>
      </c>
      <c r="AB1" s="75" t="s">
        <v>197</v>
      </c>
      <c r="AC1" s="75" t="s">
        <v>525</v>
      </c>
      <c r="AD1" s="75" t="s">
        <v>23</v>
      </c>
      <c r="AE1" s="75" t="s">
        <v>526</v>
      </c>
      <c r="AF1" s="75" t="s">
        <v>527</v>
      </c>
      <c r="AG1" s="75" t="s">
        <v>528</v>
      </c>
      <c r="AH1" s="75" t="s">
        <v>529</v>
      </c>
      <c r="AI1" s="75" t="s">
        <v>530</v>
      </c>
      <c r="AJ1" s="75" t="s">
        <v>531</v>
      </c>
      <c r="AK1" s="76"/>
    </row>
    <row r="2" spans="1:37" x14ac:dyDescent="0.25">
      <c r="A2" s="77">
        <v>1</v>
      </c>
      <c r="B2" s="5" t="s">
        <v>221</v>
      </c>
      <c r="C2" s="5" t="s">
        <v>222</v>
      </c>
      <c r="D2" s="5" t="s">
        <v>223</v>
      </c>
      <c r="E2" s="78"/>
      <c r="F2" s="78">
        <v>18500</v>
      </c>
      <c r="G2" s="78">
        <v>1500</v>
      </c>
      <c r="H2" s="78"/>
      <c r="I2" s="78">
        <v>1500</v>
      </c>
      <c r="J2" s="78"/>
      <c r="K2" s="78"/>
      <c r="L2" s="78"/>
      <c r="M2" s="78"/>
      <c r="N2" s="78">
        <f t="shared" ref="N2:N56" si="0">SUM(E2:M2)</f>
        <v>21500</v>
      </c>
      <c r="O2" s="78"/>
      <c r="P2" s="78"/>
      <c r="Q2" s="78"/>
      <c r="R2" s="78"/>
      <c r="S2" s="78"/>
      <c r="T2" s="78"/>
      <c r="U2" s="78">
        <f t="shared" ref="U2:U56" si="1">SUM(O2:T2)</f>
        <v>0</v>
      </c>
      <c r="V2" s="78"/>
      <c r="W2" s="78"/>
      <c r="X2" s="78"/>
      <c r="Y2" s="78"/>
      <c r="Z2" s="78"/>
      <c r="AA2" s="78"/>
      <c r="AB2" s="78"/>
      <c r="AC2" s="78">
        <f t="shared" ref="AC2:AC56" si="2">SUM(V2:AB2)</f>
        <v>0</v>
      </c>
      <c r="AD2" s="79">
        <v>0</v>
      </c>
      <c r="AE2" s="49">
        <f t="shared" ref="AE2:AE56" si="3">SUM(N2,U2,AC2,AD2)</f>
        <v>21500</v>
      </c>
      <c r="AF2" s="49">
        <f t="shared" ref="AF2:AF19" si="4">AE2/2</f>
        <v>10750</v>
      </c>
      <c r="AG2" s="49">
        <v>10000</v>
      </c>
      <c r="AH2" s="49">
        <v>11500</v>
      </c>
      <c r="AI2" s="80">
        <f t="shared" ref="AI2:AI56" si="5">SUM(AG2,AH2)</f>
        <v>21500</v>
      </c>
      <c r="AJ2" s="80">
        <f t="shared" ref="AJ2:AJ56" si="6">AE2-AI2</f>
        <v>0</v>
      </c>
      <c r="AK2" s="9"/>
    </row>
    <row r="3" spans="1:37" x14ac:dyDescent="0.25">
      <c r="A3" s="77">
        <v>2</v>
      </c>
      <c r="B3" s="5" t="s">
        <v>805</v>
      </c>
      <c r="C3" s="5" t="s">
        <v>73</v>
      </c>
      <c r="D3" s="5" t="s">
        <v>227</v>
      </c>
      <c r="E3" s="78"/>
      <c r="F3" s="78">
        <v>18500</v>
      </c>
      <c r="G3" s="78">
        <v>1500</v>
      </c>
      <c r="H3" s="78"/>
      <c r="I3" s="78">
        <v>1500</v>
      </c>
      <c r="J3" s="78"/>
      <c r="K3" s="78"/>
      <c r="L3" s="78"/>
      <c r="M3" s="78"/>
      <c r="N3" s="78">
        <f t="shared" si="0"/>
        <v>21500</v>
      </c>
      <c r="O3" s="78"/>
      <c r="P3" s="78"/>
      <c r="Q3" s="78"/>
      <c r="R3" s="78"/>
      <c r="S3" s="78"/>
      <c r="T3" s="78"/>
      <c r="U3" s="78">
        <f t="shared" si="1"/>
        <v>0</v>
      </c>
      <c r="V3" s="78"/>
      <c r="W3" s="78"/>
      <c r="X3" s="78"/>
      <c r="Y3" s="78"/>
      <c r="Z3" s="78"/>
      <c r="AA3" s="78"/>
      <c r="AB3" s="78"/>
      <c r="AC3" s="78">
        <f t="shared" si="2"/>
        <v>0</v>
      </c>
      <c r="AD3" s="79">
        <v>-2000</v>
      </c>
      <c r="AE3" s="49">
        <f t="shared" si="3"/>
        <v>19500</v>
      </c>
      <c r="AF3" s="49">
        <f t="shared" si="4"/>
        <v>9750</v>
      </c>
      <c r="AG3" s="49">
        <v>15000</v>
      </c>
      <c r="AH3" s="49">
        <v>6500</v>
      </c>
      <c r="AI3" s="80">
        <f t="shared" si="5"/>
        <v>21500</v>
      </c>
      <c r="AJ3" s="80">
        <f t="shared" si="6"/>
        <v>-2000</v>
      </c>
      <c r="AK3" s="9"/>
    </row>
    <row r="4" spans="1:37" x14ac:dyDescent="0.25">
      <c r="A4" s="77">
        <v>39</v>
      </c>
      <c r="B4" s="5" t="s">
        <v>72</v>
      </c>
      <c r="C4" s="5" t="s">
        <v>231</v>
      </c>
      <c r="D4" s="5" t="s">
        <v>232</v>
      </c>
      <c r="E4" s="78"/>
      <c r="F4" s="78">
        <v>10250</v>
      </c>
      <c r="G4" s="78">
        <v>1000</v>
      </c>
      <c r="H4" s="78"/>
      <c r="I4" s="78">
        <v>1500</v>
      </c>
      <c r="J4" s="78">
        <v>1500</v>
      </c>
      <c r="K4" s="78">
        <v>1000</v>
      </c>
      <c r="L4" s="78">
        <v>1000</v>
      </c>
      <c r="M4" s="78"/>
      <c r="N4" s="78">
        <f t="shared" si="0"/>
        <v>16250</v>
      </c>
      <c r="O4" s="78"/>
      <c r="P4" s="78"/>
      <c r="Q4" s="78"/>
      <c r="R4" s="78"/>
      <c r="S4" s="78"/>
      <c r="T4" s="78"/>
      <c r="U4" s="78">
        <f t="shared" si="1"/>
        <v>0</v>
      </c>
      <c r="V4" s="78"/>
      <c r="W4" s="78"/>
      <c r="X4" s="78"/>
      <c r="Y4" s="78"/>
      <c r="Z4" s="78">
        <v>-4500</v>
      </c>
      <c r="AA4" s="78">
        <v>-4000</v>
      </c>
      <c r="AB4" s="78"/>
      <c r="AC4" s="78">
        <f t="shared" si="2"/>
        <v>-8500</v>
      </c>
      <c r="AD4" s="79">
        <v>52680</v>
      </c>
      <c r="AE4" s="49">
        <f t="shared" si="3"/>
        <v>60430</v>
      </c>
      <c r="AF4" s="49">
        <f t="shared" si="4"/>
        <v>30215</v>
      </c>
      <c r="AG4" s="49">
        <v>20000</v>
      </c>
      <c r="AH4" s="49"/>
      <c r="AI4" s="80">
        <f t="shared" si="5"/>
        <v>20000</v>
      </c>
      <c r="AJ4" s="80">
        <f t="shared" si="6"/>
        <v>40430</v>
      </c>
      <c r="AK4" s="9"/>
    </row>
    <row r="5" spans="1:37" x14ac:dyDescent="0.25">
      <c r="A5" s="77">
        <v>23</v>
      </c>
      <c r="B5" s="5" t="s">
        <v>72</v>
      </c>
      <c r="C5" s="5" t="s">
        <v>236</v>
      </c>
      <c r="D5" s="5" t="s">
        <v>237</v>
      </c>
      <c r="E5" s="78"/>
      <c r="F5" s="78">
        <v>10250</v>
      </c>
      <c r="G5" s="78">
        <v>1000</v>
      </c>
      <c r="H5" s="78"/>
      <c r="I5" s="78">
        <v>1500</v>
      </c>
      <c r="J5" s="78">
        <v>1500</v>
      </c>
      <c r="K5" s="78">
        <v>1000</v>
      </c>
      <c r="L5" s="78">
        <v>1000</v>
      </c>
      <c r="M5" s="78"/>
      <c r="N5" s="78">
        <f t="shared" si="0"/>
        <v>16250</v>
      </c>
      <c r="O5" s="78"/>
      <c r="P5" s="78"/>
      <c r="Q5" s="78"/>
      <c r="R5" s="78"/>
      <c r="S5" s="78"/>
      <c r="T5" s="78"/>
      <c r="U5" s="78">
        <f t="shared" si="1"/>
        <v>0</v>
      </c>
      <c r="V5" s="78"/>
      <c r="W5" s="78"/>
      <c r="X5" s="78"/>
      <c r="Y5" s="78"/>
      <c r="Z5" s="78">
        <v>-4500</v>
      </c>
      <c r="AA5" s="78">
        <v>-4000</v>
      </c>
      <c r="AB5" s="78"/>
      <c r="AC5" s="78">
        <f t="shared" si="2"/>
        <v>-8500</v>
      </c>
      <c r="AD5" s="79">
        <v>56230</v>
      </c>
      <c r="AE5" s="49">
        <f t="shared" si="3"/>
        <v>63980</v>
      </c>
      <c r="AF5" s="49">
        <f t="shared" si="4"/>
        <v>31990</v>
      </c>
      <c r="AG5" s="49">
        <v>20000</v>
      </c>
      <c r="AH5" s="49"/>
      <c r="AI5" s="80">
        <f t="shared" si="5"/>
        <v>20000</v>
      </c>
      <c r="AJ5" s="80">
        <f t="shared" si="6"/>
        <v>43980</v>
      </c>
      <c r="AK5" s="9"/>
    </row>
    <row r="6" spans="1:37" x14ac:dyDescent="0.25">
      <c r="A6" s="77">
        <v>43</v>
      </c>
      <c r="B6" s="5" t="s">
        <v>72</v>
      </c>
      <c r="C6" s="5" t="s">
        <v>239</v>
      </c>
      <c r="D6" s="5" t="s">
        <v>240</v>
      </c>
      <c r="E6" s="78"/>
      <c r="F6" s="78">
        <v>15375</v>
      </c>
      <c r="G6" s="78">
        <v>1000</v>
      </c>
      <c r="H6" s="78"/>
      <c r="I6" s="78">
        <v>1500</v>
      </c>
      <c r="J6" s="78">
        <v>1500</v>
      </c>
      <c r="K6" s="78">
        <v>1000</v>
      </c>
      <c r="L6" s="78">
        <v>1000</v>
      </c>
      <c r="M6" s="78"/>
      <c r="N6" s="78">
        <f t="shared" si="0"/>
        <v>21375</v>
      </c>
      <c r="O6" s="78"/>
      <c r="P6" s="78"/>
      <c r="Q6" s="78"/>
      <c r="R6" s="78"/>
      <c r="S6" s="78"/>
      <c r="T6" s="78"/>
      <c r="U6" s="78">
        <f t="shared" si="1"/>
        <v>0</v>
      </c>
      <c r="V6" s="78"/>
      <c r="W6" s="78"/>
      <c r="X6" s="78"/>
      <c r="Y6" s="78"/>
      <c r="Z6" s="78">
        <v>-4500</v>
      </c>
      <c r="AA6" s="78">
        <v>-4000</v>
      </c>
      <c r="AB6" s="78"/>
      <c r="AC6" s="78">
        <f t="shared" si="2"/>
        <v>-8500</v>
      </c>
      <c r="AD6" s="79">
        <v>52355</v>
      </c>
      <c r="AE6" s="49">
        <f t="shared" si="3"/>
        <v>65230</v>
      </c>
      <c r="AF6" s="49">
        <f t="shared" si="4"/>
        <v>32615</v>
      </c>
      <c r="AG6" s="49">
        <v>14850</v>
      </c>
      <c r="AH6" s="49">
        <v>20000</v>
      </c>
      <c r="AI6" s="80">
        <f t="shared" si="5"/>
        <v>34850</v>
      </c>
      <c r="AJ6" s="80">
        <f t="shared" si="6"/>
        <v>30380</v>
      </c>
      <c r="AK6" s="9"/>
    </row>
    <row r="7" spans="1:37" x14ac:dyDescent="0.25">
      <c r="A7" s="77">
        <v>6</v>
      </c>
      <c r="B7" s="5" t="s">
        <v>77</v>
      </c>
      <c r="C7" s="5" t="s">
        <v>78</v>
      </c>
      <c r="D7" s="5" t="s">
        <v>228</v>
      </c>
      <c r="E7" s="78"/>
      <c r="F7" s="78">
        <v>18500</v>
      </c>
      <c r="G7" s="78">
        <v>1500</v>
      </c>
      <c r="H7" s="78"/>
      <c r="I7" s="78">
        <v>1500</v>
      </c>
      <c r="J7" s="78"/>
      <c r="K7" s="78">
        <v>500</v>
      </c>
      <c r="L7" s="78">
        <v>500</v>
      </c>
      <c r="M7" s="78"/>
      <c r="N7" s="78">
        <f t="shared" si="0"/>
        <v>22500</v>
      </c>
      <c r="O7" s="78"/>
      <c r="P7" s="78"/>
      <c r="Q7" s="78"/>
      <c r="R7" s="78"/>
      <c r="S7" s="78"/>
      <c r="T7" s="78"/>
      <c r="U7" s="78">
        <f t="shared" si="1"/>
        <v>0</v>
      </c>
      <c r="V7" s="78"/>
      <c r="W7" s="78"/>
      <c r="X7" s="78"/>
      <c r="Y7" s="78"/>
      <c r="Z7" s="78"/>
      <c r="AA7" s="78"/>
      <c r="AB7" s="78"/>
      <c r="AC7" s="78">
        <f t="shared" si="2"/>
        <v>0</v>
      </c>
      <c r="AD7" s="79">
        <v>-2000</v>
      </c>
      <c r="AE7" s="49">
        <f t="shared" si="3"/>
        <v>20500</v>
      </c>
      <c r="AF7" s="49">
        <f t="shared" si="4"/>
        <v>10250</v>
      </c>
      <c r="AG7" s="49">
        <v>10000</v>
      </c>
      <c r="AH7" s="49">
        <v>10500</v>
      </c>
      <c r="AI7" s="80">
        <f t="shared" si="5"/>
        <v>20500</v>
      </c>
      <c r="AJ7" s="80">
        <f t="shared" si="6"/>
        <v>0</v>
      </c>
      <c r="AK7" s="9"/>
    </row>
    <row r="8" spans="1:37" x14ac:dyDescent="0.25">
      <c r="A8" s="77">
        <v>7</v>
      </c>
      <c r="B8" s="5" t="s">
        <v>61</v>
      </c>
      <c r="C8" s="5" t="s">
        <v>224</v>
      </c>
      <c r="D8" s="5" t="s">
        <v>223</v>
      </c>
      <c r="E8" s="78"/>
      <c r="F8" s="78">
        <v>18500</v>
      </c>
      <c r="G8" s="78">
        <v>1500</v>
      </c>
      <c r="H8" s="78"/>
      <c r="I8" s="78">
        <v>1500</v>
      </c>
      <c r="J8" s="78"/>
      <c r="K8" s="78"/>
      <c r="L8" s="78"/>
      <c r="M8" s="78"/>
      <c r="N8" s="78">
        <f t="shared" si="0"/>
        <v>21500</v>
      </c>
      <c r="O8" s="78"/>
      <c r="P8" s="78"/>
      <c r="Q8" s="78"/>
      <c r="R8" s="78"/>
      <c r="S8" s="78"/>
      <c r="T8" s="78"/>
      <c r="U8" s="78">
        <f t="shared" si="1"/>
        <v>0</v>
      </c>
      <c r="V8" s="78"/>
      <c r="W8" s="78"/>
      <c r="X8" s="78"/>
      <c r="Y8" s="78"/>
      <c r="Z8" s="78"/>
      <c r="AA8" s="78"/>
      <c r="AB8" s="78"/>
      <c r="AC8" s="78">
        <f t="shared" si="2"/>
        <v>0</v>
      </c>
      <c r="AD8" s="79">
        <v>0</v>
      </c>
      <c r="AE8" s="49">
        <f t="shared" si="3"/>
        <v>21500</v>
      </c>
      <c r="AF8" s="49">
        <f t="shared" si="4"/>
        <v>10750</v>
      </c>
      <c r="AG8" s="49">
        <v>21500</v>
      </c>
      <c r="AH8" s="49"/>
      <c r="AI8" s="80">
        <f t="shared" si="5"/>
        <v>21500</v>
      </c>
      <c r="AJ8" s="80">
        <f t="shared" si="6"/>
        <v>0</v>
      </c>
      <c r="AK8" s="9"/>
    </row>
    <row r="9" spans="1:37" x14ac:dyDescent="0.25">
      <c r="A9" s="77">
        <v>8</v>
      </c>
      <c r="B9" s="5" t="s">
        <v>61</v>
      </c>
      <c r="C9" s="5" t="s">
        <v>62</v>
      </c>
      <c r="D9" s="5" t="s">
        <v>232</v>
      </c>
      <c r="E9" s="78"/>
      <c r="F9" s="78">
        <v>20500</v>
      </c>
      <c r="G9" s="78">
        <v>2000</v>
      </c>
      <c r="H9" s="78"/>
      <c r="I9" s="78">
        <v>1500</v>
      </c>
      <c r="J9" s="78">
        <v>1500</v>
      </c>
      <c r="K9" s="78">
        <v>1000</v>
      </c>
      <c r="L9" s="78">
        <v>1000</v>
      </c>
      <c r="M9" s="78"/>
      <c r="N9" s="78">
        <f t="shared" si="0"/>
        <v>27500</v>
      </c>
      <c r="O9" s="78"/>
      <c r="P9" s="78"/>
      <c r="Q9" s="78"/>
      <c r="R9" s="78"/>
      <c r="S9" s="78"/>
      <c r="T9" s="78"/>
      <c r="U9" s="78">
        <f t="shared" si="1"/>
        <v>0</v>
      </c>
      <c r="V9" s="78"/>
      <c r="W9" s="78"/>
      <c r="X9" s="78">
        <v>6500</v>
      </c>
      <c r="Y9" s="78"/>
      <c r="Z9" s="78"/>
      <c r="AA9" s="78"/>
      <c r="AB9" s="78"/>
      <c r="AC9" s="78">
        <f t="shared" si="2"/>
        <v>6500</v>
      </c>
      <c r="AD9" s="79">
        <v>-2000</v>
      </c>
      <c r="AE9" s="49">
        <f t="shared" si="3"/>
        <v>32000</v>
      </c>
      <c r="AF9" s="49">
        <f t="shared" si="4"/>
        <v>16000</v>
      </c>
      <c r="AG9" s="49">
        <v>30000</v>
      </c>
      <c r="AH9" s="49"/>
      <c r="AI9" s="80">
        <f t="shared" si="5"/>
        <v>30000</v>
      </c>
      <c r="AJ9" s="80">
        <f t="shared" si="6"/>
        <v>2000</v>
      </c>
      <c r="AK9" s="9"/>
    </row>
    <row r="10" spans="1:37" x14ac:dyDescent="0.25">
      <c r="A10" s="77">
        <v>9</v>
      </c>
      <c r="B10" s="5" t="s">
        <v>64</v>
      </c>
      <c r="C10" s="5" t="s">
        <v>65</v>
      </c>
      <c r="D10" s="5" t="s">
        <v>232</v>
      </c>
      <c r="E10" s="78"/>
      <c r="F10" s="78">
        <v>20500</v>
      </c>
      <c r="G10" s="78">
        <v>2000</v>
      </c>
      <c r="H10" s="78"/>
      <c r="I10" s="78">
        <v>1500</v>
      </c>
      <c r="J10" s="78">
        <v>1500</v>
      </c>
      <c r="K10" s="78">
        <v>1000</v>
      </c>
      <c r="L10" s="78">
        <v>1000</v>
      </c>
      <c r="M10" s="78"/>
      <c r="N10" s="78">
        <f t="shared" si="0"/>
        <v>27500</v>
      </c>
      <c r="O10" s="78"/>
      <c r="P10" s="78"/>
      <c r="Q10" s="78"/>
      <c r="R10" s="78"/>
      <c r="S10" s="78"/>
      <c r="T10" s="78"/>
      <c r="U10" s="78">
        <f t="shared" si="1"/>
        <v>0</v>
      </c>
      <c r="V10" s="78"/>
      <c r="W10" s="78"/>
      <c r="X10" s="78"/>
      <c r="Y10" s="78"/>
      <c r="Z10" s="78"/>
      <c r="AA10" s="78"/>
      <c r="AB10" s="78"/>
      <c r="AC10" s="78">
        <f t="shared" si="2"/>
        <v>0</v>
      </c>
      <c r="AD10" s="79">
        <v>-2000</v>
      </c>
      <c r="AE10" s="49">
        <f t="shared" si="3"/>
        <v>25500</v>
      </c>
      <c r="AF10" s="49">
        <f t="shared" si="4"/>
        <v>12750</v>
      </c>
      <c r="AG10" s="49">
        <v>15000</v>
      </c>
      <c r="AH10" s="49">
        <v>10500</v>
      </c>
      <c r="AI10" s="80">
        <f t="shared" si="5"/>
        <v>25500</v>
      </c>
      <c r="AJ10" s="80">
        <f t="shared" si="6"/>
        <v>0</v>
      </c>
      <c r="AK10" s="9"/>
    </row>
    <row r="11" spans="1:37" x14ac:dyDescent="0.25">
      <c r="A11" s="77">
        <v>10</v>
      </c>
      <c r="B11" s="5" t="s">
        <v>38</v>
      </c>
      <c r="C11" s="5" t="s">
        <v>90</v>
      </c>
      <c r="D11" s="5" t="s">
        <v>238</v>
      </c>
      <c r="E11" s="78"/>
      <c r="F11" s="78">
        <v>20500</v>
      </c>
      <c r="G11" s="78">
        <v>2000</v>
      </c>
      <c r="H11" s="78"/>
      <c r="I11" s="78">
        <v>1500</v>
      </c>
      <c r="J11" s="78">
        <v>1500</v>
      </c>
      <c r="K11" s="78">
        <v>1000</v>
      </c>
      <c r="L11" s="78">
        <v>1000</v>
      </c>
      <c r="M11" s="78"/>
      <c r="N11" s="78">
        <f t="shared" si="0"/>
        <v>27500</v>
      </c>
      <c r="O11" s="78"/>
      <c r="P11" s="78"/>
      <c r="Q11" s="78"/>
      <c r="R11" s="78"/>
      <c r="S11" s="78"/>
      <c r="T11" s="78"/>
      <c r="U11" s="78">
        <f t="shared" si="1"/>
        <v>0</v>
      </c>
      <c r="V11" s="78"/>
      <c r="W11" s="78"/>
      <c r="X11" s="78"/>
      <c r="Y11" s="78"/>
      <c r="Z11" s="78"/>
      <c r="AA11" s="78"/>
      <c r="AB11" s="78"/>
      <c r="AC11" s="78">
        <f t="shared" si="2"/>
        <v>0</v>
      </c>
      <c r="AD11" s="79">
        <v>0</v>
      </c>
      <c r="AE11" s="49">
        <f t="shared" si="3"/>
        <v>27500</v>
      </c>
      <c r="AF11" s="49">
        <f t="shared" si="4"/>
        <v>13750</v>
      </c>
      <c r="AG11" s="49">
        <v>20000</v>
      </c>
      <c r="AH11" s="49">
        <v>7500</v>
      </c>
      <c r="AI11" s="80">
        <f t="shared" si="5"/>
        <v>27500</v>
      </c>
      <c r="AJ11" s="80">
        <f t="shared" si="6"/>
        <v>0</v>
      </c>
      <c r="AK11" s="9"/>
    </row>
    <row r="12" spans="1:37" x14ac:dyDescent="0.25">
      <c r="A12" s="77">
        <v>11</v>
      </c>
      <c r="B12" s="5" t="s">
        <v>38</v>
      </c>
      <c r="C12" s="5" t="s">
        <v>39</v>
      </c>
      <c r="D12" s="5" t="s">
        <v>244</v>
      </c>
      <c r="E12" s="78"/>
      <c r="F12" s="78">
        <v>33750</v>
      </c>
      <c r="G12" s="78">
        <v>2500</v>
      </c>
      <c r="H12" s="78"/>
      <c r="I12" s="78">
        <v>2000</v>
      </c>
      <c r="J12" s="78">
        <v>2000</v>
      </c>
      <c r="K12" s="78">
        <v>2500</v>
      </c>
      <c r="L12" s="78"/>
      <c r="M12" s="78"/>
      <c r="N12" s="78">
        <f t="shared" si="0"/>
        <v>42750</v>
      </c>
      <c r="O12" s="78"/>
      <c r="P12" s="78"/>
      <c r="Q12" s="78"/>
      <c r="R12" s="78"/>
      <c r="S12" s="78"/>
      <c r="T12" s="78"/>
      <c r="U12" s="78">
        <f t="shared" si="1"/>
        <v>0</v>
      </c>
      <c r="V12" s="78"/>
      <c r="W12" s="78"/>
      <c r="X12" s="78">
        <v>7500</v>
      </c>
      <c r="Y12" s="78"/>
      <c r="Z12" s="78"/>
      <c r="AA12" s="78"/>
      <c r="AB12" s="78"/>
      <c r="AC12" s="78">
        <f t="shared" si="2"/>
        <v>7500</v>
      </c>
      <c r="AD12" s="79">
        <v>-1980</v>
      </c>
      <c r="AE12" s="49">
        <f t="shared" si="3"/>
        <v>48270</v>
      </c>
      <c r="AF12" s="49">
        <f t="shared" si="4"/>
        <v>24135</v>
      </c>
      <c r="AG12" s="49">
        <v>45000</v>
      </c>
      <c r="AH12" s="49">
        <v>5250</v>
      </c>
      <c r="AI12" s="80">
        <f t="shared" si="5"/>
        <v>50250</v>
      </c>
      <c r="AJ12" s="80">
        <f t="shared" si="6"/>
        <v>-1980</v>
      </c>
      <c r="AK12" s="9"/>
    </row>
    <row r="13" spans="1:37" x14ac:dyDescent="0.25">
      <c r="A13" s="77">
        <v>21</v>
      </c>
      <c r="B13" s="5" t="s">
        <v>47</v>
      </c>
      <c r="C13" s="5" t="s">
        <v>806</v>
      </c>
      <c r="D13" s="5" t="s">
        <v>245</v>
      </c>
      <c r="E13" s="78"/>
      <c r="F13" s="78">
        <v>29500</v>
      </c>
      <c r="G13" s="78">
        <v>2500</v>
      </c>
      <c r="H13" s="78"/>
      <c r="I13" s="78">
        <v>2500</v>
      </c>
      <c r="J13" s="78">
        <v>2000</v>
      </c>
      <c r="K13" s="78">
        <v>3000</v>
      </c>
      <c r="L13" s="78"/>
      <c r="M13" s="78"/>
      <c r="N13" s="78">
        <f t="shared" si="0"/>
        <v>39500</v>
      </c>
      <c r="O13" s="78">
        <v>5000</v>
      </c>
      <c r="P13" s="78"/>
      <c r="Q13" s="78"/>
      <c r="R13" s="78"/>
      <c r="S13" s="78"/>
      <c r="T13" s="78"/>
      <c r="U13" s="78">
        <f t="shared" si="1"/>
        <v>5000</v>
      </c>
      <c r="V13" s="78"/>
      <c r="W13" s="78"/>
      <c r="X13" s="78"/>
      <c r="Y13" s="78"/>
      <c r="Z13" s="78"/>
      <c r="AA13" s="78"/>
      <c r="AB13" s="78"/>
      <c r="AC13" s="78">
        <f t="shared" si="2"/>
        <v>0</v>
      </c>
      <c r="AD13" s="79">
        <v>-1550</v>
      </c>
      <c r="AE13" s="49">
        <f t="shared" si="3"/>
        <v>42950</v>
      </c>
      <c r="AF13" s="49">
        <f t="shared" si="4"/>
        <v>21475</v>
      </c>
      <c r="AG13" s="49">
        <v>30000</v>
      </c>
      <c r="AH13" s="49"/>
      <c r="AI13" s="80">
        <f t="shared" si="5"/>
        <v>30000</v>
      </c>
      <c r="AJ13" s="80">
        <f t="shared" si="6"/>
        <v>12950</v>
      </c>
      <c r="AK13" s="9"/>
    </row>
    <row r="14" spans="1:37" x14ac:dyDescent="0.25">
      <c r="A14" s="77">
        <v>54</v>
      </c>
      <c r="B14" s="5" t="s">
        <v>75</v>
      </c>
      <c r="C14" s="5" t="s">
        <v>29</v>
      </c>
      <c r="D14" s="5" t="s">
        <v>227</v>
      </c>
      <c r="E14" s="78"/>
      <c r="F14" s="78">
        <v>12500</v>
      </c>
      <c r="G14" s="78">
        <v>1500</v>
      </c>
      <c r="H14" s="78"/>
      <c r="I14" s="78">
        <v>1500</v>
      </c>
      <c r="J14" s="78"/>
      <c r="K14" s="78"/>
      <c r="L14" s="78"/>
      <c r="M14" s="78"/>
      <c r="N14" s="78">
        <f t="shared" si="0"/>
        <v>15500</v>
      </c>
      <c r="O14" s="78"/>
      <c r="P14" s="78"/>
      <c r="Q14" s="78"/>
      <c r="R14" s="78"/>
      <c r="S14" s="78"/>
      <c r="T14" s="78"/>
      <c r="U14" s="78">
        <f t="shared" si="1"/>
        <v>0</v>
      </c>
      <c r="V14" s="78"/>
      <c r="W14" s="78"/>
      <c r="X14" s="78"/>
      <c r="Y14" s="78"/>
      <c r="Z14" s="78"/>
      <c r="AA14" s="78"/>
      <c r="AB14" s="78"/>
      <c r="AC14" s="78">
        <f t="shared" si="2"/>
        <v>0</v>
      </c>
      <c r="AD14" s="79">
        <v>-2000</v>
      </c>
      <c r="AE14" s="49">
        <f t="shared" si="3"/>
        <v>13500</v>
      </c>
      <c r="AF14" s="49">
        <f t="shared" si="4"/>
        <v>6750</v>
      </c>
      <c r="AG14" s="49">
        <v>10000</v>
      </c>
      <c r="AH14" s="49"/>
      <c r="AI14" s="80">
        <f t="shared" si="5"/>
        <v>10000</v>
      </c>
      <c r="AJ14" s="80">
        <f t="shared" si="6"/>
        <v>3500</v>
      </c>
      <c r="AK14" s="9"/>
    </row>
    <row r="15" spans="1:37" x14ac:dyDescent="0.25">
      <c r="A15" s="77">
        <v>15</v>
      </c>
      <c r="B15" s="5" t="s">
        <v>75</v>
      </c>
      <c r="C15" s="5" t="s">
        <v>42</v>
      </c>
      <c r="D15" s="5" t="s">
        <v>227</v>
      </c>
      <c r="E15" s="78"/>
      <c r="F15" s="78">
        <v>12500</v>
      </c>
      <c r="G15" s="78">
        <v>1500</v>
      </c>
      <c r="H15" s="78"/>
      <c r="I15" s="78">
        <v>1500</v>
      </c>
      <c r="J15" s="78"/>
      <c r="K15" s="78"/>
      <c r="L15" s="78"/>
      <c r="M15" s="78"/>
      <c r="N15" s="78">
        <f t="shared" si="0"/>
        <v>15500</v>
      </c>
      <c r="O15" s="78"/>
      <c r="P15" s="78"/>
      <c r="Q15" s="78"/>
      <c r="R15" s="78"/>
      <c r="S15" s="78"/>
      <c r="T15" s="78"/>
      <c r="U15" s="78">
        <f t="shared" si="1"/>
        <v>0</v>
      </c>
      <c r="V15" s="78"/>
      <c r="W15" s="78"/>
      <c r="X15" s="78"/>
      <c r="Y15" s="78"/>
      <c r="Z15" s="78"/>
      <c r="AA15" s="78"/>
      <c r="AB15" s="78"/>
      <c r="AC15" s="78">
        <f t="shared" si="2"/>
        <v>0</v>
      </c>
      <c r="AD15" s="79">
        <v>0</v>
      </c>
      <c r="AE15" s="49">
        <f t="shared" si="3"/>
        <v>15500</v>
      </c>
      <c r="AF15" s="49">
        <f t="shared" si="4"/>
        <v>7750</v>
      </c>
      <c r="AG15" s="49">
        <v>10000</v>
      </c>
      <c r="AH15" s="49"/>
      <c r="AI15" s="80">
        <f t="shared" si="5"/>
        <v>10000</v>
      </c>
      <c r="AJ15" s="80">
        <f t="shared" si="6"/>
        <v>5500</v>
      </c>
      <c r="AK15" s="9"/>
    </row>
    <row r="16" spans="1:37" x14ac:dyDescent="0.25">
      <c r="A16" s="77">
        <v>13</v>
      </c>
      <c r="B16" s="5" t="s">
        <v>75</v>
      </c>
      <c r="C16" s="5" t="s">
        <v>98</v>
      </c>
      <c r="D16" s="5" t="s">
        <v>237</v>
      </c>
      <c r="E16" s="78"/>
      <c r="F16" s="78">
        <v>20500</v>
      </c>
      <c r="G16" s="78">
        <v>2000</v>
      </c>
      <c r="H16" s="78"/>
      <c r="I16" s="78">
        <v>1500</v>
      </c>
      <c r="J16" s="78">
        <v>1500</v>
      </c>
      <c r="K16" s="78">
        <v>1000</v>
      </c>
      <c r="L16" s="78">
        <v>1000</v>
      </c>
      <c r="M16" s="78"/>
      <c r="N16" s="78">
        <f t="shared" si="0"/>
        <v>27500</v>
      </c>
      <c r="O16" s="78"/>
      <c r="P16" s="78"/>
      <c r="Q16" s="78"/>
      <c r="R16" s="78"/>
      <c r="S16" s="78"/>
      <c r="T16" s="78"/>
      <c r="U16" s="78">
        <f t="shared" si="1"/>
        <v>0</v>
      </c>
      <c r="V16" s="78"/>
      <c r="W16" s="78"/>
      <c r="X16" s="78"/>
      <c r="Y16" s="78"/>
      <c r="Z16" s="78"/>
      <c r="AA16" s="78"/>
      <c r="AB16" s="78"/>
      <c r="AC16" s="78">
        <f t="shared" si="2"/>
        <v>0</v>
      </c>
      <c r="AD16" s="79">
        <v>6280</v>
      </c>
      <c r="AE16" s="49">
        <f t="shared" si="3"/>
        <v>33780</v>
      </c>
      <c r="AF16" s="49">
        <f t="shared" si="4"/>
        <v>16890</v>
      </c>
      <c r="AG16" s="49">
        <v>30000</v>
      </c>
      <c r="AH16" s="49"/>
      <c r="AI16" s="80">
        <f t="shared" si="5"/>
        <v>30000</v>
      </c>
      <c r="AJ16" s="80">
        <f t="shared" si="6"/>
        <v>3780</v>
      </c>
      <c r="AK16" s="9"/>
    </row>
    <row r="17" spans="1:37" x14ac:dyDescent="0.25">
      <c r="A17" s="77">
        <v>16</v>
      </c>
      <c r="B17" s="5" t="s">
        <v>81</v>
      </c>
      <c r="C17" s="5" t="s">
        <v>80</v>
      </c>
      <c r="D17" s="5" t="s">
        <v>228</v>
      </c>
      <c r="E17" s="78"/>
      <c r="F17" s="78">
        <v>9250</v>
      </c>
      <c r="G17" s="78">
        <v>750</v>
      </c>
      <c r="H17" s="78"/>
      <c r="I17" s="78">
        <v>1500</v>
      </c>
      <c r="J17" s="78"/>
      <c r="K17" s="78">
        <v>500</v>
      </c>
      <c r="L17" s="78">
        <v>500</v>
      </c>
      <c r="M17" s="78"/>
      <c r="N17" s="78">
        <f t="shared" si="0"/>
        <v>12500</v>
      </c>
      <c r="O17" s="78"/>
      <c r="P17" s="78"/>
      <c r="Q17" s="78"/>
      <c r="R17" s="78"/>
      <c r="S17" s="78"/>
      <c r="T17" s="78"/>
      <c r="U17" s="78">
        <f t="shared" si="1"/>
        <v>0</v>
      </c>
      <c r="V17" s="78"/>
      <c r="W17" s="78"/>
      <c r="X17" s="78"/>
      <c r="Y17" s="78"/>
      <c r="Z17" s="78"/>
      <c r="AA17" s="78"/>
      <c r="AB17" s="78"/>
      <c r="AC17" s="78">
        <f t="shared" si="2"/>
        <v>0</v>
      </c>
      <c r="AD17" s="79">
        <v>-2000</v>
      </c>
      <c r="AE17" s="49">
        <f t="shared" si="3"/>
        <v>10500</v>
      </c>
      <c r="AF17" s="49">
        <f t="shared" si="4"/>
        <v>5250</v>
      </c>
      <c r="AG17" s="50">
        <v>10500</v>
      </c>
      <c r="AH17" s="49"/>
      <c r="AI17" s="80">
        <f t="shared" si="5"/>
        <v>10500</v>
      </c>
      <c r="AJ17" s="80">
        <f t="shared" si="6"/>
        <v>0</v>
      </c>
      <c r="AK17" s="9"/>
    </row>
    <row r="18" spans="1:37" x14ac:dyDescent="0.25">
      <c r="A18" s="77">
        <v>52</v>
      </c>
      <c r="B18" s="5" t="s">
        <v>66</v>
      </c>
      <c r="C18" s="5" t="s">
        <v>67</v>
      </c>
      <c r="D18" s="5" t="s">
        <v>232</v>
      </c>
      <c r="E18" s="78"/>
      <c r="F18" s="78">
        <v>20500</v>
      </c>
      <c r="G18" s="78">
        <v>2000</v>
      </c>
      <c r="H18" s="78"/>
      <c r="I18" s="78">
        <v>1500</v>
      </c>
      <c r="J18" s="78">
        <v>1500</v>
      </c>
      <c r="K18" s="78">
        <v>1000</v>
      </c>
      <c r="L18" s="78">
        <v>1000</v>
      </c>
      <c r="M18" s="78"/>
      <c r="N18" s="78">
        <f t="shared" si="0"/>
        <v>27500</v>
      </c>
      <c r="O18" s="78"/>
      <c r="P18" s="78"/>
      <c r="Q18" s="78"/>
      <c r="R18" s="78"/>
      <c r="S18" s="78"/>
      <c r="T18" s="78"/>
      <c r="U18" s="78">
        <f t="shared" si="1"/>
        <v>0</v>
      </c>
      <c r="V18" s="78"/>
      <c r="W18" s="78"/>
      <c r="X18" s="78">
        <v>6500</v>
      </c>
      <c r="Y18" s="78"/>
      <c r="Z18" s="78"/>
      <c r="AA18" s="78"/>
      <c r="AB18" s="78"/>
      <c r="AC18" s="78">
        <f t="shared" si="2"/>
        <v>6500</v>
      </c>
      <c r="AD18" s="79">
        <v>2500</v>
      </c>
      <c r="AE18" s="49">
        <f t="shared" si="3"/>
        <v>36500</v>
      </c>
      <c r="AF18" s="49">
        <f t="shared" si="4"/>
        <v>18250</v>
      </c>
      <c r="AG18" s="49">
        <v>30000</v>
      </c>
      <c r="AH18" s="49"/>
      <c r="AI18" s="80">
        <f t="shared" si="5"/>
        <v>30000</v>
      </c>
      <c r="AJ18" s="80">
        <f t="shared" si="6"/>
        <v>6500</v>
      </c>
      <c r="AK18" s="9"/>
    </row>
    <row r="19" spans="1:37" ht="15.75" customHeight="1" x14ac:dyDescent="0.25">
      <c r="A19" s="77">
        <v>18</v>
      </c>
      <c r="B19" s="5" t="s">
        <v>52</v>
      </c>
      <c r="C19" s="5" t="s">
        <v>807</v>
      </c>
      <c r="D19" s="5" t="s">
        <v>245</v>
      </c>
      <c r="E19" s="78"/>
      <c r="F19" s="78">
        <v>29500</v>
      </c>
      <c r="G19" s="78">
        <v>2500</v>
      </c>
      <c r="H19" s="78"/>
      <c r="I19" s="78">
        <v>2500</v>
      </c>
      <c r="J19" s="78">
        <v>2000</v>
      </c>
      <c r="K19" s="78">
        <v>3000</v>
      </c>
      <c r="L19" s="78"/>
      <c r="M19" s="78"/>
      <c r="N19" s="78">
        <f t="shared" si="0"/>
        <v>39500</v>
      </c>
      <c r="O19" s="78">
        <v>5000</v>
      </c>
      <c r="P19" s="78"/>
      <c r="Q19" s="78"/>
      <c r="R19" s="78"/>
      <c r="S19" s="78"/>
      <c r="T19" s="78"/>
      <c r="U19" s="78">
        <f t="shared" si="1"/>
        <v>5000</v>
      </c>
      <c r="V19" s="78"/>
      <c r="W19" s="78"/>
      <c r="X19" s="78"/>
      <c r="Y19" s="78"/>
      <c r="Z19" s="78"/>
      <c r="AA19" s="78"/>
      <c r="AB19" s="78"/>
      <c r="AC19" s="78">
        <f t="shared" si="2"/>
        <v>0</v>
      </c>
      <c r="AD19" s="79">
        <v>-2000</v>
      </c>
      <c r="AE19" s="49">
        <f t="shared" si="3"/>
        <v>42500</v>
      </c>
      <c r="AF19" s="49">
        <f t="shared" si="4"/>
        <v>21250</v>
      </c>
      <c r="AG19" s="49">
        <v>22000</v>
      </c>
      <c r="AH19" s="49">
        <v>20500</v>
      </c>
      <c r="AI19" s="80">
        <f t="shared" si="5"/>
        <v>42500</v>
      </c>
      <c r="AJ19" s="80">
        <f t="shared" si="6"/>
        <v>0</v>
      </c>
      <c r="AK19" s="9"/>
    </row>
    <row r="20" spans="1:37" ht="15.75" customHeight="1" x14ac:dyDescent="0.25">
      <c r="A20" s="77">
        <v>19</v>
      </c>
      <c r="B20" s="5" t="s">
        <v>241</v>
      </c>
      <c r="C20" s="5" t="s">
        <v>808</v>
      </c>
      <c r="D20" s="5" t="s">
        <v>242</v>
      </c>
      <c r="E20" s="78"/>
      <c r="F20" s="78" t="s">
        <v>46</v>
      </c>
      <c r="G20" s="78"/>
      <c r="H20" s="78"/>
      <c r="I20" s="78"/>
      <c r="J20" s="78"/>
      <c r="K20" s="78"/>
      <c r="L20" s="78"/>
      <c r="M20" s="78"/>
      <c r="N20" s="78">
        <f t="shared" si="0"/>
        <v>0</v>
      </c>
      <c r="O20" s="78"/>
      <c r="P20" s="78"/>
      <c r="Q20" s="78"/>
      <c r="R20" s="78"/>
      <c r="S20" s="78"/>
      <c r="T20" s="78"/>
      <c r="U20" s="78">
        <f t="shared" si="1"/>
        <v>0</v>
      </c>
      <c r="V20" s="78"/>
      <c r="W20" s="78"/>
      <c r="X20" s="78"/>
      <c r="Y20" s="78"/>
      <c r="Z20" s="78"/>
      <c r="AA20" s="78"/>
      <c r="AB20" s="78"/>
      <c r="AC20" s="78">
        <f t="shared" si="2"/>
        <v>0</v>
      </c>
      <c r="AD20" s="79">
        <v>-7500</v>
      </c>
      <c r="AE20" s="49">
        <f t="shared" si="3"/>
        <v>-7500</v>
      </c>
      <c r="AF20" s="49">
        <v>0</v>
      </c>
      <c r="AG20" s="49"/>
      <c r="AH20" s="49"/>
      <c r="AI20" s="80">
        <f t="shared" si="5"/>
        <v>0</v>
      </c>
      <c r="AJ20" s="80">
        <f t="shared" si="6"/>
        <v>-7500</v>
      </c>
      <c r="AK20" s="9"/>
    </row>
    <row r="21" spans="1:37" ht="15.75" customHeight="1" x14ac:dyDescent="0.25">
      <c r="A21" s="77">
        <v>20</v>
      </c>
      <c r="B21" s="5" t="s">
        <v>53</v>
      </c>
      <c r="C21" s="5" t="s">
        <v>54</v>
      </c>
      <c r="D21" s="5" t="s">
        <v>245</v>
      </c>
      <c r="E21" s="78"/>
      <c r="F21" s="78">
        <v>29500</v>
      </c>
      <c r="G21" s="78">
        <v>2500</v>
      </c>
      <c r="H21" s="78"/>
      <c r="I21" s="78">
        <v>2500</v>
      </c>
      <c r="J21" s="78">
        <v>2000</v>
      </c>
      <c r="K21" s="78">
        <v>3000</v>
      </c>
      <c r="L21" s="78"/>
      <c r="M21" s="78"/>
      <c r="N21" s="78">
        <f t="shared" si="0"/>
        <v>39500</v>
      </c>
      <c r="O21" s="78"/>
      <c r="P21" s="78"/>
      <c r="Q21" s="78"/>
      <c r="R21" s="78"/>
      <c r="S21" s="78"/>
      <c r="T21" s="78"/>
      <c r="U21" s="78">
        <f t="shared" si="1"/>
        <v>0</v>
      </c>
      <c r="V21" s="78"/>
      <c r="W21" s="78"/>
      <c r="X21" s="78"/>
      <c r="Y21" s="78"/>
      <c r="Z21" s="78"/>
      <c r="AA21" s="78"/>
      <c r="AB21" s="78"/>
      <c r="AC21" s="78">
        <f t="shared" si="2"/>
        <v>0</v>
      </c>
      <c r="AD21" s="79">
        <v>-2000</v>
      </c>
      <c r="AE21" s="49">
        <f t="shared" si="3"/>
        <v>37500</v>
      </c>
      <c r="AF21" s="49">
        <f t="shared" ref="AF21:AF56" si="7">AE21/2</f>
        <v>18750</v>
      </c>
      <c r="AG21" s="49">
        <v>37500</v>
      </c>
      <c r="AH21" s="49"/>
      <c r="AI21" s="80">
        <f t="shared" si="5"/>
        <v>37500</v>
      </c>
      <c r="AJ21" s="80">
        <f t="shared" si="6"/>
        <v>0</v>
      </c>
      <c r="AK21" s="9"/>
    </row>
    <row r="22" spans="1:37" ht="15.75" customHeight="1" x14ac:dyDescent="0.25">
      <c r="A22" s="77">
        <v>45</v>
      </c>
      <c r="B22" s="5" t="s">
        <v>41</v>
      </c>
      <c r="C22" s="5" t="s">
        <v>809</v>
      </c>
      <c r="D22" s="5" t="s">
        <v>244</v>
      </c>
      <c r="E22" s="78"/>
      <c r="F22" s="78">
        <v>3000</v>
      </c>
      <c r="G22" s="78">
        <v>1500</v>
      </c>
      <c r="H22" s="78"/>
      <c r="I22" s="78">
        <v>2000</v>
      </c>
      <c r="J22" s="78">
        <v>2000</v>
      </c>
      <c r="K22" s="78">
        <v>2500</v>
      </c>
      <c r="L22" s="78"/>
      <c r="M22" s="78"/>
      <c r="N22" s="78">
        <f t="shared" si="0"/>
        <v>11000</v>
      </c>
      <c r="O22" s="78"/>
      <c r="P22" s="78"/>
      <c r="Q22" s="78"/>
      <c r="R22" s="78"/>
      <c r="S22" s="78"/>
      <c r="T22" s="78"/>
      <c r="U22" s="78">
        <f t="shared" si="1"/>
        <v>0</v>
      </c>
      <c r="V22" s="78"/>
      <c r="W22" s="78"/>
      <c r="X22" s="78"/>
      <c r="Y22" s="78"/>
      <c r="Z22" s="78"/>
      <c r="AA22" s="78"/>
      <c r="AB22" s="78"/>
      <c r="AC22" s="78">
        <f t="shared" si="2"/>
        <v>0</v>
      </c>
      <c r="AD22" s="79">
        <v>6950</v>
      </c>
      <c r="AE22" s="49">
        <f t="shared" si="3"/>
        <v>17950</v>
      </c>
      <c r="AF22" s="49">
        <f t="shared" si="7"/>
        <v>8975</v>
      </c>
      <c r="AG22" s="49">
        <v>5500</v>
      </c>
      <c r="AH22" s="49">
        <v>10000</v>
      </c>
      <c r="AI22" s="80">
        <f t="shared" si="5"/>
        <v>15500</v>
      </c>
      <c r="AJ22" s="80">
        <f t="shared" si="6"/>
        <v>2450</v>
      </c>
      <c r="AK22" s="9"/>
    </row>
    <row r="23" spans="1:37" ht="15.75" customHeight="1" x14ac:dyDescent="0.25">
      <c r="A23" s="77">
        <v>55</v>
      </c>
      <c r="B23" s="5" t="s">
        <v>117</v>
      </c>
      <c r="C23" s="5" t="s">
        <v>814</v>
      </c>
      <c r="D23" s="5" t="s">
        <v>242</v>
      </c>
      <c r="E23" s="78"/>
      <c r="F23" s="78">
        <v>22500</v>
      </c>
      <c r="G23" s="78">
        <v>2500</v>
      </c>
      <c r="H23" s="78"/>
      <c r="I23" s="78">
        <v>2000</v>
      </c>
      <c r="J23" s="78">
        <v>2000</v>
      </c>
      <c r="K23" s="78">
        <v>2500</v>
      </c>
      <c r="L23" s="78"/>
      <c r="M23" s="78"/>
      <c r="N23" s="78">
        <f t="shared" si="0"/>
        <v>31500</v>
      </c>
      <c r="O23" s="78">
        <v>5000</v>
      </c>
      <c r="P23" s="78"/>
      <c r="Q23" s="78"/>
      <c r="R23" s="78"/>
      <c r="S23" s="78"/>
      <c r="T23" s="78"/>
      <c r="U23" s="78">
        <f t="shared" si="1"/>
        <v>5000</v>
      </c>
      <c r="V23" s="78"/>
      <c r="W23" s="78"/>
      <c r="X23" s="78"/>
      <c r="Y23" s="78"/>
      <c r="Z23" s="78"/>
      <c r="AA23" s="78"/>
      <c r="AB23" s="78"/>
      <c r="AC23" s="78">
        <f t="shared" si="2"/>
        <v>0</v>
      </c>
      <c r="AD23" s="79">
        <v>7750</v>
      </c>
      <c r="AE23" s="49">
        <f t="shared" si="3"/>
        <v>44250</v>
      </c>
      <c r="AF23" s="49">
        <f t="shared" si="7"/>
        <v>22125</v>
      </c>
      <c r="AG23" s="49">
        <v>15000</v>
      </c>
      <c r="AH23" s="49">
        <v>20000</v>
      </c>
      <c r="AI23" s="80">
        <f t="shared" si="5"/>
        <v>35000</v>
      </c>
      <c r="AJ23" s="80">
        <f t="shared" si="6"/>
        <v>9250</v>
      </c>
      <c r="AK23" s="9"/>
    </row>
    <row r="24" spans="1:37" ht="15.75" customHeight="1" x14ac:dyDescent="0.25">
      <c r="A24" s="77">
        <v>51</v>
      </c>
      <c r="B24" s="5" t="s">
        <v>42</v>
      </c>
      <c r="C24" s="5" t="s">
        <v>817</v>
      </c>
      <c r="D24" s="5" t="s">
        <v>244</v>
      </c>
      <c r="E24" s="78"/>
      <c r="F24" s="78">
        <v>33750</v>
      </c>
      <c r="G24" s="78">
        <v>2500</v>
      </c>
      <c r="H24" s="78"/>
      <c r="I24" s="78">
        <v>2000</v>
      </c>
      <c r="J24" s="78">
        <v>2000</v>
      </c>
      <c r="K24" s="78">
        <v>2500</v>
      </c>
      <c r="L24" s="78"/>
      <c r="M24" s="78"/>
      <c r="N24" s="78">
        <f t="shared" si="0"/>
        <v>42750</v>
      </c>
      <c r="O24" s="78"/>
      <c r="P24" s="78"/>
      <c r="Q24" s="78"/>
      <c r="R24" s="78"/>
      <c r="S24" s="78"/>
      <c r="T24" s="78"/>
      <c r="U24" s="78">
        <f t="shared" si="1"/>
        <v>0</v>
      </c>
      <c r="V24" s="78"/>
      <c r="W24" s="78"/>
      <c r="X24" s="78"/>
      <c r="Y24" s="78"/>
      <c r="Z24" s="78"/>
      <c r="AA24" s="78"/>
      <c r="AB24" s="78"/>
      <c r="AC24" s="78">
        <f t="shared" si="2"/>
        <v>0</v>
      </c>
      <c r="AD24" s="79">
        <v>-1150</v>
      </c>
      <c r="AE24" s="49">
        <f t="shared" si="3"/>
        <v>41600</v>
      </c>
      <c r="AF24" s="49">
        <f t="shared" si="7"/>
        <v>20800</v>
      </c>
      <c r="AG24" s="49">
        <v>30000</v>
      </c>
      <c r="AH24" s="49">
        <v>10000</v>
      </c>
      <c r="AI24" s="80">
        <f t="shared" si="5"/>
        <v>40000</v>
      </c>
      <c r="AJ24" s="80">
        <f t="shared" si="6"/>
        <v>1600</v>
      </c>
      <c r="AK24" s="9"/>
    </row>
    <row r="25" spans="1:37" ht="15.75" customHeight="1" x14ac:dyDescent="0.25">
      <c r="A25" s="77">
        <v>24</v>
      </c>
      <c r="B25" s="5" t="s">
        <v>58</v>
      </c>
      <c r="C25" s="5" t="s">
        <v>233</v>
      </c>
      <c r="D25" s="5" t="s">
        <v>232</v>
      </c>
      <c r="E25" s="78"/>
      <c r="F25" s="78">
        <v>20500</v>
      </c>
      <c r="G25" s="78">
        <v>2000</v>
      </c>
      <c r="H25" s="78"/>
      <c r="I25" s="78">
        <v>1500</v>
      </c>
      <c r="J25" s="78">
        <v>1500</v>
      </c>
      <c r="K25" s="78">
        <v>1000</v>
      </c>
      <c r="L25" s="78">
        <v>1000</v>
      </c>
      <c r="M25" s="78"/>
      <c r="N25" s="78">
        <f t="shared" si="0"/>
        <v>27500</v>
      </c>
      <c r="O25" s="78"/>
      <c r="P25" s="78"/>
      <c r="Q25" s="78"/>
      <c r="R25" s="78"/>
      <c r="S25" s="78"/>
      <c r="T25" s="78"/>
      <c r="U25" s="78">
        <f t="shared" si="1"/>
        <v>0</v>
      </c>
      <c r="V25" s="78"/>
      <c r="W25" s="78"/>
      <c r="X25" s="78"/>
      <c r="Y25" s="78"/>
      <c r="Z25" s="78"/>
      <c r="AA25" s="78"/>
      <c r="AB25" s="78"/>
      <c r="AC25" s="78">
        <f t="shared" si="2"/>
        <v>0</v>
      </c>
      <c r="AD25" s="79">
        <v>0</v>
      </c>
      <c r="AE25" s="49">
        <f t="shared" si="3"/>
        <v>27500</v>
      </c>
      <c r="AF25" s="49">
        <f t="shared" si="7"/>
        <v>13750</v>
      </c>
      <c r="AG25" s="49">
        <v>25000</v>
      </c>
      <c r="AH25" s="49">
        <v>2500</v>
      </c>
      <c r="AI25" s="80">
        <f t="shared" si="5"/>
        <v>27500</v>
      </c>
      <c r="AJ25" s="80">
        <f t="shared" si="6"/>
        <v>0</v>
      </c>
      <c r="AK25" s="9"/>
    </row>
    <row r="26" spans="1:37" ht="15.75" customHeight="1" x14ac:dyDescent="0.25">
      <c r="A26" s="77">
        <v>25</v>
      </c>
      <c r="B26" s="5" t="s">
        <v>132</v>
      </c>
      <c r="C26" s="5" t="s">
        <v>133</v>
      </c>
      <c r="D26" s="5" t="s">
        <v>223</v>
      </c>
      <c r="E26" s="78"/>
      <c r="F26" s="78">
        <v>18500</v>
      </c>
      <c r="G26" s="78">
        <v>1500</v>
      </c>
      <c r="H26" s="78"/>
      <c r="I26" s="78">
        <v>1500</v>
      </c>
      <c r="J26" s="78"/>
      <c r="K26" s="78"/>
      <c r="L26" s="78"/>
      <c r="M26" s="78"/>
      <c r="N26" s="78">
        <f t="shared" si="0"/>
        <v>21500</v>
      </c>
      <c r="O26" s="78"/>
      <c r="P26" s="78"/>
      <c r="Q26" s="78"/>
      <c r="R26" s="78"/>
      <c r="S26" s="78"/>
      <c r="T26" s="78"/>
      <c r="U26" s="78">
        <f t="shared" si="1"/>
        <v>0</v>
      </c>
      <c r="V26" s="78"/>
      <c r="W26" s="78"/>
      <c r="X26" s="78"/>
      <c r="Y26" s="78"/>
      <c r="Z26" s="78"/>
      <c r="AA26" s="78"/>
      <c r="AB26" s="78"/>
      <c r="AC26" s="78">
        <f t="shared" si="2"/>
        <v>0</v>
      </c>
      <c r="AD26" s="79">
        <v>-2090</v>
      </c>
      <c r="AE26" s="49">
        <f t="shared" si="3"/>
        <v>19410</v>
      </c>
      <c r="AF26" s="49">
        <f t="shared" si="7"/>
        <v>9705</v>
      </c>
      <c r="AG26" s="49">
        <v>19410</v>
      </c>
      <c r="AH26" s="49"/>
      <c r="AI26" s="80">
        <f t="shared" si="5"/>
        <v>19410</v>
      </c>
      <c r="AJ26" s="80">
        <f t="shared" si="6"/>
        <v>0</v>
      </c>
      <c r="AK26" s="9"/>
    </row>
    <row r="27" spans="1:37" ht="15.75" customHeight="1" x14ac:dyDescent="0.25">
      <c r="A27" s="77">
        <v>26</v>
      </c>
      <c r="B27" s="5" t="s">
        <v>82</v>
      </c>
      <c r="C27" s="5" t="s">
        <v>83</v>
      </c>
      <c r="D27" s="5" t="s">
        <v>228</v>
      </c>
      <c r="E27" s="78"/>
      <c r="F27" s="78">
        <v>18500</v>
      </c>
      <c r="G27" s="78">
        <v>1500</v>
      </c>
      <c r="H27" s="78"/>
      <c r="I27" s="78">
        <v>1500</v>
      </c>
      <c r="J27" s="78"/>
      <c r="K27" s="78">
        <v>500</v>
      </c>
      <c r="L27" s="78">
        <v>500</v>
      </c>
      <c r="M27" s="78"/>
      <c r="N27" s="78">
        <f t="shared" si="0"/>
        <v>22500</v>
      </c>
      <c r="O27" s="78"/>
      <c r="P27" s="78"/>
      <c r="Q27" s="78"/>
      <c r="R27" s="78"/>
      <c r="S27" s="78"/>
      <c r="T27" s="78"/>
      <c r="U27" s="78">
        <f t="shared" si="1"/>
        <v>0</v>
      </c>
      <c r="V27" s="78"/>
      <c r="W27" s="78"/>
      <c r="X27" s="78"/>
      <c r="Y27" s="78"/>
      <c r="Z27" s="78"/>
      <c r="AA27" s="78"/>
      <c r="AB27" s="78"/>
      <c r="AC27" s="78">
        <f t="shared" si="2"/>
        <v>0</v>
      </c>
      <c r="AD27" s="79">
        <v>-2000</v>
      </c>
      <c r="AE27" s="49">
        <f t="shared" si="3"/>
        <v>20500</v>
      </c>
      <c r="AF27" s="49">
        <f t="shared" si="7"/>
        <v>10250</v>
      </c>
      <c r="AG27" s="49">
        <v>20500</v>
      </c>
      <c r="AH27" s="49"/>
      <c r="AI27" s="80">
        <f t="shared" si="5"/>
        <v>20500</v>
      </c>
      <c r="AJ27" s="80">
        <f t="shared" si="6"/>
        <v>0</v>
      </c>
      <c r="AK27" s="9"/>
    </row>
    <row r="28" spans="1:37" ht="15.75" customHeight="1" x14ac:dyDescent="0.25">
      <c r="A28" s="77">
        <v>14</v>
      </c>
      <c r="B28" s="5" t="s">
        <v>86</v>
      </c>
      <c r="C28" s="5" t="s">
        <v>87</v>
      </c>
      <c r="D28" s="5" t="s">
        <v>228</v>
      </c>
      <c r="E28" s="78"/>
      <c r="F28" s="78">
        <v>9250</v>
      </c>
      <c r="G28" s="78">
        <v>750</v>
      </c>
      <c r="H28" s="78"/>
      <c r="I28" s="78">
        <v>1500</v>
      </c>
      <c r="J28" s="78"/>
      <c r="K28" s="78">
        <v>500</v>
      </c>
      <c r="L28" s="78">
        <v>500</v>
      </c>
      <c r="M28" s="78"/>
      <c r="N28" s="78">
        <f t="shared" si="0"/>
        <v>12500</v>
      </c>
      <c r="O28" s="78"/>
      <c r="P28" s="78"/>
      <c r="Q28" s="78"/>
      <c r="R28" s="78"/>
      <c r="S28" s="78"/>
      <c r="T28" s="78"/>
      <c r="U28" s="78">
        <f t="shared" si="1"/>
        <v>0</v>
      </c>
      <c r="V28" s="78"/>
      <c r="W28" s="78"/>
      <c r="X28" s="78">
        <v>5500</v>
      </c>
      <c r="Y28" s="78"/>
      <c r="Z28" s="78"/>
      <c r="AA28" s="78"/>
      <c r="AB28" s="78"/>
      <c r="AC28" s="78">
        <f t="shared" si="2"/>
        <v>5500</v>
      </c>
      <c r="AD28" s="79">
        <v>18000</v>
      </c>
      <c r="AE28" s="49">
        <f t="shared" si="3"/>
        <v>36000</v>
      </c>
      <c r="AF28" s="49">
        <f t="shared" si="7"/>
        <v>18000</v>
      </c>
      <c r="AG28" s="49">
        <v>20000</v>
      </c>
      <c r="AH28" s="49"/>
      <c r="AI28" s="80">
        <f t="shared" si="5"/>
        <v>20000</v>
      </c>
      <c r="AJ28" s="80">
        <f t="shared" si="6"/>
        <v>16000</v>
      </c>
      <c r="AK28" s="9"/>
    </row>
    <row r="29" spans="1:37" ht="15.75" customHeight="1" x14ac:dyDescent="0.25">
      <c r="A29" s="77">
        <v>29</v>
      </c>
      <c r="B29" s="5" t="s">
        <v>55</v>
      </c>
      <c r="C29" s="5" t="s">
        <v>820</v>
      </c>
      <c r="D29" s="5" t="s">
        <v>228</v>
      </c>
      <c r="E29" s="78"/>
      <c r="F29" s="78">
        <v>18500</v>
      </c>
      <c r="G29" s="78">
        <v>1500</v>
      </c>
      <c r="H29" s="78"/>
      <c r="I29" s="78">
        <v>1500</v>
      </c>
      <c r="J29" s="78"/>
      <c r="K29" s="78">
        <v>500</v>
      </c>
      <c r="L29" s="78">
        <v>500</v>
      </c>
      <c r="M29" s="78"/>
      <c r="N29" s="78">
        <f t="shared" si="0"/>
        <v>22500</v>
      </c>
      <c r="O29" s="78"/>
      <c r="P29" s="78"/>
      <c r="Q29" s="78"/>
      <c r="R29" s="78"/>
      <c r="S29" s="78"/>
      <c r="T29" s="78"/>
      <c r="U29" s="78">
        <f t="shared" si="1"/>
        <v>0</v>
      </c>
      <c r="V29" s="78"/>
      <c r="W29" s="78"/>
      <c r="X29" s="78"/>
      <c r="Y29" s="78"/>
      <c r="Z29" s="78"/>
      <c r="AA29" s="78"/>
      <c r="AB29" s="78"/>
      <c r="AC29" s="78">
        <f t="shared" si="2"/>
        <v>0</v>
      </c>
      <c r="AD29" s="79">
        <v>0</v>
      </c>
      <c r="AE29" s="49">
        <f t="shared" si="3"/>
        <v>22500</v>
      </c>
      <c r="AF29" s="49">
        <f t="shared" si="7"/>
        <v>11250</v>
      </c>
      <c r="AG29" s="49">
        <v>22500</v>
      </c>
      <c r="AH29" s="49"/>
      <c r="AI29" s="80">
        <f t="shared" si="5"/>
        <v>22500</v>
      </c>
      <c r="AJ29" s="80">
        <f t="shared" si="6"/>
        <v>0</v>
      </c>
      <c r="AK29" s="9"/>
    </row>
    <row r="30" spans="1:37" ht="15.75" customHeight="1" x14ac:dyDescent="0.25">
      <c r="A30" s="77">
        <v>30</v>
      </c>
      <c r="B30" s="5" t="s">
        <v>55</v>
      </c>
      <c r="C30" s="5" t="s">
        <v>818</v>
      </c>
      <c r="D30" s="5" t="s">
        <v>237</v>
      </c>
      <c r="E30" s="78"/>
      <c r="F30" s="78">
        <v>20500</v>
      </c>
      <c r="G30" s="78">
        <v>2000</v>
      </c>
      <c r="H30" s="78"/>
      <c r="I30" s="78">
        <v>1500</v>
      </c>
      <c r="J30" s="78">
        <v>1500</v>
      </c>
      <c r="K30" s="78">
        <v>1000</v>
      </c>
      <c r="L30" s="78">
        <v>1000</v>
      </c>
      <c r="M30" s="78"/>
      <c r="N30" s="78">
        <f t="shared" si="0"/>
        <v>27500</v>
      </c>
      <c r="O30" s="78"/>
      <c r="P30" s="78"/>
      <c r="Q30" s="78"/>
      <c r="R30" s="78"/>
      <c r="S30" s="78"/>
      <c r="T30" s="78"/>
      <c r="U30" s="78">
        <f t="shared" si="1"/>
        <v>0</v>
      </c>
      <c r="V30" s="78"/>
      <c r="W30" s="78"/>
      <c r="X30" s="78"/>
      <c r="Y30" s="78"/>
      <c r="Z30" s="78"/>
      <c r="AA30" s="78"/>
      <c r="AB30" s="78"/>
      <c r="AC30" s="78">
        <f t="shared" si="2"/>
        <v>0</v>
      </c>
      <c r="AD30" s="79">
        <v>0</v>
      </c>
      <c r="AE30" s="49">
        <f t="shared" si="3"/>
        <v>27500</v>
      </c>
      <c r="AF30" s="49">
        <f t="shared" si="7"/>
        <v>13750</v>
      </c>
      <c r="AG30" s="49">
        <v>27500</v>
      </c>
      <c r="AH30" s="49"/>
      <c r="AI30" s="80">
        <f t="shared" si="5"/>
        <v>27500</v>
      </c>
      <c r="AJ30" s="80">
        <f t="shared" si="6"/>
        <v>0</v>
      </c>
      <c r="AK30" s="9"/>
    </row>
    <row r="31" spans="1:37" ht="15.75" customHeight="1" x14ac:dyDescent="0.25">
      <c r="A31" s="77">
        <v>28</v>
      </c>
      <c r="B31" s="5" t="s">
        <v>55</v>
      </c>
      <c r="C31" s="5" t="s">
        <v>821</v>
      </c>
      <c r="D31" s="5" t="s">
        <v>242</v>
      </c>
      <c r="E31" s="78"/>
      <c r="F31" s="78" t="s">
        <v>46</v>
      </c>
      <c r="G31" s="78"/>
      <c r="H31" s="78"/>
      <c r="I31" s="78"/>
      <c r="J31" s="78"/>
      <c r="K31" s="78"/>
      <c r="L31" s="78"/>
      <c r="M31" s="78"/>
      <c r="N31" s="78">
        <f t="shared" si="0"/>
        <v>0</v>
      </c>
      <c r="O31" s="78"/>
      <c r="P31" s="78"/>
      <c r="Q31" s="78"/>
      <c r="R31" s="78"/>
      <c r="S31" s="78"/>
      <c r="T31" s="78"/>
      <c r="U31" s="78">
        <f t="shared" si="1"/>
        <v>0</v>
      </c>
      <c r="V31" s="78"/>
      <c r="W31" s="78"/>
      <c r="X31" s="78"/>
      <c r="Y31" s="78"/>
      <c r="Z31" s="78"/>
      <c r="AA31" s="78"/>
      <c r="AB31" s="78"/>
      <c r="AC31" s="78">
        <f t="shared" si="2"/>
        <v>0</v>
      </c>
      <c r="AD31" s="79">
        <v>0</v>
      </c>
      <c r="AE31" s="49">
        <f t="shared" si="3"/>
        <v>0</v>
      </c>
      <c r="AF31" s="49">
        <f t="shared" si="7"/>
        <v>0</v>
      </c>
      <c r="AG31" s="49">
        <v>0</v>
      </c>
      <c r="AH31" s="49"/>
      <c r="AI31" s="80">
        <f t="shared" si="5"/>
        <v>0</v>
      </c>
      <c r="AJ31" s="80">
        <f t="shared" si="6"/>
        <v>0</v>
      </c>
      <c r="AK31" s="9"/>
    </row>
    <row r="32" spans="1:37" ht="15.75" customHeight="1" x14ac:dyDescent="0.25">
      <c r="A32" s="77">
        <v>31</v>
      </c>
      <c r="B32" s="5" t="s">
        <v>55</v>
      </c>
      <c r="C32" s="5" t="s">
        <v>819</v>
      </c>
      <c r="D32" s="5" t="s">
        <v>245</v>
      </c>
      <c r="E32" s="78"/>
      <c r="F32" s="78">
        <v>29500</v>
      </c>
      <c r="G32" s="78">
        <v>2500</v>
      </c>
      <c r="H32" s="78"/>
      <c r="I32" s="78">
        <v>2500</v>
      </c>
      <c r="J32" s="78">
        <v>2000</v>
      </c>
      <c r="K32" s="78">
        <v>3000</v>
      </c>
      <c r="L32" s="78"/>
      <c r="M32" s="78"/>
      <c r="N32" s="78">
        <f t="shared" si="0"/>
        <v>39500</v>
      </c>
      <c r="O32" s="78">
        <v>5000</v>
      </c>
      <c r="P32" s="78"/>
      <c r="Q32" s="78"/>
      <c r="R32" s="78"/>
      <c r="S32" s="78"/>
      <c r="T32" s="78"/>
      <c r="U32" s="78">
        <f t="shared" si="1"/>
        <v>5000</v>
      </c>
      <c r="V32" s="78"/>
      <c r="W32" s="78"/>
      <c r="X32" s="78"/>
      <c r="Y32" s="78"/>
      <c r="Z32" s="78"/>
      <c r="AA32" s="78"/>
      <c r="AB32" s="78"/>
      <c r="AC32" s="78">
        <f t="shared" si="2"/>
        <v>0</v>
      </c>
      <c r="AD32" s="79">
        <v>-2000</v>
      </c>
      <c r="AE32" s="49">
        <f t="shared" si="3"/>
        <v>42500</v>
      </c>
      <c r="AF32" s="49">
        <f t="shared" si="7"/>
        <v>21250</v>
      </c>
      <c r="AG32" s="49">
        <v>42500</v>
      </c>
      <c r="AH32" s="49"/>
      <c r="AI32" s="80">
        <f t="shared" si="5"/>
        <v>42500</v>
      </c>
      <c r="AJ32" s="80">
        <f t="shared" si="6"/>
        <v>0</v>
      </c>
      <c r="AK32" s="9"/>
    </row>
    <row r="33" spans="1:37" ht="15.75" customHeight="1" x14ac:dyDescent="0.25">
      <c r="A33" s="77">
        <v>17</v>
      </c>
      <c r="B33" s="5" t="s">
        <v>217</v>
      </c>
      <c r="C33" s="5" t="s">
        <v>218</v>
      </c>
      <c r="D33" s="5" t="s">
        <v>219</v>
      </c>
      <c r="E33" s="78"/>
      <c r="F33" s="78">
        <v>18500</v>
      </c>
      <c r="G33" s="78">
        <v>1000</v>
      </c>
      <c r="H33" s="78"/>
      <c r="I33" s="78">
        <v>1500</v>
      </c>
      <c r="J33" s="78"/>
      <c r="K33" s="78"/>
      <c r="L33" s="78"/>
      <c r="M33" s="78"/>
      <c r="N33" s="78">
        <f t="shared" si="0"/>
        <v>21000</v>
      </c>
      <c r="O33" s="78"/>
      <c r="P33" s="78"/>
      <c r="Q33" s="78"/>
      <c r="R33" s="78"/>
      <c r="S33" s="78"/>
      <c r="T33" s="78"/>
      <c r="U33" s="78">
        <f t="shared" si="1"/>
        <v>0</v>
      </c>
      <c r="V33" s="78"/>
      <c r="W33" s="78"/>
      <c r="X33" s="78">
        <v>11000</v>
      </c>
      <c r="Y33" s="78"/>
      <c r="Z33" s="78">
        <v>5000</v>
      </c>
      <c r="AA33" s="78">
        <v>4500</v>
      </c>
      <c r="AB33" s="78"/>
      <c r="AC33" s="78">
        <f t="shared" si="2"/>
        <v>20500</v>
      </c>
      <c r="AD33" s="79">
        <v>-1500</v>
      </c>
      <c r="AE33" s="49">
        <f t="shared" si="3"/>
        <v>40000</v>
      </c>
      <c r="AF33" s="49">
        <f t="shared" si="7"/>
        <v>20000</v>
      </c>
      <c r="AG33" s="49">
        <v>10000</v>
      </c>
      <c r="AH33" s="49">
        <v>9500</v>
      </c>
      <c r="AI33" s="80">
        <f t="shared" si="5"/>
        <v>19500</v>
      </c>
      <c r="AJ33" s="80">
        <f t="shared" si="6"/>
        <v>20500</v>
      </c>
      <c r="AK33" s="9"/>
    </row>
    <row r="34" spans="1:37" ht="15.75" customHeight="1" x14ac:dyDescent="0.25">
      <c r="A34" s="77">
        <v>34</v>
      </c>
      <c r="B34" s="5" t="s">
        <v>31</v>
      </c>
      <c r="C34" s="5" t="s">
        <v>822</v>
      </c>
      <c r="D34" s="5" t="s">
        <v>243</v>
      </c>
      <c r="E34" s="78"/>
      <c r="F34" s="78">
        <v>22500</v>
      </c>
      <c r="G34" s="78">
        <v>2500</v>
      </c>
      <c r="H34" s="78"/>
      <c r="I34" s="78">
        <v>2000</v>
      </c>
      <c r="J34" s="78">
        <v>2000</v>
      </c>
      <c r="K34" s="78">
        <v>2500</v>
      </c>
      <c r="L34" s="78"/>
      <c r="M34" s="78"/>
      <c r="N34" s="78">
        <f t="shared" si="0"/>
        <v>31500</v>
      </c>
      <c r="O34" s="78">
        <v>5000</v>
      </c>
      <c r="P34" s="78"/>
      <c r="Q34" s="78"/>
      <c r="R34" s="78"/>
      <c r="S34" s="78"/>
      <c r="T34" s="78"/>
      <c r="U34" s="78">
        <f t="shared" si="1"/>
        <v>5000</v>
      </c>
      <c r="V34" s="78"/>
      <c r="W34" s="78"/>
      <c r="X34" s="78">
        <v>7500</v>
      </c>
      <c r="Y34" s="78"/>
      <c r="Z34" s="78"/>
      <c r="AA34" s="78"/>
      <c r="AB34" s="78"/>
      <c r="AC34" s="78">
        <f t="shared" si="2"/>
        <v>7500</v>
      </c>
      <c r="AD34" s="79">
        <v>0</v>
      </c>
      <c r="AE34" s="49">
        <f t="shared" si="3"/>
        <v>44000</v>
      </c>
      <c r="AF34" s="49">
        <f t="shared" si="7"/>
        <v>22000</v>
      </c>
      <c r="AG34" s="49">
        <v>16000</v>
      </c>
      <c r="AH34" s="49">
        <v>28000</v>
      </c>
      <c r="AI34" s="80">
        <f t="shared" si="5"/>
        <v>44000</v>
      </c>
      <c r="AJ34" s="80">
        <f t="shared" si="6"/>
        <v>0</v>
      </c>
      <c r="AK34" s="9"/>
    </row>
    <row r="35" spans="1:37" ht="15.75" customHeight="1" x14ac:dyDescent="0.25">
      <c r="A35" s="77">
        <v>33</v>
      </c>
      <c r="B35" s="5" t="s">
        <v>31</v>
      </c>
      <c r="C35" s="5" t="s">
        <v>823</v>
      </c>
      <c r="D35" s="5" t="s">
        <v>244</v>
      </c>
      <c r="E35" s="78"/>
      <c r="F35" s="78">
        <v>33750</v>
      </c>
      <c r="G35" s="78">
        <v>2500</v>
      </c>
      <c r="H35" s="78"/>
      <c r="I35" s="78">
        <v>2000</v>
      </c>
      <c r="J35" s="78">
        <v>2000</v>
      </c>
      <c r="K35" s="78">
        <v>2500</v>
      </c>
      <c r="L35" s="78"/>
      <c r="M35" s="78"/>
      <c r="N35" s="78">
        <f t="shared" si="0"/>
        <v>42750</v>
      </c>
      <c r="O35" s="78">
        <v>5000</v>
      </c>
      <c r="P35" s="78"/>
      <c r="Q35" s="78"/>
      <c r="R35" s="78"/>
      <c r="S35" s="78"/>
      <c r="T35" s="78"/>
      <c r="U35" s="78">
        <f t="shared" si="1"/>
        <v>5000</v>
      </c>
      <c r="V35" s="78"/>
      <c r="W35" s="78"/>
      <c r="X35" s="78"/>
      <c r="Y35" s="78"/>
      <c r="Z35" s="78"/>
      <c r="AA35" s="78"/>
      <c r="AB35" s="78"/>
      <c r="AC35" s="78">
        <f t="shared" si="2"/>
        <v>0</v>
      </c>
      <c r="AD35" s="79">
        <v>5700</v>
      </c>
      <c r="AE35" s="49">
        <f t="shared" si="3"/>
        <v>53450</v>
      </c>
      <c r="AF35" s="49">
        <f t="shared" si="7"/>
        <v>26725</v>
      </c>
      <c r="AG35" s="49">
        <v>44000</v>
      </c>
      <c r="AH35" s="49">
        <v>2000</v>
      </c>
      <c r="AI35" s="80">
        <f t="shared" si="5"/>
        <v>46000</v>
      </c>
      <c r="AJ35" s="80">
        <f t="shared" si="6"/>
        <v>7450</v>
      </c>
      <c r="AK35" s="9"/>
    </row>
    <row r="36" spans="1:37" ht="15.75" customHeight="1" x14ac:dyDescent="0.25">
      <c r="A36" s="77">
        <v>35</v>
      </c>
      <c r="B36" s="5" t="s">
        <v>225</v>
      </c>
      <c r="C36" s="5" t="s">
        <v>226</v>
      </c>
      <c r="D36" s="5" t="s">
        <v>223</v>
      </c>
      <c r="E36" s="78"/>
      <c r="F36" s="78">
        <v>18500</v>
      </c>
      <c r="G36" s="78">
        <v>1500</v>
      </c>
      <c r="H36" s="78"/>
      <c r="I36" s="78">
        <v>1500</v>
      </c>
      <c r="J36" s="78"/>
      <c r="K36" s="78"/>
      <c r="L36" s="78"/>
      <c r="M36" s="78"/>
      <c r="N36" s="78">
        <f t="shared" si="0"/>
        <v>21500</v>
      </c>
      <c r="O36" s="78"/>
      <c r="P36" s="78"/>
      <c r="Q36" s="78"/>
      <c r="R36" s="78"/>
      <c r="S36" s="78"/>
      <c r="T36" s="78"/>
      <c r="U36" s="78">
        <f t="shared" si="1"/>
        <v>0</v>
      </c>
      <c r="V36" s="78"/>
      <c r="W36" s="78"/>
      <c r="X36" s="78"/>
      <c r="Y36" s="78"/>
      <c r="Z36" s="78"/>
      <c r="AA36" s="78"/>
      <c r="AB36" s="78"/>
      <c r="AC36" s="78">
        <f t="shared" si="2"/>
        <v>0</v>
      </c>
      <c r="AD36" s="79">
        <v>0</v>
      </c>
      <c r="AE36" s="49">
        <f t="shared" si="3"/>
        <v>21500</v>
      </c>
      <c r="AF36" s="49">
        <f t="shared" si="7"/>
        <v>10750</v>
      </c>
      <c r="AG36" s="49">
        <v>10000</v>
      </c>
      <c r="AH36" s="49">
        <v>11500</v>
      </c>
      <c r="AI36" s="80">
        <f t="shared" si="5"/>
        <v>21500</v>
      </c>
      <c r="AJ36" s="80">
        <f t="shared" si="6"/>
        <v>0</v>
      </c>
      <c r="AK36" s="9"/>
    </row>
    <row r="37" spans="1:37" ht="15.75" customHeight="1" x14ac:dyDescent="0.25">
      <c r="A37" s="77">
        <v>36</v>
      </c>
      <c r="B37" s="5" t="s">
        <v>220</v>
      </c>
      <c r="C37" s="5" t="s">
        <v>42</v>
      </c>
      <c r="D37" s="5" t="s">
        <v>219</v>
      </c>
      <c r="E37" s="78"/>
      <c r="F37" s="78">
        <v>18500</v>
      </c>
      <c r="G37" s="78">
        <v>1000</v>
      </c>
      <c r="H37" s="78"/>
      <c r="I37" s="78">
        <v>1500</v>
      </c>
      <c r="J37" s="78"/>
      <c r="K37" s="78"/>
      <c r="L37" s="78"/>
      <c r="M37" s="78"/>
      <c r="N37" s="78">
        <f t="shared" si="0"/>
        <v>21000</v>
      </c>
      <c r="O37" s="78"/>
      <c r="P37" s="78"/>
      <c r="Q37" s="78"/>
      <c r="R37" s="78"/>
      <c r="S37" s="78"/>
      <c r="T37" s="78"/>
      <c r="U37" s="78">
        <f t="shared" si="1"/>
        <v>0</v>
      </c>
      <c r="V37" s="78"/>
      <c r="W37" s="78"/>
      <c r="X37" s="78"/>
      <c r="Y37" s="78"/>
      <c r="Z37" s="78"/>
      <c r="AA37" s="78"/>
      <c r="AB37" s="78"/>
      <c r="AC37" s="78">
        <f t="shared" si="2"/>
        <v>0</v>
      </c>
      <c r="AD37" s="79">
        <v>-2830</v>
      </c>
      <c r="AE37" s="49">
        <f t="shared" si="3"/>
        <v>18170</v>
      </c>
      <c r="AF37" s="49">
        <f t="shared" si="7"/>
        <v>9085</v>
      </c>
      <c r="AG37" s="49">
        <v>18170</v>
      </c>
      <c r="AH37" s="49"/>
      <c r="AI37" s="80">
        <f t="shared" si="5"/>
        <v>18170</v>
      </c>
      <c r="AJ37" s="80">
        <f t="shared" si="6"/>
        <v>0</v>
      </c>
      <c r="AK37" s="9"/>
    </row>
    <row r="38" spans="1:37" ht="15.75" customHeight="1" x14ac:dyDescent="0.25">
      <c r="A38" s="77">
        <v>37</v>
      </c>
      <c r="B38" s="5" t="s">
        <v>33</v>
      </c>
      <c r="C38" s="48" t="s">
        <v>29</v>
      </c>
      <c r="D38" s="5" t="s">
        <v>243</v>
      </c>
      <c r="E38" s="78"/>
      <c r="F38" s="78">
        <v>22500</v>
      </c>
      <c r="G38" s="78">
        <v>2500</v>
      </c>
      <c r="H38" s="78"/>
      <c r="I38" s="78">
        <v>2000</v>
      </c>
      <c r="J38" s="78">
        <v>2000</v>
      </c>
      <c r="K38" s="78">
        <v>2500</v>
      </c>
      <c r="L38" s="78"/>
      <c r="M38" s="78"/>
      <c r="N38" s="78">
        <f t="shared" si="0"/>
        <v>31500</v>
      </c>
      <c r="O38" s="78">
        <v>5000</v>
      </c>
      <c r="P38" s="78"/>
      <c r="Q38" s="78"/>
      <c r="R38" s="78"/>
      <c r="S38" s="78"/>
      <c r="T38" s="78"/>
      <c r="U38" s="78">
        <f t="shared" si="1"/>
        <v>5000</v>
      </c>
      <c r="V38" s="78"/>
      <c r="W38" s="78"/>
      <c r="X38" s="78"/>
      <c r="Y38" s="78"/>
      <c r="Z38" s="78"/>
      <c r="AA38" s="78"/>
      <c r="AB38" s="78"/>
      <c r="AC38" s="78">
        <f t="shared" si="2"/>
        <v>0</v>
      </c>
      <c r="AD38" s="79">
        <v>-3500</v>
      </c>
      <c r="AE38" s="49">
        <f t="shared" si="3"/>
        <v>33000</v>
      </c>
      <c r="AF38" s="49">
        <f t="shared" si="7"/>
        <v>16500</v>
      </c>
      <c r="AG38" s="51">
        <v>23000</v>
      </c>
      <c r="AH38" s="49">
        <v>10000</v>
      </c>
      <c r="AI38" s="80">
        <f t="shared" si="5"/>
        <v>33000</v>
      </c>
      <c r="AJ38" s="80">
        <f t="shared" si="6"/>
        <v>0</v>
      </c>
      <c r="AK38" s="9"/>
    </row>
    <row r="39" spans="1:37" ht="15.75" customHeight="1" x14ac:dyDescent="0.25">
      <c r="A39" s="77">
        <v>38</v>
      </c>
      <c r="B39" s="5" t="s">
        <v>33</v>
      </c>
      <c r="C39" s="5" t="s">
        <v>824</v>
      </c>
      <c r="D39" s="5" t="s">
        <v>245</v>
      </c>
      <c r="E39" s="78"/>
      <c r="F39" s="78">
        <v>29500</v>
      </c>
      <c r="G39" s="78">
        <v>2500</v>
      </c>
      <c r="H39" s="78"/>
      <c r="I39" s="78">
        <v>2500</v>
      </c>
      <c r="J39" s="78">
        <v>2000</v>
      </c>
      <c r="K39" s="78">
        <v>3000</v>
      </c>
      <c r="L39" s="78"/>
      <c r="M39" s="78"/>
      <c r="N39" s="78">
        <f t="shared" si="0"/>
        <v>39500</v>
      </c>
      <c r="O39" s="78"/>
      <c r="P39" s="78"/>
      <c r="Q39" s="78"/>
      <c r="R39" s="78"/>
      <c r="S39" s="78"/>
      <c r="T39" s="78"/>
      <c r="U39" s="78">
        <f t="shared" si="1"/>
        <v>0</v>
      </c>
      <c r="V39" s="78"/>
      <c r="W39" s="78"/>
      <c r="X39" s="78"/>
      <c r="Y39" s="78"/>
      <c r="Z39" s="78"/>
      <c r="AA39" s="78"/>
      <c r="AB39" s="78"/>
      <c r="AC39" s="78">
        <f t="shared" si="2"/>
        <v>0</v>
      </c>
      <c r="AD39" s="79">
        <v>-1000</v>
      </c>
      <c r="AE39" s="49">
        <f t="shared" si="3"/>
        <v>38500</v>
      </c>
      <c r="AF39" s="49">
        <f t="shared" si="7"/>
        <v>19250</v>
      </c>
      <c r="AG39" s="49">
        <v>20000</v>
      </c>
      <c r="AH39" s="49">
        <v>18500</v>
      </c>
      <c r="AI39" s="80">
        <f t="shared" si="5"/>
        <v>38500</v>
      </c>
      <c r="AJ39" s="80">
        <f t="shared" si="6"/>
        <v>0</v>
      </c>
      <c r="AK39" s="9"/>
    </row>
    <row r="40" spans="1:37" ht="15.75" customHeight="1" x14ac:dyDescent="0.25">
      <c r="A40" s="77">
        <v>40</v>
      </c>
      <c r="B40" s="5" t="s">
        <v>94</v>
      </c>
      <c r="C40" s="5" t="s">
        <v>229</v>
      </c>
      <c r="D40" s="5" t="s">
        <v>228</v>
      </c>
      <c r="E40" s="78"/>
      <c r="F40" s="78">
        <v>18500</v>
      </c>
      <c r="G40" s="78">
        <v>1500</v>
      </c>
      <c r="H40" s="78"/>
      <c r="I40" s="78">
        <v>1500</v>
      </c>
      <c r="J40" s="78"/>
      <c r="K40" s="78">
        <v>500</v>
      </c>
      <c r="L40" s="78">
        <v>500</v>
      </c>
      <c r="M40" s="78"/>
      <c r="N40" s="78">
        <f t="shared" si="0"/>
        <v>22500</v>
      </c>
      <c r="O40" s="78"/>
      <c r="P40" s="78"/>
      <c r="Q40" s="78"/>
      <c r="R40" s="78"/>
      <c r="S40" s="78"/>
      <c r="T40" s="78"/>
      <c r="U40" s="78">
        <f t="shared" si="1"/>
        <v>0</v>
      </c>
      <c r="V40" s="78"/>
      <c r="W40" s="78"/>
      <c r="X40" s="78"/>
      <c r="Y40" s="78"/>
      <c r="Z40" s="78"/>
      <c r="AA40" s="78"/>
      <c r="AB40" s="78"/>
      <c r="AC40" s="78">
        <f t="shared" si="2"/>
        <v>0</v>
      </c>
      <c r="AD40" s="79">
        <v>0</v>
      </c>
      <c r="AE40" s="49">
        <f t="shared" si="3"/>
        <v>22500</v>
      </c>
      <c r="AF40" s="49">
        <f t="shared" si="7"/>
        <v>11250</v>
      </c>
      <c r="AG40" s="49">
        <v>11250</v>
      </c>
      <c r="AH40" s="50">
        <v>11250</v>
      </c>
      <c r="AI40" s="80">
        <f t="shared" si="5"/>
        <v>22500</v>
      </c>
      <c r="AJ40" s="80">
        <f t="shared" si="6"/>
        <v>0</v>
      </c>
      <c r="AK40" s="9"/>
    </row>
    <row r="41" spans="1:37" ht="15.75" customHeight="1" x14ac:dyDescent="0.25">
      <c r="A41" s="77">
        <v>22</v>
      </c>
      <c r="B41" s="5" t="s">
        <v>94</v>
      </c>
      <c r="C41" s="5" t="s">
        <v>234</v>
      </c>
      <c r="D41" s="5" t="s">
        <v>232</v>
      </c>
      <c r="E41" s="78"/>
      <c r="F41" s="78">
        <v>20500</v>
      </c>
      <c r="G41" s="78">
        <v>2000</v>
      </c>
      <c r="H41" s="78"/>
      <c r="I41" s="78">
        <v>1500</v>
      </c>
      <c r="J41" s="78">
        <v>1500</v>
      </c>
      <c r="K41" s="78">
        <v>1000</v>
      </c>
      <c r="L41" s="78">
        <v>1000</v>
      </c>
      <c r="M41" s="78"/>
      <c r="N41" s="78">
        <f t="shared" si="0"/>
        <v>27500</v>
      </c>
      <c r="O41" s="78"/>
      <c r="P41" s="78"/>
      <c r="Q41" s="78"/>
      <c r="R41" s="78"/>
      <c r="S41" s="78"/>
      <c r="T41" s="78"/>
      <c r="U41" s="78">
        <f t="shared" si="1"/>
        <v>0</v>
      </c>
      <c r="V41" s="78"/>
      <c r="W41" s="78"/>
      <c r="X41" s="78"/>
      <c r="Y41" s="78"/>
      <c r="Z41" s="78"/>
      <c r="AA41" s="78"/>
      <c r="AB41" s="78"/>
      <c r="AC41" s="78">
        <f t="shared" si="2"/>
        <v>0</v>
      </c>
      <c r="AD41" s="79">
        <v>10380</v>
      </c>
      <c r="AE41" s="49">
        <f t="shared" si="3"/>
        <v>37880</v>
      </c>
      <c r="AF41" s="49">
        <f t="shared" si="7"/>
        <v>18940</v>
      </c>
      <c r="AG41" s="49">
        <v>19130</v>
      </c>
      <c r="AH41" s="49">
        <v>18750</v>
      </c>
      <c r="AI41" s="80">
        <f t="shared" si="5"/>
        <v>37880</v>
      </c>
      <c r="AJ41" s="80">
        <f t="shared" si="6"/>
        <v>0</v>
      </c>
      <c r="AK41" s="9"/>
    </row>
    <row r="42" spans="1:37" ht="15.75" customHeight="1" x14ac:dyDescent="0.25">
      <c r="A42" s="77">
        <v>41</v>
      </c>
      <c r="B42" s="5" t="s">
        <v>103</v>
      </c>
      <c r="C42" s="5" t="s">
        <v>86</v>
      </c>
      <c r="D42" s="5" t="s">
        <v>237</v>
      </c>
      <c r="E42" s="78"/>
      <c r="F42" s="78">
        <v>20500</v>
      </c>
      <c r="G42" s="78">
        <v>2000</v>
      </c>
      <c r="H42" s="78"/>
      <c r="I42" s="78">
        <v>1500</v>
      </c>
      <c r="J42" s="78">
        <v>1500</v>
      </c>
      <c r="K42" s="78">
        <v>1000</v>
      </c>
      <c r="L42" s="78">
        <v>1000</v>
      </c>
      <c r="M42" s="78"/>
      <c r="N42" s="78">
        <f t="shared" si="0"/>
        <v>27500</v>
      </c>
      <c r="O42" s="78"/>
      <c r="P42" s="78"/>
      <c r="Q42" s="78"/>
      <c r="R42" s="78"/>
      <c r="S42" s="78"/>
      <c r="T42" s="78"/>
      <c r="U42" s="78">
        <f t="shared" si="1"/>
        <v>0</v>
      </c>
      <c r="V42" s="78"/>
      <c r="W42" s="78"/>
      <c r="X42" s="78"/>
      <c r="Y42" s="78"/>
      <c r="Z42" s="78"/>
      <c r="AA42" s="78"/>
      <c r="AB42" s="78"/>
      <c r="AC42" s="78">
        <f t="shared" si="2"/>
        <v>0</v>
      </c>
      <c r="AD42" s="79">
        <v>-1520</v>
      </c>
      <c r="AE42" s="49">
        <f t="shared" si="3"/>
        <v>25980</v>
      </c>
      <c r="AF42" s="49">
        <f t="shared" si="7"/>
        <v>12990</v>
      </c>
      <c r="AG42" s="49">
        <v>12990</v>
      </c>
      <c r="AH42" s="49">
        <v>12990</v>
      </c>
      <c r="AI42" s="80">
        <f t="shared" si="5"/>
        <v>25980</v>
      </c>
      <c r="AJ42" s="80">
        <f t="shared" si="6"/>
        <v>0</v>
      </c>
      <c r="AK42" s="9"/>
    </row>
    <row r="43" spans="1:37" ht="15.75" customHeight="1" x14ac:dyDescent="0.25">
      <c r="A43" s="77">
        <v>12</v>
      </c>
      <c r="B43" s="5" t="s">
        <v>45</v>
      </c>
      <c r="C43" s="5" t="s">
        <v>826</v>
      </c>
      <c r="D43" s="5" t="s">
        <v>230</v>
      </c>
      <c r="E43" s="78"/>
      <c r="F43" s="78">
        <v>12600</v>
      </c>
      <c r="G43" s="78">
        <v>1500</v>
      </c>
      <c r="H43" s="78"/>
      <c r="I43" s="78">
        <v>1500</v>
      </c>
      <c r="J43" s="78"/>
      <c r="K43" s="78">
        <v>500</v>
      </c>
      <c r="L43" s="78">
        <v>500</v>
      </c>
      <c r="M43" s="78"/>
      <c r="N43" s="78">
        <f t="shared" si="0"/>
        <v>16600</v>
      </c>
      <c r="O43" s="78"/>
      <c r="P43" s="78"/>
      <c r="Q43" s="78"/>
      <c r="R43" s="78"/>
      <c r="S43" s="78"/>
      <c r="T43" s="78"/>
      <c r="U43" s="78">
        <f t="shared" si="1"/>
        <v>0</v>
      </c>
      <c r="V43" s="78"/>
      <c r="W43" s="78"/>
      <c r="X43" s="78">
        <v>5500</v>
      </c>
      <c r="Y43" s="78"/>
      <c r="Z43" s="78"/>
      <c r="AA43" s="78"/>
      <c r="AB43" s="78"/>
      <c r="AC43" s="78">
        <f t="shared" si="2"/>
        <v>5500</v>
      </c>
      <c r="AD43" s="79">
        <v>480</v>
      </c>
      <c r="AE43" s="49">
        <f t="shared" si="3"/>
        <v>22580</v>
      </c>
      <c r="AF43" s="49">
        <f t="shared" si="7"/>
        <v>11290</v>
      </c>
      <c r="AG43" s="49">
        <v>11040</v>
      </c>
      <c r="AH43" s="49">
        <v>11460</v>
      </c>
      <c r="AI43" s="80">
        <f t="shared" si="5"/>
        <v>22500</v>
      </c>
      <c r="AJ43" s="80">
        <f t="shared" si="6"/>
        <v>80</v>
      </c>
      <c r="AK43" s="9"/>
    </row>
    <row r="44" spans="1:37" ht="15.75" customHeight="1" x14ac:dyDescent="0.25">
      <c r="A44" s="77">
        <v>42</v>
      </c>
      <c r="B44" s="5" t="s">
        <v>45</v>
      </c>
      <c r="C44" s="5" t="s">
        <v>825</v>
      </c>
      <c r="D44" s="5" t="s">
        <v>244</v>
      </c>
      <c r="E44" s="78"/>
      <c r="F44" s="78" t="s">
        <v>46</v>
      </c>
      <c r="G44" s="78"/>
      <c r="H44" s="78"/>
      <c r="I44" s="78">
        <v>2000</v>
      </c>
      <c r="J44" s="78">
        <v>2000</v>
      </c>
      <c r="K44" s="78">
        <v>2500</v>
      </c>
      <c r="L44" s="78"/>
      <c r="M44" s="78"/>
      <c r="N44" s="78">
        <f t="shared" si="0"/>
        <v>6500</v>
      </c>
      <c r="O44" s="78"/>
      <c r="P44" s="78"/>
      <c r="Q44" s="78"/>
      <c r="R44" s="78"/>
      <c r="S44" s="78"/>
      <c r="T44" s="78"/>
      <c r="U44" s="78">
        <f t="shared" si="1"/>
        <v>0</v>
      </c>
      <c r="V44" s="78"/>
      <c r="W44" s="78"/>
      <c r="X44" s="78"/>
      <c r="Y44" s="78"/>
      <c r="Z44" s="78"/>
      <c r="AA44" s="78"/>
      <c r="AB44" s="78"/>
      <c r="AC44" s="78">
        <f t="shared" si="2"/>
        <v>0</v>
      </c>
      <c r="AD44" s="79">
        <v>-1000</v>
      </c>
      <c r="AE44" s="49">
        <f t="shared" si="3"/>
        <v>5500</v>
      </c>
      <c r="AF44" s="49">
        <f t="shared" si="7"/>
        <v>2750</v>
      </c>
      <c r="AG44" s="49">
        <v>2960</v>
      </c>
      <c r="AH44" s="49">
        <v>2540</v>
      </c>
      <c r="AI44" s="80">
        <f t="shared" si="5"/>
        <v>5500</v>
      </c>
      <c r="AJ44" s="80">
        <f t="shared" si="6"/>
        <v>0</v>
      </c>
      <c r="AK44" s="9"/>
    </row>
    <row r="45" spans="1:37" ht="15.75" customHeight="1" x14ac:dyDescent="0.25">
      <c r="A45" s="77">
        <v>44</v>
      </c>
      <c r="B45" s="5" t="s">
        <v>28</v>
      </c>
      <c r="C45" s="5" t="s">
        <v>827</v>
      </c>
      <c r="D45" s="5" t="s">
        <v>223</v>
      </c>
      <c r="E45" s="78"/>
      <c r="F45" s="78">
        <v>18500</v>
      </c>
      <c r="G45" s="78">
        <v>1500</v>
      </c>
      <c r="H45" s="78"/>
      <c r="I45" s="78">
        <v>1500</v>
      </c>
      <c r="J45" s="78"/>
      <c r="K45" s="78"/>
      <c r="L45" s="78"/>
      <c r="M45" s="78"/>
      <c r="N45" s="78">
        <f t="shared" si="0"/>
        <v>21500</v>
      </c>
      <c r="O45" s="78"/>
      <c r="P45" s="78"/>
      <c r="Q45" s="78"/>
      <c r="R45" s="78"/>
      <c r="S45" s="78"/>
      <c r="T45" s="78"/>
      <c r="U45" s="78">
        <f t="shared" si="1"/>
        <v>0</v>
      </c>
      <c r="V45" s="78"/>
      <c r="W45" s="78"/>
      <c r="X45" s="78"/>
      <c r="Y45" s="78"/>
      <c r="Z45" s="78"/>
      <c r="AA45" s="78"/>
      <c r="AB45" s="78"/>
      <c r="AC45" s="78">
        <f t="shared" si="2"/>
        <v>0</v>
      </c>
      <c r="AD45" s="79">
        <v>-2000</v>
      </c>
      <c r="AE45" s="49">
        <f t="shared" si="3"/>
        <v>19500</v>
      </c>
      <c r="AF45" s="49">
        <f t="shared" si="7"/>
        <v>9750</v>
      </c>
      <c r="AG45" s="49">
        <v>19500</v>
      </c>
      <c r="AH45" s="49"/>
      <c r="AI45" s="80">
        <f t="shared" si="5"/>
        <v>19500</v>
      </c>
      <c r="AJ45" s="80">
        <f t="shared" si="6"/>
        <v>0</v>
      </c>
      <c r="AK45" s="9"/>
    </row>
    <row r="46" spans="1:37" ht="15.75" customHeight="1" x14ac:dyDescent="0.25">
      <c r="A46" s="77">
        <v>53</v>
      </c>
      <c r="B46" s="5" t="s">
        <v>34</v>
      </c>
      <c r="C46" s="5" t="s">
        <v>107</v>
      </c>
      <c r="D46" s="5" t="s">
        <v>238</v>
      </c>
      <c r="E46" s="78"/>
      <c r="F46" s="78">
        <v>20500</v>
      </c>
      <c r="G46" s="78">
        <v>2000</v>
      </c>
      <c r="H46" s="78"/>
      <c r="I46" s="78">
        <v>1500</v>
      </c>
      <c r="J46" s="78">
        <v>1500</v>
      </c>
      <c r="K46" s="78">
        <v>1000</v>
      </c>
      <c r="L46" s="78">
        <v>1000</v>
      </c>
      <c r="M46" s="78"/>
      <c r="N46" s="78">
        <f t="shared" si="0"/>
        <v>27500</v>
      </c>
      <c r="O46" s="78"/>
      <c r="P46" s="78"/>
      <c r="Q46" s="78"/>
      <c r="R46" s="78"/>
      <c r="S46" s="78"/>
      <c r="T46" s="78"/>
      <c r="U46" s="78">
        <f t="shared" si="1"/>
        <v>0</v>
      </c>
      <c r="V46" s="78"/>
      <c r="W46" s="78"/>
      <c r="X46" s="78"/>
      <c r="Y46" s="78"/>
      <c r="Z46" s="78"/>
      <c r="AA46" s="78"/>
      <c r="AB46" s="78"/>
      <c r="AC46" s="78">
        <f t="shared" si="2"/>
        <v>0</v>
      </c>
      <c r="AD46" s="79">
        <v>12555</v>
      </c>
      <c r="AE46" s="49">
        <f t="shared" si="3"/>
        <v>40055</v>
      </c>
      <c r="AF46" s="49">
        <f t="shared" si="7"/>
        <v>20027.5</v>
      </c>
      <c r="AG46" s="49">
        <v>20000</v>
      </c>
      <c r="AH46" s="49">
        <v>15000</v>
      </c>
      <c r="AI46" s="80">
        <f t="shared" si="5"/>
        <v>35000</v>
      </c>
      <c r="AJ46" s="80">
        <f t="shared" si="6"/>
        <v>5055</v>
      </c>
      <c r="AK46" s="9"/>
    </row>
    <row r="47" spans="1:37" ht="15.75" customHeight="1" x14ac:dyDescent="0.25">
      <c r="A47" s="77">
        <v>27</v>
      </c>
      <c r="B47" s="5" t="s">
        <v>34</v>
      </c>
      <c r="C47" s="5" t="s">
        <v>35</v>
      </c>
      <c r="D47" s="5" t="s">
        <v>243</v>
      </c>
      <c r="E47" s="78"/>
      <c r="F47" s="78">
        <v>22500</v>
      </c>
      <c r="G47" s="78">
        <v>2500</v>
      </c>
      <c r="H47" s="78"/>
      <c r="I47" s="78">
        <v>2000</v>
      </c>
      <c r="J47" s="78">
        <v>2000</v>
      </c>
      <c r="K47" s="78">
        <v>2500</v>
      </c>
      <c r="L47" s="78"/>
      <c r="M47" s="78"/>
      <c r="N47" s="78">
        <f t="shared" si="0"/>
        <v>31500</v>
      </c>
      <c r="O47" s="78"/>
      <c r="P47" s="78"/>
      <c r="Q47" s="78"/>
      <c r="R47" s="78"/>
      <c r="S47" s="78"/>
      <c r="T47" s="78"/>
      <c r="U47" s="78">
        <f t="shared" si="1"/>
        <v>0</v>
      </c>
      <c r="V47" s="78"/>
      <c r="W47" s="78"/>
      <c r="X47" s="78"/>
      <c r="Y47" s="78"/>
      <c r="Z47" s="78"/>
      <c r="AA47" s="78"/>
      <c r="AB47" s="78"/>
      <c r="AC47" s="78">
        <f t="shared" si="2"/>
        <v>0</v>
      </c>
      <c r="AD47" s="79">
        <v>12250</v>
      </c>
      <c r="AE47" s="49">
        <f t="shared" si="3"/>
        <v>43750</v>
      </c>
      <c r="AF47" s="49">
        <f t="shared" si="7"/>
        <v>21875</v>
      </c>
      <c r="AG47" s="49">
        <v>20000</v>
      </c>
      <c r="AH47" s="49">
        <v>15000</v>
      </c>
      <c r="AI47" s="80">
        <f t="shared" si="5"/>
        <v>35000</v>
      </c>
      <c r="AJ47" s="80">
        <f t="shared" si="6"/>
        <v>8750</v>
      </c>
      <c r="AK47" s="9"/>
    </row>
    <row r="48" spans="1:37" ht="15.75" customHeight="1" x14ac:dyDescent="0.25">
      <c r="A48" s="77">
        <v>47</v>
      </c>
      <c r="B48" s="5" t="s">
        <v>89</v>
      </c>
      <c r="C48" s="5" t="s">
        <v>91</v>
      </c>
      <c r="D48" s="5" t="s">
        <v>227</v>
      </c>
      <c r="E48" s="78"/>
      <c r="F48" s="78">
        <v>18500</v>
      </c>
      <c r="G48" s="78">
        <v>1500</v>
      </c>
      <c r="H48" s="78"/>
      <c r="I48" s="78">
        <v>1500</v>
      </c>
      <c r="J48" s="78"/>
      <c r="K48" s="78"/>
      <c r="L48" s="78"/>
      <c r="M48" s="78"/>
      <c r="N48" s="78">
        <f t="shared" si="0"/>
        <v>21500</v>
      </c>
      <c r="O48" s="78"/>
      <c r="P48" s="78"/>
      <c r="Q48" s="78"/>
      <c r="R48" s="78"/>
      <c r="S48" s="78"/>
      <c r="T48" s="78"/>
      <c r="U48" s="78">
        <f t="shared" si="1"/>
        <v>0</v>
      </c>
      <c r="V48" s="78"/>
      <c r="W48" s="78"/>
      <c r="X48" s="78"/>
      <c r="Y48" s="78"/>
      <c r="Z48" s="78"/>
      <c r="AA48" s="78"/>
      <c r="AB48" s="78"/>
      <c r="AC48" s="78">
        <f t="shared" si="2"/>
        <v>0</v>
      </c>
      <c r="AD48" s="79">
        <v>-1500</v>
      </c>
      <c r="AE48" s="49">
        <f t="shared" si="3"/>
        <v>20000</v>
      </c>
      <c r="AF48" s="49">
        <f t="shared" si="7"/>
        <v>10000</v>
      </c>
      <c r="AG48" s="49">
        <v>20000</v>
      </c>
      <c r="AH48" s="49"/>
      <c r="AI48" s="80">
        <f t="shared" si="5"/>
        <v>20000</v>
      </c>
      <c r="AJ48" s="80">
        <f t="shared" si="6"/>
        <v>0</v>
      </c>
      <c r="AK48" s="9"/>
    </row>
    <row r="49" spans="1:37" ht="15.75" customHeight="1" x14ac:dyDescent="0.25">
      <c r="A49" s="77">
        <v>48</v>
      </c>
      <c r="B49" s="5" t="s">
        <v>123</v>
      </c>
      <c r="C49" s="5" t="s">
        <v>124</v>
      </c>
      <c r="D49" s="5" t="s">
        <v>246</v>
      </c>
      <c r="E49" s="78"/>
      <c r="F49" s="78">
        <v>22500</v>
      </c>
      <c r="G49" s="78">
        <v>2500</v>
      </c>
      <c r="H49" s="78"/>
      <c r="I49" s="78">
        <v>2500</v>
      </c>
      <c r="J49" s="78">
        <v>2000</v>
      </c>
      <c r="K49" s="78">
        <v>3000</v>
      </c>
      <c r="L49" s="78"/>
      <c r="M49" s="78"/>
      <c r="N49" s="78">
        <f t="shared" si="0"/>
        <v>32500</v>
      </c>
      <c r="O49" s="78">
        <v>5000</v>
      </c>
      <c r="P49" s="78"/>
      <c r="Q49" s="78"/>
      <c r="R49" s="78"/>
      <c r="S49" s="78"/>
      <c r="T49" s="78"/>
      <c r="U49" s="78">
        <f t="shared" si="1"/>
        <v>5000</v>
      </c>
      <c r="V49" s="78"/>
      <c r="W49" s="78"/>
      <c r="X49" s="78"/>
      <c r="Y49" s="78"/>
      <c r="Z49" s="78"/>
      <c r="AA49" s="78"/>
      <c r="AB49" s="78"/>
      <c r="AC49" s="78">
        <f t="shared" si="2"/>
        <v>0</v>
      </c>
      <c r="AD49" s="79">
        <v>-1000</v>
      </c>
      <c r="AE49" s="49">
        <f t="shared" si="3"/>
        <v>36500</v>
      </c>
      <c r="AF49" s="49">
        <f t="shared" si="7"/>
        <v>18250</v>
      </c>
      <c r="AG49" s="49">
        <v>18250</v>
      </c>
      <c r="AH49" s="49">
        <v>18250</v>
      </c>
      <c r="AI49" s="80">
        <f t="shared" si="5"/>
        <v>36500</v>
      </c>
      <c r="AJ49" s="80">
        <f t="shared" si="6"/>
        <v>0</v>
      </c>
      <c r="AK49" s="9"/>
    </row>
    <row r="50" spans="1:37" ht="15.75" customHeight="1" x14ac:dyDescent="0.25">
      <c r="A50" s="77">
        <v>49</v>
      </c>
      <c r="B50" s="5" t="s">
        <v>123</v>
      </c>
      <c r="C50" s="5" t="s">
        <v>125</v>
      </c>
      <c r="D50" s="5" t="s">
        <v>246</v>
      </c>
      <c r="E50" s="78"/>
      <c r="F50" s="78">
        <v>22500</v>
      </c>
      <c r="G50" s="78">
        <v>2500</v>
      </c>
      <c r="H50" s="78"/>
      <c r="I50" s="78">
        <v>2500</v>
      </c>
      <c r="J50" s="78">
        <v>2000</v>
      </c>
      <c r="K50" s="78">
        <v>3000</v>
      </c>
      <c r="L50" s="78"/>
      <c r="M50" s="78"/>
      <c r="N50" s="78">
        <f t="shared" si="0"/>
        <v>32500</v>
      </c>
      <c r="O50" s="78">
        <v>5000</v>
      </c>
      <c r="P50" s="78"/>
      <c r="Q50" s="78"/>
      <c r="R50" s="78"/>
      <c r="S50" s="78"/>
      <c r="T50" s="78"/>
      <c r="U50" s="78">
        <f t="shared" si="1"/>
        <v>5000</v>
      </c>
      <c r="V50" s="78"/>
      <c r="W50" s="78"/>
      <c r="X50" s="78"/>
      <c r="Y50" s="78"/>
      <c r="Z50" s="78"/>
      <c r="AA50" s="78"/>
      <c r="AB50" s="78"/>
      <c r="AC50" s="78">
        <f t="shared" si="2"/>
        <v>0</v>
      </c>
      <c r="AD50" s="79">
        <v>-1000</v>
      </c>
      <c r="AE50" s="49">
        <f t="shared" si="3"/>
        <v>36500</v>
      </c>
      <c r="AF50" s="49">
        <f t="shared" si="7"/>
        <v>18250</v>
      </c>
      <c r="AG50" s="49">
        <v>18250</v>
      </c>
      <c r="AH50" s="49">
        <v>18250</v>
      </c>
      <c r="AI50" s="80">
        <f t="shared" si="5"/>
        <v>36500</v>
      </c>
      <c r="AJ50" s="80">
        <f t="shared" si="6"/>
        <v>0</v>
      </c>
      <c r="AK50" s="9"/>
    </row>
    <row r="51" spans="1:37" ht="15.75" customHeight="1" x14ac:dyDescent="0.25">
      <c r="A51" s="77">
        <v>50</v>
      </c>
      <c r="B51" s="5" t="s">
        <v>235</v>
      </c>
      <c r="C51" s="5" t="s">
        <v>100</v>
      </c>
      <c r="D51" s="5" t="s">
        <v>232</v>
      </c>
      <c r="E51" s="78"/>
      <c r="F51" s="78">
        <v>20500</v>
      </c>
      <c r="G51" s="78">
        <v>2000</v>
      </c>
      <c r="H51" s="78"/>
      <c r="I51" s="78">
        <v>1500</v>
      </c>
      <c r="J51" s="78">
        <v>1500</v>
      </c>
      <c r="K51" s="78">
        <v>1000</v>
      </c>
      <c r="L51" s="78">
        <v>1000</v>
      </c>
      <c r="M51" s="78"/>
      <c r="N51" s="78">
        <f t="shared" si="0"/>
        <v>27500</v>
      </c>
      <c r="O51" s="78"/>
      <c r="P51" s="78"/>
      <c r="Q51" s="78"/>
      <c r="R51" s="78"/>
      <c r="S51" s="78"/>
      <c r="T51" s="78"/>
      <c r="U51" s="78">
        <f t="shared" si="1"/>
        <v>0</v>
      </c>
      <c r="V51" s="78"/>
      <c r="W51" s="78"/>
      <c r="X51" s="78"/>
      <c r="Y51" s="78"/>
      <c r="Z51" s="78"/>
      <c r="AA51" s="78"/>
      <c r="AB51" s="78"/>
      <c r="AC51" s="78">
        <f t="shared" si="2"/>
        <v>0</v>
      </c>
      <c r="AD51" s="79">
        <v>380</v>
      </c>
      <c r="AE51" s="49">
        <f t="shared" si="3"/>
        <v>27880</v>
      </c>
      <c r="AF51" s="49">
        <f t="shared" si="7"/>
        <v>13940</v>
      </c>
      <c r="AG51" s="49">
        <v>20000</v>
      </c>
      <c r="AH51" s="49">
        <v>7880</v>
      </c>
      <c r="AI51" s="80">
        <f t="shared" si="5"/>
        <v>27880</v>
      </c>
      <c r="AJ51" s="80">
        <f t="shared" si="6"/>
        <v>0</v>
      </c>
      <c r="AK51" s="9"/>
    </row>
    <row r="52" spans="1:37" ht="15.75" customHeight="1" x14ac:dyDescent="0.25">
      <c r="A52" s="77">
        <v>32</v>
      </c>
      <c r="B52" s="5" t="s">
        <v>235</v>
      </c>
      <c r="C52" s="5" t="s">
        <v>828</v>
      </c>
      <c r="D52" s="5" t="s">
        <v>242</v>
      </c>
      <c r="E52" s="78"/>
      <c r="F52" s="78">
        <v>22500</v>
      </c>
      <c r="G52" s="78">
        <v>2500</v>
      </c>
      <c r="H52" s="78"/>
      <c r="I52" s="78">
        <v>2000</v>
      </c>
      <c r="J52" s="78">
        <v>2000</v>
      </c>
      <c r="K52" s="78">
        <v>2500</v>
      </c>
      <c r="L52" s="78"/>
      <c r="M52" s="78"/>
      <c r="N52" s="78">
        <f t="shared" si="0"/>
        <v>31500</v>
      </c>
      <c r="O52" s="78">
        <v>5000</v>
      </c>
      <c r="P52" s="78"/>
      <c r="Q52" s="78"/>
      <c r="R52" s="78"/>
      <c r="S52" s="78"/>
      <c r="T52" s="78"/>
      <c r="U52" s="78">
        <f t="shared" si="1"/>
        <v>5000</v>
      </c>
      <c r="V52" s="78"/>
      <c r="W52" s="78"/>
      <c r="X52" s="78"/>
      <c r="Y52" s="78"/>
      <c r="Z52" s="78"/>
      <c r="AA52" s="78"/>
      <c r="AB52" s="78"/>
      <c r="AC52" s="78">
        <f t="shared" si="2"/>
        <v>0</v>
      </c>
      <c r="AD52" s="79">
        <v>0</v>
      </c>
      <c r="AE52" s="49">
        <f t="shared" si="3"/>
        <v>36500</v>
      </c>
      <c r="AF52" s="49">
        <f t="shared" si="7"/>
        <v>18250</v>
      </c>
      <c r="AG52" s="49">
        <v>30000</v>
      </c>
      <c r="AH52" s="49">
        <v>1120</v>
      </c>
      <c r="AI52" s="80">
        <f t="shared" si="5"/>
        <v>31120</v>
      </c>
      <c r="AJ52" s="80">
        <f t="shared" si="6"/>
        <v>5380</v>
      </c>
      <c r="AK52" s="9"/>
    </row>
    <row r="53" spans="1:37" ht="15.75" customHeight="1" x14ac:dyDescent="0.25">
      <c r="A53" s="77">
        <v>5</v>
      </c>
      <c r="B53" s="5" t="s">
        <v>108</v>
      </c>
      <c r="C53" s="5" t="s">
        <v>830</v>
      </c>
      <c r="D53" s="5" t="s">
        <v>238</v>
      </c>
      <c r="E53" s="78"/>
      <c r="F53" s="78">
        <v>20500</v>
      </c>
      <c r="G53" s="78">
        <v>2000</v>
      </c>
      <c r="H53" s="78"/>
      <c r="I53" s="78">
        <v>1500</v>
      </c>
      <c r="J53" s="78">
        <v>1500</v>
      </c>
      <c r="K53" s="78">
        <v>1000</v>
      </c>
      <c r="L53" s="78">
        <v>1000</v>
      </c>
      <c r="M53" s="78"/>
      <c r="N53" s="78">
        <f t="shared" si="0"/>
        <v>27500</v>
      </c>
      <c r="O53" s="78"/>
      <c r="P53" s="78"/>
      <c r="Q53" s="78"/>
      <c r="R53" s="78"/>
      <c r="S53" s="78"/>
      <c r="T53" s="78"/>
      <c r="U53" s="78">
        <f t="shared" si="1"/>
        <v>0</v>
      </c>
      <c r="V53" s="78"/>
      <c r="W53" s="78"/>
      <c r="X53" s="78"/>
      <c r="Y53" s="78"/>
      <c r="Z53" s="78"/>
      <c r="AA53" s="78"/>
      <c r="AB53" s="78"/>
      <c r="AC53" s="78">
        <f t="shared" si="2"/>
        <v>0</v>
      </c>
      <c r="AD53" s="79">
        <v>8230</v>
      </c>
      <c r="AE53" s="49">
        <f t="shared" si="3"/>
        <v>35730</v>
      </c>
      <c r="AF53" s="49">
        <f t="shared" si="7"/>
        <v>17865</v>
      </c>
      <c r="AG53" s="49">
        <v>20000</v>
      </c>
      <c r="AH53" s="49"/>
      <c r="AI53" s="80">
        <f t="shared" si="5"/>
        <v>20000</v>
      </c>
      <c r="AJ53" s="80">
        <f t="shared" si="6"/>
        <v>15730</v>
      </c>
      <c r="AK53" s="53"/>
    </row>
    <row r="54" spans="1:37" ht="15.75" customHeight="1" x14ac:dyDescent="0.25">
      <c r="A54" s="77">
        <v>46</v>
      </c>
      <c r="B54" s="5" t="s">
        <v>108</v>
      </c>
      <c r="C54" s="5" t="s">
        <v>829</v>
      </c>
      <c r="D54" s="5" t="s">
        <v>242</v>
      </c>
      <c r="E54" s="78"/>
      <c r="F54" s="78">
        <v>22500</v>
      </c>
      <c r="G54" s="78">
        <v>2500</v>
      </c>
      <c r="H54" s="78"/>
      <c r="I54" s="78">
        <v>2000</v>
      </c>
      <c r="J54" s="78">
        <v>2000</v>
      </c>
      <c r="K54" s="78">
        <v>2500</v>
      </c>
      <c r="L54" s="78"/>
      <c r="M54" s="78"/>
      <c r="N54" s="78">
        <f t="shared" si="0"/>
        <v>31500</v>
      </c>
      <c r="O54" s="78">
        <v>5000</v>
      </c>
      <c r="P54" s="78"/>
      <c r="Q54" s="78"/>
      <c r="R54" s="78"/>
      <c r="S54" s="78"/>
      <c r="T54" s="78"/>
      <c r="U54" s="78">
        <f t="shared" si="1"/>
        <v>5000</v>
      </c>
      <c r="V54" s="78"/>
      <c r="W54" s="78"/>
      <c r="X54" s="78"/>
      <c r="Y54" s="78"/>
      <c r="Z54" s="78"/>
      <c r="AA54" s="78"/>
      <c r="AB54" s="78"/>
      <c r="AC54" s="78">
        <f t="shared" si="2"/>
        <v>0</v>
      </c>
      <c r="AD54" s="79">
        <v>-2000</v>
      </c>
      <c r="AE54" s="49">
        <f t="shared" si="3"/>
        <v>34500</v>
      </c>
      <c r="AF54" s="49">
        <f t="shared" si="7"/>
        <v>17250</v>
      </c>
      <c r="AG54" s="49">
        <v>30000</v>
      </c>
      <c r="AH54" s="49"/>
      <c r="AI54" s="80">
        <f t="shared" si="5"/>
        <v>30000</v>
      </c>
      <c r="AJ54" s="80">
        <f t="shared" si="6"/>
        <v>4500</v>
      </c>
      <c r="AK54" s="9"/>
    </row>
    <row r="55" spans="1:37" ht="15.75" customHeight="1" x14ac:dyDescent="0.25">
      <c r="A55" s="77">
        <v>3</v>
      </c>
      <c r="B55" s="5" t="s">
        <v>92</v>
      </c>
      <c r="C55" s="5" t="s">
        <v>93</v>
      </c>
      <c r="D55" s="5" t="s">
        <v>228</v>
      </c>
      <c r="E55" s="78"/>
      <c r="F55" s="78">
        <v>18500</v>
      </c>
      <c r="G55" s="78">
        <v>1500</v>
      </c>
      <c r="H55" s="78"/>
      <c r="I55" s="78">
        <v>1500</v>
      </c>
      <c r="J55" s="78"/>
      <c r="K55" s="78">
        <v>500</v>
      </c>
      <c r="L55" s="78">
        <v>500</v>
      </c>
      <c r="M55" s="78"/>
      <c r="N55" s="78">
        <f t="shared" si="0"/>
        <v>22500</v>
      </c>
      <c r="O55" s="78"/>
      <c r="P55" s="78"/>
      <c r="Q55" s="78"/>
      <c r="R55" s="78"/>
      <c r="S55" s="78"/>
      <c r="T55" s="78"/>
      <c r="U55" s="78">
        <f t="shared" si="1"/>
        <v>0</v>
      </c>
      <c r="V55" s="78"/>
      <c r="W55" s="78"/>
      <c r="X55" s="78"/>
      <c r="Y55" s="78"/>
      <c r="Z55" s="78"/>
      <c r="AA55" s="78"/>
      <c r="AB55" s="78"/>
      <c r="AC55" s="78">
        <f t="shared" si="2"/>
        <v>0</v>
      </c>
      <c r="AD55" s="79">
        <v>2950</v>
      </c>
      <c r="AE55" s="49">
        <f t="shared" si="3"/>
        <v>25450</v>
      </c>
      <c r="AF55" s="49">
        <f t="shared" si="7"/>
        <v>12725</v>
      </c>
      <c r="AG55" s="49">
        <v>10000</v>
      </c>
      <c r="AH55" s="49">
        <v>12000</v>
      </c>
      <c r="AI55" s="80">
        <f t="shared" si="5"/>
        <v>22000</v>
      </c>
      <c r="AJ55" s="80">
        <f t="shared" si="6"/>
        <v>3450</v>
      </c>
      <c r="AK55" s="9"/>
    </row>
    <row r="56" spans="1:37" ht="15.75" customHeight="1" x14ac:dyDescent="0.25">
      <c r="A56" s="77">
        <v>4</v>
      </c>
      <c r="B56" s="5" t="s">
        <v>92</v>
      </c>
      <c r="C56" s="5" t="s">
        <v>104</v>
      </c>
      <c r="D56" s="5" t="s">
        <v>237</v>
      </c>
      <c r="E56" s="78"/>
      <c r="F56" s="78">
        <v>20500</v>
      </c>
      <c r="G56" s="78">
        <v>2000</v>
      </c>
      <c r="H56" s="78"/>
      <c r="I56" s="78">
        <v>1500</v>
      </c>
      <c r="J56" s="78">
        <v>1500</v>
      </c>
      <c r="K56" s="78">
        <v>1000</v>
      </c>
      <c r="L56" s="78">
        <v>1000</v>
      </c>
      <c r="M56" s="78"/>
      <c r="N56" s="78">
        <f t="shared" si="0"/>
        <v>27500</v>
      </c>
      <c r="O56" s="78"/>
      <c r="P56" s="78"/>
      <c r="Q56" s="78"/>
      <c r="R56" s="78"/>
      <c r="S56" s="78"/>
      <c r="T56" s="78"/>
      <c r="U56" s="78">
        <f t="shared" si="1"/>
        <v>0</v>
      </c>
      <c r="V56" s="78"/>
      <c r="W56" s="78"/>
      <c r="X56" s="78"/>
      <c r="Y56" s="78"/>
      <c r="Z56" s="78"/>
      <c r="AA56" s="78"/>
      <c r="AB56" s="78"/>
      <c r="AC56" s="78">
        <f t="shared" si="2"/>
        <v>0</v>
      </c>
      <c r="AD56" s="79">
        <v>22730</v>
      </c>
      <c r="AE56" s="49">
        <f t="shared" si="3"/>
        <v>50230</v>
      </c>
      <c r="AF56" s="49">
        <f t="shared" si="7"/>
        <v>25115</v>
      </c>
      <c r="AG56" s="49">
        <v>10000</v>
      </c>
      <c r="AH56" s="49">
        <v>35000</v>
      </c>
      <c r="AI56" s="80">
        <f t="shared" si="5"/>
        <v>45000</v>
      </c>
      <c r="AJ56" s="80">
        <f t="shared" si="6"/>
        <v>5230</v>
      </c>
      <c r="AK56" s="9"/>
    </row>
    <row r="57" spans="1:37" ht="15.75" customHeight="1" x14ac:dyDescent="0.25">
      <c r="A57" s="77"/>
      <c r="B57" s="5"/>
      <c r="C57" s="5"/>
      <c r="D57" s="5"/>
      <c r="E57" s="78"/>
      <c r="F57" s="78"/>
      <c r="G57" s="78"/>
      <c r="H57" s="78"/>
      <c r="I57" s="77"/>
      <c r="J57" s="78"/>
      <c r="K57" s="78"/>
      <c r="L57" s="78"/>
      <c r="M57" s="78"/>
      <c r="N57" s="78"/>
      <c r="O57" s="78"/>
      <c r="P57" s="78"/>
      <c r="Q57" s="77"/>
      <c r="R57" s="77"/>
      <c r="S57" s="77"/>
      <c r="T57" s="77"/>
      <c r="U57" s="78"/>
      <c r="V57" s="77"/>
      <c r="W57" s="78"/>
      <c r="X57" s="78"/>
      <c r="Y57" s="78"/>
      <c r="Z57" s="78"/>
      <c r="AA57" s="77"/>
      <c r="AB57" s="77"/>
      <c r="AC57" s="77"/>
      <c r="AD57" s="77"/>
      <c r="AE57" s="50">
        <f t="shared" ref="AE57:AJ57" si="8">SUM(AE2:AE56)</f>
        <v>1700505</v>
      </c>
      <c r="AF57" s="50">
        <f t="shared" si="8"/>
        <v>854002.5</v>
      </c>
      <c r="AG57" s="50">
        <f t="shared" si="8"/>
        <v>1063800</v>
      </c>
      <c r="AH57" s="50">
        <f t="shared" si="8"/>
        <v>393740</v>
      </c>
      <c r="AI57" s="50">
        <f t="shared" si="8"/>
        <v>1457540</v>
      </c>
      <c r="AJ57" s="50">
        <f t="shared" si="8"/>
        <v>242965</v>
      </c>
      <c r="AK57" s="9"/>
    </row>
    <row r="58" spans="1:37" ht="15.75" customHeight="1" x14ac:dyDescent="0.25">
      <c r="A58" s="9"/>
      <c r="B58" s="20"/>
      <c r="C58" s="20"/>
      <c r="D58" s="20"/>
      <c r="E58" s="53"/>
      <c r="F58" s="53"/>
      <c r="G58" s="53"/>
      <c r="H58" s="53"/>
      <c r="I58" s="9"/>
      <c r="J58" s="53"/>
      <c r="K58" s="53"/>
      <c r="L58" s="53"/>
      <c r="M58" s="53"/>
      <c r="N58" s="53"/>
      <c r="O58" s="53"/>
      <c r="P58" s="53"/>
      <c r="Q58" s="9"/>
      <c r="R58" s="9"/>
      <c r="S58" s="9"/>
      <c r="T58" s="9"/>
      <c r="U58" s="53"/>
      <c r="V58" s="9"/>
      <c r="W58" s="53"/>
      <c r="X58" s="53"/>
      <c r="Y58" s="53"/>
      <c r="Z58" s="53"/>
      <c r="AA58" s="9"/>
      <c r="AB58" s="9"/>
      <c r="AC58" s="9"/>
      <c r="AD58" s="9"/>
      <c r="AE58" s="81"/>
      <c r="AF58" s="81"/>
      <c r="AG58" s="81"/>
      <c r="AH58" s="81"/>
      <c r="AI58" s="53"/>
      <c r="AJ58" s="53"/>
      <c r="AK58" s="53"/>
    </row>
    <row r="59" spans="1:37" ht="15.75" customHeight="1" x14ac:dyDescent="0.25">
      <c r="A59" s="9"/>
      <c r="B59" s="20"/>
      <c r="C59" s="20"/>
      <c r="D59" s="20"/>
      <c r="E59" s="53"/>
      <c r="F59" s="53"/>
      <c r="G59" s="53"/>
      <c r="H59" s="53"/>
      <c r="I59" s="9"/>
      <c r="J59" s="53"/>
      <c r="K59" s="53"/>
      <c r="L59" s="53"/>
      <c r="M59" s="53"/>
      <c r="N59" s="53"/>
      <c r="O59" s="53"/>
      <c r="P59" s="53"/>
      <c r="Q59" s="9"/>
      <c r="R59" s="9"/>
      <c r="S59" s="9"/>
      <c r="T59" s="9"/>
      <c r="U59" s="53"/>
      <c r="V59" s="9"/>
      <c r="W59" s="53"/>
      <c r="X59" s="53"/>
      <c r="Y59" s="53"/>
      <c r="Z59" s="53"/>
      <c r="AA59" s="9"/>
      <c r="AB59" s="9"/>
      <c r="AC59" s="9"/>
      <c r="AD59" s="9"/>
      <c r="AE59" s="81"/>
      <c r="AF59" s="81"/>
      <c r="AG59" s="81"/>
      <c r="AH59" s="81"/>
      <c r="AI59" s="53"/>
      <c r="AJ59" s="53"/>
      <c r="AK59" s="53"/>
    </row>
    <row r="60" spans="1:37" ht="15.75" customHeight="1" x14ac:dyDescent="0.25">
      <c r="A60" s="9"/>
      <c r="B60" s="20"/>
      <c r="C60" s="20"/>
      <c r="D60" s="20"/>
      <c r="E60" s="53"/>
      <c r="F60" s="53">
        <f>F48*2/3</f>
        <v>12333.333333333334</v>
      </c>
      <c r="G60" s="53"/>
      <c r="H60" s="53"/>
      <c r="I60" s="9"/>
      <c r="J60" s="53"/>
      <c r="K60" s="53"/>
      <c r="L60" s="53"/>
      <c r="M60" s="53"/>
      <c r="N60" s="53"/>
      <c r="O60" s="53"/>
      <c r="P60" s="53"/>
      <c r="Q60" s="9"/>
      <c r="R60" s="9"/>
      <c r="S60" s="9"/>
      <c r="T60" s="9"/>
      <c r="U60" s="53"/>
      <c r="V60" s="9"/>
      <c r="W60" s="53"/>
      <c r="X60" s="53"/>
      <c r="Y60" s="53"/>
      <c r="Z60" s="53"/>
      <c r="AA60" s="9"/>
      <c r="AB60" s="9"/>
      <c r="AC60" s="9"/>
      <c r="AD60" s="9"/>
      <c r="AE60" s="81"/>
      <c r="AF60" s="81"/>
      <c r="AG60" s="81"/>
      <c r="AH60" s="81"/>
      <c r="AI60" s="53"/>
      <c r="AJ60" s="53"/>
      <c r="AK60" s="53"/>
    </row>
    <row r="61" spans="1:37" ht="15.75" customHeight="1" x14ac:dyDescent="0.25">
      <c r="A61" s="9"/>
      <c r="B61" s="20"/>
      <c r="C61" s="20"/>
      <c r="D61" s="20"/>
      <c r="E61" s="53"/>
      <c r="F61" s="53"/>
      <c r="G61" s="53"/>
      <c r="H61" s="53"/>
      <c r="I61" s="9"/>
      <c r="J61" s="53"/>
      <c r="K61" s="53"/>
      <c r="L61" s="53"/>
      <c r="M61" s="53"/>
      <c r="N61" s="53"/>
      <c r="O61" s="53"/>
      <c r="P61" s="53"/>
      <c r="Q61" s="9"/>
      <c r="R61" s="9"/>
      <c r="S61" s="9"/>
      <c r="T61" s="9"/>
      <c r="U61" s="53"/>
      <c r="V61" s="9"/>
      <c r="W61" s="53"/>
      <c r="X61" s="53"/>
      <c r="Y61" s="53"/>
      <c r="Z61" s="53"/>
      <c r="AA61" s="9"/>
      <c r="AB61" s="9"/>
      <c r="AC61" s="9"/>
      <c r="AD61" s="9"/>
      <c r="AE61" s="81"/>
      <c r="AF61" s="81"/>
      <c r="AG61" s="81"/>
      <c r="AH61" s="81"/>
      <c r="AI61" s="53"/>
      <c r="AJ61" s="53"/>
      <c r="AK61" s="53"/>
    </row>
    <row r="62" spans="1:37" ht="15.75" customHeight="1" x14ac:dyDescent="0.25">
      <c r="A62" s="9"/>
      <c r="B62" s="20"/>
      <c r="C62" s="20"/>
      <c r="D62" s="20"/>
      <c r="E62" s="53"/>
      <c r="F62" s="53"/>
      <c r="G62" s="53"/>
      <c r="H62" s="53"/>
      <c r="I62" s="9"/>
      <c r="J62" s="53"/>
      <c r="K62" s="53"/>
      <c r="L62" s="53"/>
      <c r="M62" s="53"/>
      <c r="N62" s="53"/>
      <c r="O62" s="53"/>
      <c r="P62" s="53"/>
      <c r="Q62" s="9"/>
      <c r="R62" s="9"/>
      <c r="S62" s="9"/>
      <c r="T62" s="9"/>
      <c r="U62" s="53"/>
      <c r="V62" s="9"/>
      <c r="W62" s="53"/>
      <c r="X62" s="53"/>
      <c r="Y62" s="53"/>
      <c r="Z62" s="53"/>
      <c r="AA62" s="9"/>
      <c r="AB62" s="9"/>
      <c r="AC62" s="9"/>
      <c r="AD62" s="9"/>
      <c r="AE62" s="81"/>
      <c r="AF62" s="81"/>
      <c r="AG62" s="81"/>
      <c r="AH62" s="81"/>
      <c r="AI62" s="53"/>
      <c r="AJ62" s="53"/>
      <c r="AK62" s="53"/>
    </row>
    <row r="63" spans="1:37" ht="15.75" customHeight="1" x14ac:dyDescent="0.25">
      <c r="A63" s="9"/>
      <c r="B63" s="20"/>
      <c r="C63" s="20"/>
      <c r="D63" s="20"/>
      <c r="E63" s="53"/>
      <c r="F63" s="53"/>
      <c r="G63" s="53"/>
      <c r="H63" s="53"/>
      <c r="I63" s="9"/>
      <c r="J63" s="53"/>
      <c r="K63" s="53"/>
      <c r="L63" s="53"/>
      <c r="M63" s="53"/>
      <c r="N63" s="53"/>
      <c r="O63" s="53"/>
      <c r="P63" s="53"/>
      <c r="Q63" s="9"/>
      <c r="R63" s="9"/>
      <c r="S63" s="9"/>
      <c r="T63" s="9"/>
      <c r="U63" s="53"/>
      <c r="V63" s="9"/>
      <c r="W63" s="53"/>
      <c r="X63" s="53"/>
      <c r="Y63" s="53"/>
      <c r="Z63" s="53"/>
      <c r="AA63" s="9"/>
      <c r="AB63" s="9"/>
      <c r="AC63" s="9"/>
      <c r="AD63" s="9"/>
      <c r="AE63" s="81"/>
      <c r="AF63" s="81"/>
      <c r="AG63" s="81"/>
      <c r="AH63" s="81"/>
      <c r="AI63" s="53"/>
      <c r="AJ63" s="53"/>
      <c r="AK63" s="53"/>
    </row>
    <row r="64" spans="1:37" ht="15.75" customHeight="1" x14ac:dyDescent="0.25">
      <c r="A64" s="9"/>
      <c r="B64" s="20"/>
      <c r="C64" s="20"/>
      <c r="D64" s="20"/>
      <c r="E64" s="53"/>
      <c r="F64" s="53"/>
      <c r="G64" s="53"/>
      <c r="H64" s="53"/>
      <c r="I64" s="9"/>
      <c r="J64" s="53"/>
      <c r="K64" s="53"/>
      <c r="L64" s="53"/>
      <c r="M64" s="53"/>
      <c r="N64" s="53"/>
      <c r="O64" s="53"/>
      <c r="P64" s="53"/>
      <c r="Q64" s="9"/>
      <c r="R64" s="9"/>
      <c r="S64" s="9"/>
      <c r="T64" s="9"/>
      <c r="U64" s="53"/>
      <c r="V64" s="9"/>
      <c r="W64" s="53"/>
      <c r="X64" s="53"/>
      <c r="Y64" s="53"/>
      <c r="Z64" s="53"/>
      <c r="AA64" s="9"/>
      <c r="AB64" s="9"/>
      <c r="AC64" s="9"/>
      <c r="AD64" s="9"/>
      <c r="AE64" s="81"/>
      <c r="AF64" s="81"/>
      <c r="AG64" s="81"/>
      <c r="AH64" s="81"/>
      <c r="AI64" s="53"/>
      <c r="AJ64" s="53"/>
      <c r="AK64" s="53"/>
    </row>
    <row r="65" spans="1:37" ht="15.75" customHeight="1" x14ac:dyDescent="0.25">
      <c r="A65" s="9"/>
      <c r="B65" s="20"/>
      <c r="C65" s="20"/>
      <c r="D65" s="20"/>
      <c r="E65" s="53"/>
      <c r="F65" s="53"/>
      <c r="G65" s="53"/>
      <c r="H65" s="53"/>
      <c r="I65" s="9"/>
      <c r="J65" s="53"/>
      <c r="K65" s="53"/>
      <c r="L65" s="53"/>
      <c r="M65" s="53"/>
      <c r="N65" s="53"/>
      <c r="O65" s="53"/>
      <c r="P65" s="53"/>
      <c r="Q65" s="9"/>
      <c r="R65" s="9"/>
      <c r="S65" s="9"/>
      <c r="T65" s="9"/>
      <c r="U65" s="53"/>
      <c r="V65" s="9"/>
      <c r="W65" s="53"/>
      <c r="X65" s="53"/>
      <c r="Y65" s="53"/>
      <c r="Z65" s="53"/>
      <c r="AA65" s="9"/>
      <c r="AB65" s="9"/>
      <c r="AC65" s="9"/>
      <c r="AD65" s="9"/>
      <c r="AE65" s="81"/>
      <c r="AF65" s="81"/>
      <c r="AG65" s="81"/>
      <c r="AH65" s="81"/>
      <c r="AI65" s="53"/>
      <c r="AJ65" s="53"/>
      <c r="AK65" s="53"/>
    </row>
    <row r="66" spans="1:37" ht="15.75" customHeight="1" x14ac:dyDescent="0.25">
      <c r="A66" s="9"/>
      <c r="B66" s="20"/>
      <c r="C66" s="20"/>
      <c r="D66" s="20"/>
      <c r="E66" s="53"/>
      <c r="F66" s="53"/>
      <c r="G66" s="53"/>
      <c r="H66" s="53"/>
      <c r="I66" s="9"/>
      <c r="J66" s="53"/>
      <c r="K66" s="53"/>
      <c r="L66" s="53"/>
      <c r="M66" s="53"/>
      <c r="N66" s="53"/>
      <c r="O66" s="53"/>
      <c r="P66" s="53"/>
      <c r="Q66" s="9"/>
      <c r="R66" s="9"/>
      <c r="S66" s="9"/>
      <c r="T66" s="9"/>
      <c r="U66" s="53"/>
      <c r="V66" s="9"/>
      <c r="W66" s="53"/>
      <c r="X66" s="53"/>
      <c r="Y66" s="53"/>
      <c r="Z66" s="53"/>
      <c r="AA66" s="9"/>
      <c r="AB66" s="9"/>
      <c r="AC66" s="9"/>
      <c r="AD66" s="9"/>
      <c r="AE66" s="81"/>
      <c r="AF66" s="81"/>
      <c r="AG66" s="81"/>
      <c r="AH66" s="81"/>
      <c r="AI66" s="53"/>
      <c r="AJ66" s="53"/>
      <c r="AK66" s="53"/>
    </row>
    <row r="67" spans="1:37" ht="15.75" customHeight="1" x14ac:dyDescent="0.25">
      <c r="A67" s="9"/>
      <c r="B67" s="20"/>
      <c r="C67" s="20"/>
      <c r="D67" s="20"/>
      <c r="E67" s="53"/>
      <c r="F67" s="53"/>
      <c r="G67" s="53"/>
      <c r="H67" s="53"/>
      <c r="I67" s="9"/>
      <c r="J67" s="53"/>
      <c r="K67" s="53"/>
      <c r="L67" s="53"/>
      <c r="M67" s="53"/>
      <c r="N67" s="53"/>
      <c r="O67" s="53"/>
      <c r="P67" s="53"/>
      <c r="Q67" s="9"/>
      <c r="R67" s="9"/>
      <c r="S67" s="9"/>
      <c r="T67" s="9"/>
      <c r="U67" s="53"/>
      <c r="V67" s="9"/>
      <c r="W67" s="53"/>
      <c r="X67" s="53"/>
      <c r="Y67" s="53"/>
      <c r="Z67" s="53"/>
      <c r="AA67" s="9"/>
      <c r="AB67" s="9"/>
      <c r="AC67" s="9"/>
      <c r="AD67" s="9"/>
      <c r="AE67" s="81"/>
      <c r="AF67" s="81"/>
      <c r="AG67" s="81"/>
      <c r="AH67" s="81"/>
      <c r="AI67" s="53"/>
      <c r="AJ67" s="53"/>
      <c r="AK67" s="53"/>
    </row>
    <row r="68" spans="1:37" ht="15.75" customHeight="1" x14ac:dyDescent="0.25">
      <c r="A68" s="9"/>
      <c r="B68" s="20"/>
      <c r="C68" s="20"/>
      <c r="D68" s="20"/>
      <c r="E68" s="53"/>
      <c r="F68" s="53"/>
      <c r="G68" s="53"/>
      <c r="H68" s="53"/>
      <c r="I68" s="9"/>
      <c r="J68" s="53"/>
      <c r="K68" s="53"/>
      <c r="L68" s="53"/>
      <c r="M68" s="53"/>
      <c r="N68" s="53"/>
      <c r="O68" s="53"/>
      <c r="P68" s="53"/>
      <c r="Q68" s="9"/>
      <c r="R68" s="9"/>
      <c r="S68" s="9"/>
      <c r="T68" s="9"/>
      <c r="U68" s="53"/>
      <c r="V68" s="9"/>
      <c r="W68" s="53"/>
      <c r="X68" s="53"/>
      <c r="Y68" s="53"/>
      <c r="Z68" s="53"/>
      <c r="AA68" s="9"/>
      <c r="AB68" s="9"/>
      <c r="AC68" s="9"/>
      <c r="AD68" s="9"/>
      <c r="AE68" s="81"/>
      <c r="AF68" s="81"/>
      <c r="AG68" s="81"/>
      <c r="AH68" s="81"/>
      <c r="AI68" s="53"/>
      <c r="AJ68" s="53"/>
      <c r="AK68" s="53"/>
    </row>
    <row r="69" spans="1:37" ht="15.75" customHeight="1" x14ac:dyDescent="0.25">
      <c r="A69" s="9"/>
      <c r="B69" s="20"/>
      <c r="C69" s="20"/>
      <c r="D69" s="20"/>
      <c r="E69" s="53"/>
      <c r="F69" s="53"/>
      <c r="G69" s="53"/>
      <c r="H69" s="53"/>
      <c r="I69" s="9"/>
      <c r="J69" s="53"/>
      <c r="K69" s="53"/>
      <c r="L69" s="53"/>
      <c r="M69" s="53"/>
      <c r="N69" s="53"/>
      <c r="O69" s="53"/>
      <c r="P69" s="53"/>
      <c r="Q69" s="9"/>
      <c r="R69" s="9"/>
      <c r="S69" s="9"/>
      <c r="T69" s="9"/>
      <c r="U69" s="53"/>
      <c r="V69" s="9"/>
      <c r="W69" s="53"/>
      <c r="X69" s="53"/>
      <c r="Y69" s="53"/>
      <c r="Z69" s="53"/>
      <c r="AA69" s="9"/>
      <c r="AB69" s="9"/>
      <c r="AC69" s="9"/>
      <c r="AD69" s="9"/>
      <c r="AE69" s="81"/>
      <c r="AF69" s="81"/>
      <c r="AG69" s="81"/>
      <c r="AH69" s="81"/>
      <c r="AI69" s="53"/>
      <c r="AJ69" s="53"/>
      <c r="AK69" s="53"/>
    </row>
    <row r="70" spans="1:37" ht="15.75" customHeight="1" x14ac:dyDescent="0.25">
      <c r="A70" s="9"/>
      <c r="B70" s="20"/>
      <c r="C70" s="20"/>
      <c r="D70" s="20"/>
      <c r="E70" s="53"/>
      <c r="F70" s="53"/>
      <c r="G70" s="53"/>
      <c r="H70" s="53"/>
      <c r="I70" s="9"/>
      <c r="J70" s="53"/>
      <c r="K70" s="53"/>
      <c r="L70" s="53"/>
      <c r="M70" s="53"/>
      <c r="N70" s="53"/>
      <c r="O70" s="53"/>
      <c r="P70" s="53"/>
      <c r="Q70" s="9"/>
      <c r="R70" s="9"/>
      <c r="S70" s="9"/>
      <c r="T70" s="9"/>
      <c r="U70" s="53"/>
      <c r="V70" s="9"/>
      <c r="W70" s="53"/>
      <c r="X70" s="53"/>
      <c r="Y70" s="53"/>
      <c r="Z70" s="53"/>
      <c r="AA70" s="9"/>
      <c r="AB70" s="9"/>
      <c r="AC70" s="9"/>
      <c r="AD70" s="9"/>
      <c r="AE70" s="81"/>
      <c r="AF70" s="81"/>
      <c r="AG70" s="81"/>
      <c r="AH70" s="81"/>
      <c r="AI70" s="53"/>
      <c r="AJ70" s="53"/>
      <c r="AK70" s="53"/>
    </row>
    <row r="71" spans="1:37" ht="15.75" customHeight="1" x14ac:dyDescent="0.25">
      <c r="A71" s="9"/>
      <c r="B71" s="20"/>
      <c r="C71" s="20"/>
      <c r="D71" s="20"/>
      <c r="E71" s="53"/>
      <c r="F71" s="53"/>
      <c r="G71" s="53"/>
      <c r="H71" s="53"/>
      <c r="I71" s="9"/>
      <c r="J71" s="53"/>
      <c r="K71" s="53"/>
      <c r="L71" s="53"/>
      <c r="M71" s="53"/>
      <c r="N71" s="53"/>
      <c r="O71" s="53"/>
      <c r="P71" s="53"/>
      <c r="Q71" s="9"/>
      <c r="R71" s="9"/>
      <c r="S71" s="9"/>
      <c r="T71" s="9"/>
      <c r="U71" s="53"/>
      <c r="V71" s="9"/>
      <c r="W71" s="53"/>
      <c r="X71" s="53"/>
      <c r="Y71" s="53"/>
      <c r="Z71" s="53"/>
      <c r="AA71" s="9"/>
      <c r="AB71" s="9"/>
      <c r="AC71" s="9"/>
      <c r="AD71" s="9"/>
      <c r="AE71" s="81"/>
      <c r="AF71" s="81"/>
      <c r="AG71" s="81"/>
      <c r="AH71" s="81"/>
      <c r="AI71" s="53"/>
      <c r="AJ71" s="53"/>
      <c r="AK71" s="53"/>
    </row>
    <row r="72" spans="1:37" ht="15.75" customHeight="1" x14ac:dyDescent="0.25">
      <c r="A72" s="9"/>
      <c r="B72" s="20"/>
      <c r="C72" s="20"/>
      <c r="D72" s="20"/>
      <c r="E72" s="53"/>
      <c r="F72" s="53"/>
      <c r="G72" s="53"/>
      <c r="H72" s="53"/>
      <c r="I72" s="9"/>
      <c r="J72" s="53"/>
      <c r="K72" s="53"/>
      <c r="L72" s="53"/>
      <c r="M72" s="53"/>
      <c r="N72" s="53"/>
      <c r="O72" s="53"/>
      <c r="P72" s="53"/>
      <c r="Q72" s="9"/>
      <c r="R72" s="9"/>
      <c r="S72" s="9"/>
      <c r="T72" s="9"/>
      <c r="U72" s="53"/>
      <c r="V72" s="9"/>
      <c r="W72" s="53"/>
      <c r="X72" s="53"/>
      <c r="Y72" s="53"/>
      <c r="Z72" s="53"/>
      <c r="AA72" s="9"/>
      <c r="AB72" s="9"/>
      <c r="AC72" s="9"/>
      <c r="AD72" s="9"/>
      <c r="AE72" s="81"/>
      <c r="AF72" s="81"/>
      <c r="AG72" s="81"/>
      <c r="AH72" s="81"/>
      <c r="AI72" s="53"/>
      <c r="AJ72" s="53"/>
      <c r="AK72" s="53"/>
    </row>
    <row r="73" spans="1:37" ht="15.75" customHeight="1" x14ac:dyDescent="0.25">
      <c r="A73" s="9"/>
      <c r="B73" s="20"/>
      <c r="C73" s="20"/>
      <c r="D73" s="20"/>
      <c r="E73" s="53"/>
      <c r="F73" s="53"/>
      <c r="G73" s="53"/>
      <c r="H73" s="53"/>
      <c r="I73" s="9"/>
      <c r="J73" s="53"/>
      <c r="K73" s="53"/>
      <c r="L73" s="53"/>
      <c r="M73" s="53"/>
      <c r="N73" s="53"/>
      <c r="O73" s="53"/>
      <c r="P73" s="53"/>
      <c r="Q73" s="9"/>
      <c r="R73" s="9"/>
      <c r="S73" s="9"/>
      <c r="T73" s="9"/>
      <c r="U73" s="53"/>
      <c r="V73" s="9"/>
      <c r="W73" s="53"/>
      <c r="X73" s="53"/>
      <c r="Y73" s="53"/>
      <c r="Z73" s="53"/>
      <c r="AA73" s="9"/>
      <c r="AB73" s="9"/>
      <c r="AC73" s="9"/>
      <c r="AD73" s="9"/>
      <c r="AE73" s="81"/>
      <c r="AF73" s="81"/>
      <c r="AG73" s="81"/>
      <c r="AH73" s="81"/>
      <c r="AI73" s="53"/>
      <c r="AJ73" s="53"/>
      <c r="AK73" s="53"/>
    </row>
    <row r="74" spans="1:37" ht="15.75" customHeight="1" x14ac:dyDescent="0.25">
      <c r="A74" s="9"/>
      <c r="B74" s="20"/>
      <c r="C74" s="20"/>
      <c r="D74" s="20"/>
      <c r="E74" s="53"/>
      <c r="F74" s="53"/>
      <c r="G74" s="53"/>
      <c r="H74" s="53"/>
      <c r="I74" s="9"/>
      <c r="J74" s="53"/>
      <c r="K74" s="53"/>
      <c r="L74" s="53"/>
      <c r="M74" s="53"/>
      <c r="N74" s="53"/>
      <c r="O74" s="53"/>
      <c r="P74" s="53"/>
      <c r="Q74" s="9"/>
      <c r="R74" s="9"/>
      <c r="S74" s="9"/>
      <c r="T74" s="9"/>
      <c r="U74" s="53"/>
      <c r="V74" s="9"/>
      <c r="W74" s="53"/>
      <c r="X74" s="53"/>
      <c r="Y74" s="53"/>
      <c r="Z74" s="53"/>
      <c r="AA74" s="9"/>
      <c r="AB74" s="9"/>
      <c r="AC74" s="9"/>
      <c r="AD74" s="9"/>
      <c r="AE74" s="81"/>
      <c r="AF74" s="81"/>
      <c r="AG74" s="81"/>
      <c r="AH74" s="81"/>
      <c r="AI74" s="53"/>
      <c r="AJ74" s="53"/>
      <c r="AK74" s="53"/>
    </row>
    <row r="75" spans="1:37" ht="15.75" customHeight="1" x14ac:dyDescent="0.25">
      <c r="A75" s="9"/>
      <c r="B75" s="20"/>
      <c r="C75" s="20"/>
      <c r="D75" s="20"/>
      <c r="E75" s="53"/>
      <c r="F75" s="53"/>
      <c r="G75" s="53"/>
      <c r="H75" s="53"/>
      <c r="I75" s="9"/>
      <c r="J75" s="53"/>
      <c r="K75" s="53"/>
      <c r="L75" s="53"/>
      <c r="M75" s="53"/>
      <c r="N75" s="53"/>
      <c r="O75" s="53"/>
      <c r="P75" s="53"/>
      <c r="Q75" s="9"/>
      <c r="R75" s="9"/>
      <c r="S75" s="9"/>
      <c r="T75" s="9"/>
      <c r="U75" s="53"/>
      <c r="V75" s="9"/>
      <c r="W75" s="53"/>
      <c r="X75" s="53"/>
      <c r="Y75" s="53"/>
      <c r="Z75" s="53"/>
      <c r="AA75" s="9"/>
      <c r="AB75" s="9"/>
      <c r="AC75" s="9"/>
      <c r="AD75" s="9"/>
      <c r="AE75" s="81"/>
      <c r="AF75" s="81"/>
      <c r="AG75" s="81"/>
      <c r="AH75" s="81"/>
      <c r="AI75" s="53"/>
      <c r="AJ75" s="53"/>
      <c r="AK75" s="53"/>
    </row>
    <row r="76" spans="1:37" ht="15.75" customHeight="1" x14ac:dyDescent="0.25">
      <c r="A76" s="9"/>
      <c r="B76" s="20"/>
      <c r="C76" s="20"/>
      <c r="D76" s="20"/>
      <c r="E76" s="53"/>
      <c r="F76" s="53"/>
      <c r="G76" s="53"/>
      <c r="H76" s="53"/>
      <c r="I76" s="9"/>
      <c r="J76" s="53"/>
      <c r="K76" s="53"/>
      <c r="L76" s="53"/>
      <c r="M76" s="53"/>
      <c r="N76" s="53"/>
      <c r="O76" s="53"/>
      <c r="P76" s="53"/>
      <c r="Q76" s="9"/>
      <c r="R76" s="9"/>
      <c r="S76" s="9"/>
      <c r="T76" s="9"/>
      <c r="U76" s="53"/>
      <c r="V76" s="9"/>
      <c r="W76" s="53"/>
      <c r="X76" s="53"/>
      <c r="Y76" s="53"/>
      <c r="Z76" s="53"/>
      <c r="AA76" s="9"/>
      <c r="AB76" s="9"/>
      <c r="AC76" s="9"/>
      <c r="AD76" s="9"/>
      <c r="AE76" s="81"/>
      <c r="AF76" s="81"/>
      <c r="AG76" s="81"/>
      <c r="AH76" s="81"/>
      <c r="AI76" s="53"/>
      <c r="AJ76" s="53"/>
      <c r="AK76" s="53"/>
    </row>
    <row r="77" spans="1:37" ht="15.75" customHeight="1" x14ac:dyDescent="0.25">
      <c r="A77" s="9"/>
      <c r="B77" s="20"/>
      <c r="C77" s="20"/>
      <c r="D77" s="20"/>
      <c r="E77" s="53"/>
      <c r="F77" s="53"/>
      <c r="G77" s="53"/>
      <c r="H77" s="53"/>
      <c r="I77" s="9"/>
      <c r="J77" s="53"/>
      <c r="K77" s="53"/>
      <c r="L77" s="53"/>
      <c r="M77" s="53"/>
      <c r="N77" s="53"/>
      <c r="O77" s="53"/>
      <c r="P77" s="53"/>
      <c r="Q77" s="9"/>
      <c r="R77" s="9"/>
      <c r="S77" s="9"/>
      <c r="T77" s="9"/>
      <c r="U77" s="53"/>
      <c r="V77" s="9"/>
      <c r="W77" s="53"/>
      <c r="X77" s="53"/>
      <c r="Y77" s="53"/>
      <c r="Z77" s="53"/>
      <c r="AA77" s="9"/>
      <c r="AB77" s="9"/>
      <c r="AC77" s="9"/>
      <c r="AD77" s="9"/>
      <c r="AE77" s="81"/>
      <c r="AF77" s="81"/>
      <c r="AG77" s="81"/>
      <c r="AH77" s="81"/>
      <c r="AI77" s="53"/>
      <c r="AJ77" s="53"/>
      <c r="AK77" s="53"/>
    </row>
    <row r="78" spans="1:37" ht="15.75" customHeight="1" x14ac:dyDescent="0.25">
      <c r="A78" s="9"/>
      <c r="B78" s="20"/>
      <c r="C78" s="20"/>
      <c r="D78" s="20"/>
      <c r="E78" s="53"/>
      <c r="F78" s="53"/>
      <c r="G78" s="53"/>
      <c r="H78" s="53"/>
      <c r="I78" s="9"/>
      <c r="J78" s="53"/>
      <c r="K78" s="53"/>
      <c r="L78" s="53"/>
      <c r="M78" s="53"/>
      <c r="N78" s="53"/>
      <c r="O78" s="53"/>
      <c r="P78" s="53"/>
      <c r="Q78" s="9"/>
      <c r="R78" s="9"/>
      <c r="S78" s="9"/>
      <c r="T78" s="9"/>
      <c r="U78" s="53"/>
      <c r="V78" s="9"/>
      <c r="W78" s="53"/>
      <c r="X78" s="53"/>
      <c r="Y78" s="53"/>
      <c r="Z78" s="53"/>
      <c r="AA78" s="9"/>
      <c r="AB78" s="9"/>
      <c r="AC78" s="9"/>
      <c r="AD78" s="9"/>
      <c r="AE78" s="81"/>
      <c r="AF78" s="81"/>
      <c r="AG78" s="81"/>
      <c r="AH78" s="81"/>
      <c r="AI78" s="53"/>
      <c r="AJ78" s="53"/>
      <c r="AK78" s="53"/>
    </row>
    <row r="79" spans="1:37" ht="15.75" customHeight="1" x14ac:dyDescent="0.25">
      <c r="A79" s="9"/>
      <c r="B79" s="20"/>
      <c r="C79" s="20"/>
      <c r="D79" s="20"/>
      <c r="E79" s="53"/>
      <c r="F79" s="53"/>
      <c r="G79" s="53"/>
      <c r="H79" s="53"/>
      <c r="I79" s="9"/>
      <c r="J79" s="53"/>
      <c r="K79" s="53"/>
      <c r="L79" s="53"/>
      <c r="M79" s="53"/>
      <c r="N79" s="53"/>
      <c r="O79" s="53"/>
      <c r="P79" s="53"/>
      <c r="Q79" s="9"/>
      <c r="R79" s="9"/>
      <c r="S79" s="9"/>
      <c r="T79" s="9"/>
      <c r="U79" s="53"/>
      <c r="V79" s="9"/>
      <c r="W79" s="53"/>
      <c r="X79" s="53"/>
      <c r="Y79" s="53"/>
      <c r="Z79" s="53"/>
      <c r="AA79" s="9"/>
      <c r="AB79" s="9"/>
      <c r="AC79" s="9"/>
      <c r="AD79" s="9"/>
      <c r="AE79" s="81"/>
      <c r="AF79" s="81"/>
      <c r="AG79" s="81"/>
      <c r="AH79" s="81"/>
      <c r="AI79" s="53"/>
      <c r="AJ79" s="53"/>
      <c r="AK79" s="53"/>
    </row>
    <row r="80" spans="1:37" ht="15.75" customHeight="1" x14ac:dyDescent="0.25">
      <c r="A80" s="9"/>
      <c r="B80" s="20"/>
      <c r="C80" s="20"/>
      <c r="D80" s="20"/>
      <c r="E80" s="53"/>
      <c r="F80" s="53"/>
      <c r="G80" s="53"/>
      <c r="H80" s="53"/>
      <c r="I80" s="9"/>
      <c r="J80" s="53"/>
      <c r="K80" s="53"/>
      <c r="L80" s="53"/>
      <c r="M80" s="53"/>
      <c r="N80" s="53"/>
      <c r="O80" s="53"/>
      <c r="P80" s="53"/>
      <c r="Q80" s="9"/>
      <c r="R80" s="9"/>
      <c r="S80" s="9"/>
      <c r="T80" s="9"/>
      <c r="U80" s="53"/>
      <c r="V80" s="9"/>
      <c r="W80" s="53"/>
      <c r="X80" s="53"/>
      <c r="Y80" s="53"/>
      <c r="Z80" s="53"/>
      <c r="AA80" s="9"/>
      <c r="AB80" s="9"/>
      <c r="AC80" s="9"/>
      <c r="AD80" s="9"/>
      <c r="AE80" s="81"/>
      <c r="AF80" s="81"/>
      <c r="AG80" s="81"/>
      <c r="AH80" s="81"/>
      <c r="AI80" s="53"/>
      <c r="AJ80" s="53"/>
      <c r="AK80" s="53"/>
    </row>
    <row r="81" spans="1:37" ht="15.75" customHeight="1" x14ac:dyDescent="0.25">
      <c r="A81" s="9"/>
      <c r="B81" s="20"/>
      <c r="C81" s="20"/>
      <c r="D81" s="20"/>
      <c r="E81" s="53"/>
      <c r="F81" s="53"/>
      <c r="G81" s="53"/>
      <c r="H81" s="53"/>
      <c r="I81" s="9"/>
      <c r="J81" s="53"/>
      <c r="K81" s="53"/>
      <c r="L81" s="53"/>
      <c r="M81" s="53"/>
      <c r="N81" s="53"/>
      <c r="O81" s="53"/>
      <c r="P81" s="53"/>
      <c r="Q81" s="9"/>
      <c r="R81" s="9"/>
      <c r="S81" s="9"/>
      <c r="T81" s="9"/>
      <c r="U81" s="53"/>
      <c r="V81" s="9"/>
      <c r="W81" s="53"/>
      <c r="X81" s="53"/>
      <c r="Y81" s="53"/>
      <c r="Z81" s="53"/>
      <c r="AA81" s="9"/>
      <c r="AB81" s="9"/>
      <c r="AC81" s="9"/>
      <c r="AD81" s="9"/>
      <c r="AE81" s="81"/>
      <c r="AF81" s="81"/>
      <c r="AG81" s="81"/>
      <c r="AH81" s="81"/>
      <c r="AI81" s="53"/>
      <c r="AJ81" s="53"/>
      <c r="AK81" s="53"/>
    </row>
    <row r="82" spans="1:37" ht="15.75" customHeight="1" x14ac:dyDescent="0.25">
      <c r="A82" s="9"/>
      <c r="B82" s="20"/>
      <c r="C82" s="20"/>
      <c r="D82" s="20"/>
      <c r="E82" s="53"/>
      <c r="F82" s="53"/>
      <c r="G82" s="53"/>
      <c r="H82" s="53"/>
      <c r="I82" s="9"/>
      <c r="J82" s="53"/>
      <c r="K82" s="53"/>
      <c r="L82" s="53"/>
      <c r="M82" s="53"/>
      <c r="N82" s="53"/>
      <c r="O82" s="53"/>
      <c r="P82" s="53"/>
      <c r="Q82" s="9"/>
      <c r="R82" s="9"/>
      <c r="S82" s="9"/>
      <c r="T82" s="9"/>
      <c r="U82" s="53"/>
      <c r="V82" s="9"/>
      <c r="W82" s="53"/>
      <c r="X82" s="53"/>
      <c r="Y82" s="53"/>
      <c r="Z82" s="53"/>
      <c r="AA82" s="9"/>
      <c r="AB82" s="9"/>
      <c r="AC82" s="9"/>
      <c r="AD82" s="9"/>
      <c r="AE82" s="81"/>
      <c r="AF82" s="81"/>
      <c r="AG82" s="81"/>
      <c r="AH82" s="81"/>
      <c r="AI82" s="53"/>
      <c r="AJ82" s="53"/>
      <c r="AK82" s="53"/>
    </row>
    <row r="83" spans="1:37" ht="15.75" customHeight="1" x14ac:dyDescent="0.25">
      <c r="A83" s="9"/>
      <c r="B83" s="20"/>
      <c r="C83" s="20"/>
      <c r="D83" s="20"/>
      <c r="E83" s="53"/>
      <c r="F83" s="53"/>
      <c r="G83" s="53"/>
      <c r="H83" s="53"/>
      <c r="I83" s="9"/>
      <c r="J83" s="53"/>
      <c r="K83" s="53"/>
      <c r="L83" s="53"/>
      <c r="M83" s="53"/>
      <c r="N83" s="53"/>
      <c r="O83" s="53"/>
      <c r="P83" s="53"/>
      <c r="Q83" s="9"/>
      <c r="R83" s="9"/>
      <c r="S83" s="9"/>
      <c r="T83" s="9"/>
      <c r="U83" s="53"/>
      <c r="V83" s="9"/>
      <c r="W83" s="53"/>
      <c r="X83" s="53"/>
      <c r="Y83" s="53"/>
      <c r="Z83" s="53"/>
      <c r="AA83" s="9"/>
      <c r="AB83" s="9"/>
      <c r="AC83" s="9"/>
      <c r="AD83" s="9"/>
      <c r="AE83" s="81"/>
      <c r="AF83" s="81"/>
      <c r="AG83" s="81"/>
      <c r="AH83" s="81"/>
      <c r="AI83" s="53"/>
      <c r="AJ83" s="53"/>
      <c r="AK83" s="53"/>
    </row>
    <row r="84" spans="1:37" ht="15.75" customHeight="1" x14ac:dyDescent="0.25">
      <c r="A84" s="9"/>
      <c r="B84" s="20"/>
      <c r="C84" s="20"/>
      <c r="D84" s="20"/>
      <c r="E84" s="53"/>
      <c r="F84" s="53"/>
      <c r="G84" s="53"/>
      <c r="H84" s="53"/>
      <c r="I84" s="9"/>
      <c r="J84" s="53"/>
      <c r="K84" s="53"/>
      <c r="L84" s="53"/>
      <c r="M84" s="53"/>
      <c r="N84" s="53"/>
      <c r="O84" s="53"/>
      <c r="P84" s="53"/>
      <c r="Q84" s="9"/>
      <c r="R84" s="9"/>
      <c r="S84" s="9"/>
      <c r="T84" s="9"/>
      <c r="U84" s="53"/>
      <c r="V84" s="9"/>
      <c r="W84" s="53"/>
      <c r="X84" s="53"/>
      <c r="Y84" s="53"/>
      <c r="Z84" s="53"/>
      <c r="AA84" s="9"/>
      <c r="AB84" s="9"/>
      <c r="AC84" s="9"/>
      <c r="AD84" s="9"/>
      <c r="AE84" s="81"/>
      <c r="AF84" s="81"/>
      <c r="AG84" s="81"/>
      <c r="AH84" s="81"/>
      <c r="AI84" s="53"/>
      <c r="AJ84" s="53"/>
      <c r="AK84" s="53"/>
    </row>
    <row r="85" spans="1:37" ht="15.75" customHeight="1" x14ac:dyDescent="0.25">
      <c r="A85" s="9"/>
      <c r="B85" s="20"/>
      <c r="C85" s="20"/>
      <c r="D85" s="20"/>
      <c r="E85" s="53"/>
      <c r="F85" s="53"/>
      <c r="G85" s="53"/>
      <c r="H85" s="53"/>
      <c r="I85" s="9"/>
      <c r="J85" s="53"/>
      <c r="K85" s="53"/>
      <c r="L85" s="53"/>
      <c r="M85" s="53"/>
      <c r="N85" s="53"/>
      <c r="O85" s="53"/>
      <c r="P85" s="53"/>
      <c r="Q85" s="9"/>
      <c r="R85" s="9"/>
      <c r="S85" s="9"/>
      <c r="T85" s="9"/>
      <c r="U85" s="53"/>
      <c r="V85" s="9"/>
      <c r="W85" s="53"/>
      <c r="X85" s="53"/>
      <c r="Y85" s="53"/>
      <c r="Z85" s="53"/>
      <c r="AA85" s="9"/>
      <c r="AB85" s="9"/>
      <c r="AC85" s="9"/>
      <c r="AD85" s="9"/>
      <c r="AE85" s="81"/>
      <c r="AF85" s="81"/>
      <c r="AG85" s="81"/>
      <c r="AH85" s="81"/>
      <c r="AI85" s="53"/>
      <c r="AJ85" s="53"/>
      <c r="AK85" s="53"/>
    </row>
    <row r="86" spans="1:37" ht="15.75" customHeight="1" x14ac:dyDescent="0.25">
      <c r="A86" s="9"/>
      <c r="B86" s="20"/>
      <c r="C86" s="20"/>
      <c r="D86" s="20"/>
      <c r="E86" s="53"/>
      <c r="F86" s="53"/>
      <c r="G86" s="53"/>
      <c r="H86" s="53"/>
      <c r="I86" s="9"/>
      <c r="J86" s="53"/>
      <c r="K86" s="53"/>
      <c r="L86" s="53"/>
      <c r="M86" s="53"/>
      <c r="N86" s="53"/>
      <c r="O86" s="53"/>
      <c r="P86" s="53"/>
      <c r="Q86" s="9"/>
      <c r="R86" s="9"/>
      <c r="S86" s="9"/>
      <c r="T86" s="9"/>
      <c r="U86" s="53"/>
      <c r="V86" s="9"/>
      <c r="W86" s="53"/>
      <c r="X86" s="53"/>
      <c r="Y86" s="53"/>
      <c r="Z86" s="53"/>
      <c r="AA86" s="9"/>
      <c r="AB86" s="9"/>
      <c r="AC86" s="9"/>
      <c r="AD86" s="9"/>
      <c r="AE86" s="81"/>
      <c r="AF86" s="81"/>
      <c r="AG86" s="81"/>
      <c r="AH86" s="81"/>
      <c r="AI86" s="53"/>
      <c r="AJ86" s="53"/>
      <c r="AK86" s="53"/>
    </row>
    <row r="87" spans="1:37" ht="15.75" customHeight="1" x14ac:dyDescent="0.25">
      <c r="A87" s="9"/>
      <c r="B87" s="20"/>
      <c r="C87" s="20"/>
      <c r="D87" s="20"/>
      <c r="E87" s="53"/>
      <c r="F87" s="53"/>
      <c r="G87" s="53"/>
      <c r="H87" s="53"/>
      <c r="I87" s="9"/>
      <c r="J87" s="53"/>
      <c r="K87" s="53"/>
      <c r="L87" s="53"/>
      <c r="M87" s="53"/>
      <c r="N87" s="53"/>
      <c r="O87" s="53"/>
      <c r="P87" s="53"/>
      <c r="Q87" s="9"/>
      <c r="R87" s="9"/>
      <c r="S87" s="9"/>
      <c r="T87" s="9"/>
      <c r="U87" s="53"/>
      <c r="V87" s="9"/>
      <c r="W87" s="53"/>
      <c r="X87" s="53"/>
      <c r="Y87" s="53"/>
      <c r="Z87" s="53"/>
      <c r="AA87" s="9"/>
      <c r="AB87" s="9"/>
      <c r="AC87" s="9"/>
      <c r="AD87" s="9"/>
      <c r="AE87" s="81"/>
      <c r="AF87" s="81"/>
      <c r="AG87" s="81"/>
      <c r="AH87" s="81"/>
      <c r="AI87" s="53"/>
      <c r="AJ87" s="53"/>
      <c r="AK87" s="53"/>
    </row>
    <row r="88" spans="1:37" ht="15.75" customHeight="1" x14ac:dyDescent="0.25">
      <c r="A88" s="9"/>
      <c r="B88" s="20"/>
      <c r="C88" s="20"/>
      <c r="D88" s="20"/>
      <c r="E88" s="53"/>
      <c r="F88" s="53"/>
      <c r="G88" s="53"/>
      <c r="H88" s="53"/>
      <c r="I88" s="9"/>
      <c r="J88" s="53"/>
      <c r="K88" s="53"/>
      <c r="L88" s="53"/>
      <c r="M88" s="53"/>
      <c r="N88" s="53"/>
      <c r="O88" s="53"/>
      <c r="P88" s="53"/>
      <c r="Q88" s="9"/>
      <c r="R88" s="9"/>
      <c r="S88" s="9"/>
      <c r="T88" s="9"/>
      <c r="U88" s="53"/>
      <c r="V88" s="9"/>
      <c r="W88" s="53"/>
      <c r="X88" s="53"/>
      <c r="Y88" s="53"/>
      <c r="Z88" s="53"/>
      <c r="AA88" s="9"/>
      <c r="AB88" s="9"/>
      <c r="AC88" s="9"/>
      <c r="AD88" s="9"/>
      <c r="AE88" s="81"/>
      <c r="AF88" s="81"/>
      <c r="AG88" s="81"/>
      <c r="AH88" s="81"/>
      <c r="AI88" s="53"/>
      <c r="AJ88" s="53"/>
      <c r="AK88" s="53"/>
    </row>
    <row r="89" spans="1:37" ht="15.75" customHeight="1" x14ac:dyDescent="0.25">
      <c r="A89" s="9"/>
      <c r="B89" s="20"/>
      <c r="C89" s="20"/>
      <c r="D89" s="20"/>
      <c r="E89" s="53"/>
      <c r="F89" s="53"/>
      <c r="G89" s="53"/>
      <c r="H89" s="53"/>
      <c r="I89" s="9"/>
      <c r="J89" s="53"/>
      <c r="K89" s="53"/>
      <c r="L89" s="53"/>
      <c r="M89" s="53"/>
      <c r="N89" s="53"/>
      <c r="O89" s="53"/>
      <c r="P89" s="53"/>
      <c r="Q89" s="9"/>
      <c r="R89" s="9"/>
      <c r="S89" s="9"/>
      <c r="T89" s="9"/>
      <c r="U89" s="53"/>
      <c r="V89" s="9"/>
      <c r="W89" s="53"/>
      <c r="X89" s="53"/>
      <c r="Y89" s="53"/>
      <c r="Z89" s="53"/>
      <c r="AA89" s="9"/>
      <c r="AB89" s="9"/>
      <c r="AC89" s="9"/>
      <c r="AD89" s="9"/>
      <c r="AE89" s="81"/>
      <c r="AF89" s="81"/>
      <c r="AG89" s="81"/>
      <c r="AH89" s="81"/>
      <c r="AI89" s="53"/>
      <c r="AJ89" s="53"/>
      <c r="AK89" s="53"/>
    </row>
    <row r="90" spans="1:37" ht="15.75" customHeight="1" x14ac:dyDescent="0.25">
      <c r="A90" s="9"/>
      <c r="B90" s="20"/>
      <c r="C90" s="20"/>
      <c r="D90" s="20"/>
      <c r="E90" s="53"/>
      <c r="F90" s="53"/>
      <c r="G90" s="53"/>
      <c r="H90" s="53"/>
      <c r="I90" s="9"/>
      <c r="J90" s="53"/>
      <c r="K90" s="53"/>
      <c r="L90" s="53"/>
      <c r="M90" s="53"/>
      <c r="N90" s="53"/>
      <c r="O90" s="53"/>
      <c r="P90" s="53"/>
      <c r="Q90" s="9"/>
      <c r="R90" s="9"/>
      <c r="S90" s="9"/>
      <c r="T90" s="9"/>
      <c r="U90" s="53"/>
      <c r="V90" s="9"/>
      <c r="W90" s="53"/>
      <c r="X90" s="53"/>
      <c r="Y90" s="53"/>
      <c r="Z90" s="53"/>
      <c r="AA90" s="9"/>
      <c r="AB90" s="9"/>
      <c r="AC90" s="9"/>
      <c r="AD90" s="9"/>
      <c r="AE90" s="81"/>
      <c r="AF90" s="81"/>
      <c r="AG90" s="81"/>
      <c r="AH90" s="81"/>
      <c r="AI90" s="53"/>
      <c r="AJ90" s="53"/>
      <c r="AK90" s="53"/>
    </row>
    <row r="91" spans="1:37" ht="15.75" customHeight="1" x14ac:dyDescent="0.25">
      <c r="A91" s="9"/>
      <c r="B91" s="20"/>
      <c r="C91" s="20"/>
      <c r="D91" s="20"/>
      <c r="E91" s="53"/>
      <c r="F91" s="53"/>
      <c r="G91" s="53"/>
      <c r="H91" s="53"/>
      <c r="I91" s="9"/>
      <c r="J91" s="53"/>
      <c r="K91" s="53"/>
      <c r="L91" s="53"/>
      <c r="M91" s="53"/>
      <c r="N91" s="53"/>
      <c r="O91" s="53"/>
      <c r="P91" s="53"/>
      <c r="Q91" s="9"/>
      <c r="R91" s="9"/>
      <c r="S91" s="9"/>
      <c r="T91" s="9"/>
      <c r="U91" s="53"/>
      <c r="V91" s="9"/>
      <c r="W91" s="53"/>
      <c r="X91" s="53"/>
      <c r="Y91" s="53"/>
      <c r="Z91" s="53"/>
      <c r="AA91" s="9"/>
      <c r="AB91" s="9"/>
      <c r="AC91" s="9"/>
      <c r="AD91" s="9"/>
      <c r="AE91" s="81"/>
      <c r="AF91" s="81"/>
      <c r="AG91" s="81"/>
      <c r="AH91" s="81"/>
      <c r="AI91" s="53"/>
      <c r="AJ91" s="53"/>
      <c r="AK91" s="53"/>
    </row>
    <row r="92" spans="1:37" ht="15.75" customHeight="1" x14ac:dyDescent="0.25">
      <c r="A92" s="9"/>
      <c r="B92" s="20"/>
      <c r="C92" s="20"/>
      <c r="D92" s="20"/>
      <c r="E92" s="53"/>
      <c r="F92" s="53"/>
      <c r="G92" s="53"/>
      <c r="H92" s="53"/>
      <c r="I92" s="9"/>
      <c r="J92" s="53"/>
      <c r="K92" s="53"/>
      <c r="L92" s="53"/>
      <c r="M92" s="53"/>
      <c r="N92" s="53"/>
      <c r="O92" s="53"/>
      <c r="P92" s="53"/>
      <c r="Q92" s="9"/>
      <c r="R92" s="9"/>
      <c r="S92" s="9"/>
      <c r="T92" s="9"/>
      <c r="U92" s="53"/>
      <c r="V92" s="9"/>
      <c r="W92" s="53"/>
      <c r="X92" s="53"/>
      <c r="Y92" s="53"/>
      <c r="Z92" s="53"/>
      <c r="AA92" s="9"/>
      <c r="AB92" s="9"/>
      <c r="AC92" s="9"/>
      <c r="AD92" s="9"/>
      <c r="AE92" s="81"/>
      <c r="AF92" s="81"/>
      <c r="AG92" s="81"/>
      <c r="AH92" s="81"/>
      <c r="AI92" s="53"/>
      <c r="AJ92" s="53"/>
      <c r="AK92" s="53"/>
    </row>
    <row r="93" spans="1:37" ht="15.75" customHeight="1" x14ac:dyDescent="0.25">
      <c r="A93" s="9"/>
      <c r="B93" s="20"/>
      <c r="C93" s="20"/>
      <c r="D93" s="20"/>
      <c r="E93" s="53"/>
      <c r="F93" s="53"/>
      <c r="G93" s="53"/>
      <c r="H93" s="53"/>
      <c r="I93" s="9"/>
      <c r="J93" s="53"/>
      <c r="K93" s="53"/>
      <c r="L93" s="53"/>
      <c r="M93" s="53"/>
      <c r="N93" s="53"/>
      <c r="O93" s="53"/>
      <c r="P93" s="53"/>
      <c r="Q93" s="9"/>
      <c r="R93" s="9"/>
      <c r="S93" s="9"/>
      <c r="T93" s="9"/>
      <c r="U93" s="53"/>
      <c r="V93" s="9"/>
      <c r="W93" s="53"/>
      <c r="X93" s="53"/>
      <c r="Y93" s="53"/>
      <c r="Z93" s="53"/>
      <c r="AA93" s="9"/>
      <c r="AB93" s="9"/>
      <c r="AC93" s="9"/>
      <c r="AD93" s="9"/>
      <c r="AE93" s="81"/>
      <c r="AF93" s="81"/>
      <c r="AG93" s="81"/>
      <c r="AH93" s="81"/>
      <c r="AI93" s="53"/>
      <c r="AJ93" s="53"/>
      <c r="AK93" s="53"/>
    </row>
    <row r="94" spans="1:37" ht="15.75" customHeight="1" x14ac:dyDescent="0.25">
      <c r="A94" s="9"/>
      <c r="B94" s="20"/>
      <c r="C94" s="20"/>
      <c r="D94" s="20"/>
      <c r="E94" s="53"/>
      <c r="F94" s="53"/>
      <c r="G94" s="53"/>
      <c r="H94" s="53"/>
      <c r="I94" s="9"/>
      <c r="J94" s="53"/>
      <c r="K94" s="53"/>
      <c r="L94" s="53"/>
      <c r="M94" s="53"/>
      <c r="N94" s="53"/>
      <c r="O94" s="53"/>
      <c r="P94" s="53"/>
      <c r="Q94" s="9"/>
      <c r="R94" s="9"/>
      <c r="S94" s="9"/>
      <c r="T94" s="9"/>
      <c r="U94" s="53"/>
      <c r="V94" s="9"/>
      <c r="W94" s="53"/>
      <c r="X94" s="53"/>
      <c r="Y94" s="53"/>
      <c r="Z94" s="53"/>
      <c r="AA94" s="9"/>
      <c r="AB94" s="9"/>
      <c r="AC94" s="9"/>
      <c r="AD94" s="9"/>
      <c r="AE94" s="81"/>
      <c r="AF94" s="81"/>
      <c r="AG94" s="81"/>
      <c r="AH94" s="81"/>
      <c r="AI94" s="53"/>
      <c r="AJ94" s="53"/>
      <c r="AK94" s="53"/>
    </row>
    <row r="95" spans="1:37" ht="15.75" customHeight="1" x14ac:dyDescent="0.25">
      <c r="A95" s="9"/>
      <c r="B95" s="20"/>
      <c r="C95" s="20"/>
      <c r="D95" s="20"/>
      <c r="E95" s="53"/>
      <c r="F95" s="53"/>
      <c r="G95" s="53"/>
      <c r="H95" s="53"/>
      <c r="I95" s="9"/>
      <c r="J95" s="53"/>
      <c r="K95" s="53"/>
      <c r="L95" s="53"/>
      <c r="M95" s="53"/>
      <c r="N95" s="53"/>
      <c r="O95" s="53"/>
      <c r="P95" s="53"/>
      <c r="Q95" s="9"/>
      <c r="R95" s="9"/>
      <c r="S95" s="9"/>
      <c r="T95" s="9"/>
      <c r="U95" s="53"/>
      <c r="V95" s="9"/>
      <c r="W95" s="53"/>
      <c r="X95" s="53"/>
      <c r="Y95" s="53"/>
      <c r="Z95" s="53"/>
      <c r="AA95" s="9"/>
      <c r="AB95" s="9"/>
      <c r="AC95" s="9"/>
      <c r="AD95" s="9"/>
      <c r="AE95" s="81"/>
      <c r="AF95" s="81"/>
      <c r="AG95" s="81"/>
      <c r="AH95" s="81"/>
      <c r="AI95" s="53"/>
      <c r="AJ95" s="53"/>
      <c r="AK95" s="53"/>
    </row>
    <row r="96" spans="1:37" ht="15.75" customHeight="1" x14ac:dyDescent="0.25">
      <c r="A96" s="9"/>
      <c r="B96" s="20"/>
      <c r="C96" s="20"/>
      <c r="D96" s="20"/>
      <c r="E96" s="53"/>
      <c r="F96" s="53"/>
      <c r="G96" s="53"/>
      <c r="H96" s="53"/>
      <c r="I96" s="9"/>
      <c r="J96" s="53"/>
      <c r="K96" s="53"/>
      <c r="L96" s="53"/>
      <c r="M96" s="53"/>
      <c r="N96" s="53"/>
      <c r="O96" s="53"/>
      <c r="P96" s="53"/>
      <c r="Q96" s="9"/>
      <c r="R96" s="9"/>
      <c r="S96" s="9"/>
      <c r="T96" s="9"/>
      <c r="U96" s="53"/>
      <c r="V96" s="9"/>
      <c r="W96" s="53"/>
      <c r="X96" s="53"/>
      <c r="Y96" s="53"/>
      <c r="Z96" s="53"/>
      <c r="AA96" s="9"/>
      <c r="AB96" s="9"/>
      <c r="AC96" s="9"/>
      <c r="AD96" s="9"/>
      <c r="AE96" s="81"/>
      <c r="AF96" s="81"/>
      <c r="AG96" s="81"/>
      <c r="AH96" s="81"/>
      <c r="AI96" s="53"/>
      <c r="AJ96" s="53"/>
      <c r="AK96" s="53"/>
    </row>
    <row r="97" spans="1:37" ht="15.75" customHeight="1" x14ac:dyDescent="0.25">
      <c r="A97" s="9"/>
      <c r="B97" s="20"/>
      <c r="C97" s="20"/>
      <c r="D97" s="20"/>
      <c r="E97" s="53"/>
      <c r="F97" s="53"/>
      <c r="G97" s="53"/>
      <c r="H97" s="53"/>
      <c r="I97" s="9"/>
      <c r="J97" s="53"/>
      <c r="K97" s="53"/>
      <c r="L97" s="53"/>
      <c r="M97" s="53"/>
      <c r="N97" s="53"/>
      <c r="O97" s="53"/>
      <c r="P97" s="53"/>
      <c r="Q97" s="9"/>
      <c r="R97" s="9"/>
      <c r="S97" s="9"/>
      <c r="T97" s="9"/>
      <c r="U97" s="53"/>
      <c r="V97" s="9"/>
      <c r="W97" s="53"/>
      <c r="X97" s="53"/>
      <c r="Y97" s="53"/>
      <c r="Z97" s="53"/>
      <c r="AA97" s="9"/>
      <c r="AB97" s="9"/>
      <c r="AC97" s="9"/>
      <c r="AD97" s="9"/>
      <c r="AE97" s="81"/>
      <c r="AF97" s="81"/>
      <c r="AG97" s="81"/>
      <c r="AH97" s="81"/>
      <c r="AI97" s="53"/>
      <c r="AJ97" s="53"/>
      <c r="AK97" s="53"/>
    </row>
    <row r="98" spans="1:37" ht="15.75" customHeight="1" x14ac:dyDescent="0.25">
      <c r="A98" s="9"/>
      <c r="B98" s="20"/>
      <c r="C98" s="20"/>
      <c r="D98" s="20"/>
      <c r="E98" s="53"/>
      <c r="F98" s="53"/>
      <c r="G98" s="53"/>
      <c r="H98" s="53"/>
      <c r="I98" s="9"/>
      <c r="J98" s="53"/>
      <c r="K98" s="53"/>
      <c r="L98" s="53"/>
      <c r="M98" s="53"/>
      <c r="N98" s="53"/>
      <c r="O98" s="53"/>
      <c r="P98" s="53"/>
      <c r="Q98" s="9"/>
      <c r="R98" s="9"/>
      <c r="S98" s="9"/>
      <c r="T98" s="9"/>
      <c r="U98" s="53"/>
      <c r="V98" s="9"/>
      <c r="W98" s="53"/>
      <c r="X98" s="53"/>
      <c r="Y98" s="53"/>
      <c r="Z98" s="53"/>
      <c r="AA98" s="9"/>
      <c r="AB98" s="9"/>
      <c r="AC98" s="9"/>
      <c r="AD98" s="9"/>
      <c r="AE98" s="81"/>
      <c r="AF98" s="81"/>
      <c r="AG98" s="81"/>
      <c r="AH98" s="81"/>
      <c r="AI98" s="53"/>
      <c r="AJ98" s="53"/>
      <c r="AK98" s="53"/>
    </row>
    <row r="99" spans="1:37" ht="15.75" customHeight="1" x14ac:dyDescent="0.25">
      <c r="A99" s="9"/>
      <c r="B99" s="20"/>
      <c r="C99" s="20"/>
      <c r="D99" s="20"/>
      <c r="E99" s="53"/>
      <c r="F99" s="53"/>
      <c r="G99" s="53"/>
      <c r="H99" s="53"/>
      <c r="I99" s="9"/>
      <c r="J99" s="53"/>
      <c r="K99" s="53"/>
      <c r="L99" s="53"/>
      <c r="M99" s="53"/>
      <c r="N99" s="53"/>
      <c r="O99" s="53"/>
      <c r="P99" s="53"/>
      <c r="Q99" s="9"/>
      <c r="R99" s="9"/>
      <c r="S99" s="9"/>
      <c r="T99" s="9"/>
      <c r="U99" s="53"/>
      <c r="V99" s="9"/>
      <c r="W99" s="53"/>
      <c r="X99" s="53"/>
      <c r="Y99" s="53"/>
      <c r="Z99" s="53"/>
      <c r="AA99" s="9"/>
      <c r="AB99" s="9"/>
      <c r="AC99" s="9"/>
      <c r="AD99" s="9"/>
      <c r="AE99" s="81"/>
      <c r="AF99" s="81"/>
      <c r="AG99" s="81"/>
      <c r="AH99" s="81"/>
      <c r="AI99" s="53"/>
      <c r="AJ99" s="53"/>
      <c r="AK99" s="53"/>
    </row>
    <row r="100" spans="1:37" ht="15.75" customHeight="1" x14ac:dyDescent="0.25">
      <c r="A100" s="9"/>
      <c r="B100" s="20"/>
      <c r="C100" s="20"/>
      <c r="D100" s="20"/>
      <c r="E100" s="53"/>
      <c r="F100" s="53"/>
      <c r="G100" s="53"/>
      <c r="H100" s="53"/>
      <c r="I100" s="9"/>
      <c r="J100" s="53"/>
      <c r="K100" s="53"/>
      <c r="L100" s="53"/>
      <c r="M100" s="53"/>
      <c r="N100" s="53"/>
      <c r="O100" s="53"/>
      <c r="P100" s="53"/>
      <c r="Q100" s="9"/>
      <c r="R100" s="9"/>
      <c r="S100" s="9"/>
      <c r="T100" s="9"/>
      <c r="U100" s="53"/>
      <c r="V100" s="9"/>
      <c r="W100" s="53"/>
      <c r="X100" s="53"/>
      <c r="Y100" s="53"/>
      <c r="Z100" s="53"/>
      <c r="AA100" s="9"/>
      <c r="AB100" s="9"/>
      <c r="AC100" s="9"/>
      <c r="AD100" s="9"/>
      <c r="AE100" s="81"/>
      <c r="AF100" s="81"/>
      <c r="AG100" s="81"/>
      <c r="AH100" s="81"/>
      <c r="AI100" s="53"/>
      <c r="AJ100" s="53"/>
      <c r="AK100" s="53"/>
    </row>
    <row r="101" spans="1:37" ht="15.75" customHeight="1" x14ac:dyDescent="0.25">
      <c r="A101" s="9"/>
      <c r="B101" s="20"/>
      <c r="C101" s="20"/>
      <c r="D101" s="20"/>
      <c r="E101" s="53"/>
      <c r="F101" s="53"/>
      <c r="G101" s="53"/>
      <c r="H101" s="53"/>
      <c r="I101" s="9"/>
      <c r="J101" s="53"/>
      <c r="K101" s="53"/>
      <c r="L101" s="53"/>
      <c r="M101" s="53"/>
      <c r="N101" s="53"/>
      <c r="O101" s="53"/>
      <c r="P101" s="53"/>
      <c r="Q101" s="9"/>
      <c r="R101" s="9"/>
      <c r="S101" s="9"/>
      <c r="T101" s="9"/>
      <c r="U101" s="53"/>
      <c r="V101" s="9"/>
      <c r="W101" s="53"/>
      <c r="X101" s="53"/>
      <c r="Y101" s="53"/>
      <c r="Z101" s="53"/>
      <c r="AA101" s="9"/>
      <c r="AB101" s="9"/>
      <c r="AC101" s="9"/>
      <c r="AD101" s="9"/>
      <c r="AE101" s="81"/>
      <c r="AF101" s="81"/>
      <c r="AG101" s="81"/>
      <c r="AH101" s="81"/>
      <c r="AI101" s="53"/>
      <c r="AJ101" s="53"/>
      <c r="AK101" s="53"/>
    </row>
    <row r="102" spans="1:37" ht="15.75" customHeight="1" x14ac:dyDescent="0.25">
      <c r="A102" s="9"/>
      <c r="B102" s="20"/>
      <c r="C102" s="20"/>
      <c r="D102" s="20"/>
      <c r="E102" s="53"/>
      <c r="F102" s="53"/>
      <c r="G102" s="53"/>
      <c r="H102" s="53"/>
      <c r="I102" s="9"/>
      <c r="J102" s="53"/>
      <c r="K102" s="53"/>
      <c r="L102" s="53"/>
      <c r="M102" s="53"/>
      <c r="N102" s="53"/>
      <c r="O102" s="53"/>
      <c r="P102" s="53"/>
      <c r="Q102" s="9"/>
      <c r="R102" s="9"/>
      <c r="S102" s="9"/>
      <c r="T102" s="9"/>
      <c r="U102" s="53"/>
      <c r="V102" s="9"/>
      <c r="W102" s="53"/>
      <c r="X102" s="53"/>
      <c r="Y102" s="53"/>
      <c r="Z102" s="53"/>
      <c r="AA102" s="9"/>
      <c r="AB102" s="9"/>
      <c r="AC102" s="9"/>
      <c r="AD102" s="9"/>
      <c r="AE102" s="81"/>
      <c r="AF102" s="81"/>
      <c r="AG102" s="81"/>
      <c r="AH102" s="81"/>
      <c r="AI102" s="53"/>
      <c r="AJ102" s="53"/>
      <c r="AK102" s="53"/>
    </row>
    <row r="103" spans="1:37" ht="15.75" customHeight="1" x14ac:dyDescent="0.25">
      <c r="A103" s="9"/>
      <c r="B103" s="20"/>
      <c r="C103" s="20"/>
      <c r="D103" s="20"/>
      <c r="E103" s="53"/>
      <c r="F103" s="53"/>
      <c r="G103" s="53"/>
      <c r="H103" s="53"/>
      <c r="I103" s="9"/>
      <c r="J103" s="53"/>
      <c r="K103" s="53"/>
      <c r="L103" s="53"/>
      <c r="M103" s="53"/>
      <c r="N103" s="53"/>
      <c r="O103" s="53"/>
      <c r="P103" s="53"/>
      <c r="Q103" s="9"/>
      <c r="R103" s="9"/>
      <c r="S103" s="9"/>
      <c r="T103" s="9"/>
      <c r="U103" s="53"/>
      <c r="V103" s="9"/>
      <c r="W103" s="53"/>
      <c r="X103" s="53"/>
      <c r="Y103" s="53"/>
      <c r="Z103" s="53"/>
      <c r="AA103" s="9"/>
      <c r="AB103" s="9"/>
      <c r="AC103" s="9"/>
      <c r="AD103" s="9"/>
      <c r="AE103" s="81"/>
      <c r="AF103" s="81"/>
      <c r="AG103" s="81"/>
      <c r="AH103" s="81"/>
      <c r="AI103" s="53"/>
      <c r="AJ103" s="53"/>
      <c r="AK103" s="53"/>
    </row>
    <row r="104" spans="1:37" ht="15.75" customHeight="1" x14ac:dyDescent="0.25">
      <c r="A104" s="9"/>
      <c r="B104" s="20"/>
      <c r="C104" s="20"/>
      <c r="D104" s="20"/>
      <c r="E104" s="53"/>
      <c r="F104" s="53"/>
      <c r="G104" s="53"/>
      <c r="H104" s="53"/>
      <c r="I104" s="9"/>
      <c r="J104" s="53"/>
      <c r="K104" s="53"/>
      <c r="L104" s="53"/>
      <c r="M104" s="53"/>
      <c r="N104" s="53"/>
      <c r="O104" s="53"/>
      <c r="P104" s="53"/>
      <c r="Q104" s="9"/>
      <c r="R104" s="9"/>
      <c r="S104" s="9"/>
      <c r="T104" s="9"/>
      <c r="U104" s="53"/>
      <c r="V104" s="9"/>
      <c r="W104" s="53"/>
      <c r="X104" s="53"/>
      <c r="Y104" s="53"/>
      <c r="Z104" s="53"/>
      <c r="AA104" s="9"/>
      <c r="AB104" s="9"/>
      <c r="AC104" s="9"/>
      <c r="AD104" s="9"/>
      <c r="AE104" s="81"/>
      <c r="AF104" s="81"/>
      <c r="AG104" s="81"/>
      <c r="AH104" s="81"/>
      <c r="AI104" s="53"/>
      <c r="AJ104" s="53"/>
      <c r="AK104" s="53"/>
    </row>
    <row r="105" spans="1:37" ht="15.75" customHeight="1" x14ac:dyDescent="0.25">
      <c r="A105" s="9"/>
      <c r="B105" s="20"/>
      <c r="C105" s="20"/>
      <c r="D105" s="20"/>
      <c r="E105" s="53"/>
      <c r="F105" s="53"/>
      <c r="G105" s="53"/>
      <c r="H105" s="53"/>
      <c r="I105" s="9"/>
      <c r="J105" s="53"/>
      <c r="K105" s="53"/>
      <c r="L105" s="53"/>
      <c r="M105" s="53"/>
      <c r="N105" s="53"/>
      <c r="O105" s="53"/>
      <c r="P105" s="53"/>
      <c r="Q105" s="9"/>
      <c r="R105" s="9"/>
      <c r="S105" s="9"/>
      <c r="T105" s="9"/>
      <c r="U105" s="53"/>
      <c r="V105" s="9"/>
      <c r="W105" s="53"/>
      <c r="X105" s="53"/>
      <c r="Y105" s="53"/>
      <c r="Z105" s="53"/>
      <c r="AA105" s="9"/>
      <c r="AB105" s="9"/>
      <c r="AC105" s="9"/>
      <c r="AD105" s="9"/>
      <c r="AE105" s="81"/>
      <c r="AF105" s="81"/>
      <c r="AG105" s="81"/>
      <c r="AH105" s="81"/>
      <c r="AI105" s="53"/>
      <c r="AJ105" s="53"/>
      <c r="AK105" s="53"/>
    </row>
    <row r="106" spans="1:37" ht="15.75" customHeight="1" x14ac:dyDescent="0.25">
      <c r="A106" s="9"/>
      <c r="B106" s="20"/>
      <c r="C106" s="20"/>
      <c r="D106" s="20"/>
      <c r="E106" s="53"/>
      <c r="F106" s="53"/>
      <c r="G106" s="53"/>
      <c r="H106" s="53"/>
      <c r="I106" s="9"/>
      <c r="J106" s="53"/>
      <c r="K106" s="53"/>
      <c r="L106" s="53"/>
      <c r="M106" s="53"/>
      <c r="N106" s="53"/>
      <c r="O106" s="53"/>
      <c r="P106" s="53"/>
      <c r="Q106" s="9"/>
      <c r="R106" s="9"/>
      <c r="S106" s="9"/>
      <c r="T106" s="9"/>
      <c r="U106" s="53"/>
      <c r="V106" s="9"/>
      <c r="W106" s="53"/>
      <c r="X106" s="53"/>
      <c r="Y106" s="53"/>
      <c r="Z106" s="53"/>
      <c r="AA106" s="9"/>
      <c r="AB106" s="9"/>
      <c r="AC106" s="9"/>
      <c r="AD106" s="9"/>
      <c r="AE106" s="81"/>
      <c r="AF106" s="81"/>
      <c r="AG106" s="81"/>
      <c r="AH106" s="81"/>
      <c r="AI106" s="53"/>
      <c r="AJ106" s="53"/>
      <c r="AK106" s="53"/>
    </row>
    <row r="107" spans="1:37" ht="15.75" customHeight="1" x14ac:dyDescent="0.25">
      <c r="A107" s="9"/>
      <c r="B107" s="20"/>
      <c r="C107" s="20"/>
      <c r="D107" s="20"/>
      <c r="E107" s="53"/>
      <c r="F107" s="53"/>
      <c r="G107" s="53"/>
      <c r="H107" s="53"/>
      <c r="I107" s="9"/>
      <c r="J107" s="53"/>
      <c r="K107" s="53"/>
      <c r="L107" s="53"/>
      <c r="M107" s="53"/>
      <c r="N107" s="53"/>
      <c r="O107" s="53"/>
      <c r="P107" s="53"/>
      <c r="Q107" s="9"/>
      <c r="R107" s="9"/>
      <c r="S107" s="9"/>
      <c r="T107" s="9"/>
      <c r="U107" s="53"/>
      <c r="V107" s="9"/>
      <c r="W107" s="53"/>
      <c r="X107" s="53"/>
      <c r="Y107" s="53"/>
      <c r="Z107" s="53"/>
      <c r="AA107" s="9"/>
      <c r="AB107" s="9"/>
      <c r="AC107" s="9"/>
      <c r="AD107" s="9"/>
      <c r="AE107" s="81"/>
      <c r="AF107" s="81"/>
      <c r="AG107" s="81"/>
      <c r="AH107" s="81"/>
      <c r="AI107" s="53"/>
      <c r="AJ107" s="53"/>
      <c r="AK107" s="53"/>
    </row>
    <row r="108" spans="1:37" ht="15.75" customHeight="1" x14ac:dyDescent="0.25">
      <c r="A108" s="9"/>
      <c r="B108" s="20"/>
      <c r="C108" s="20"/>
      <c r="D108" s="20"/>
      <c r="E108" s="53"/>
      <c r="F108" s="53"/>
      <c r="G108" s="53"/>
      <c r="H108" s="53"/>
      <c r="I108" s="9"/>
      <c r="J108" s="53"/>
      <c r="K108" s="53"/>
      <c r="L108" s="53"/>
      <c r="M108" s="53"/>
      <c r="N108" s="53"/>
      <c r="O108" s="53"/>
      <c r="P108" s="53"/>
      <c r="Q108" s="9"/>
      <c r="R108" s="9"/>
      <c r="S108" s="9"/>
      <c r="T108" s="9"/>
      <c r="U108" s="53"/>
      <c r="V108" s="9"/>
      <c r="W108" s="53"/>
      <c r="X108" s="53"/>
      <c r="Y108" s="53"/>
      <c r="Z108" s="53"/>
      <c r="AA108" s="9"/>
      <c r="AB108" s="9"/>
      <c r="AC108" s="9"/>
      <c r="AD108" s="9"/>
      <c r="AE108" s="81"/>
      <c r="AF108" s="81"/>
      <c r="AG108" s="81"/>
      <c r="AH108" s="81"/>
      <c r="AI108" s="53"/>
      <c r="AJ108" s="53"/>
      <c r="AK108" s="53"/>
    </row>
    <row r="109" spans="1:37" ht="15.75" customHeight="1" x14ac:dyDescent="0.25">
      <c r="A109" s="9"/>
      <c r="B109" s="20"/>
      <c r="C109" s="20"/>
      <c r="D109" s="20"/>
      <c r="E109" s="53"/>
      <c r="F109" s="53"/>
      <c r="G109" s="53"/>
      <c r="H109" s="53"/>
      <c r="I109" s="9"/>
      <c r="J109" s="53"/>
      <c r="K109" s="53"/>
      <c r="L109" s="53"/>
      <c r="M109" s="53"/>
      <c r="N109" s="53"/>
      <c r="O109" s="53"/>
      <c r="P109" s="53"/>
      <c r="Q109" s="9"/>
      <c r="R109" s="9"/>
      <c r="S109" s="9"/>
      <c r="T109" s="9"/>
      <c r="U109" s="53"/>
      <c r="V109" s="9"/>
      <c r="W109" s="53"/>
      <c r="X109" s="53"/>
      <c r="Y109" s="53"/>
      <c r="Z109" s="53"/>
      <c r="AA109" s="9"/>
      <c r="AB109" s="9"/>
      <c r="AC109" s="9"/>
      <c r="AD109" s="9"/>
      <c r="AE109" s="81"/>
      <c r="AF109" s="81"/>
      <c r="AG109" s="81"/>
      <c r="AH109" s="81"/>
      <c r="AI109" s="53"/>
      <c r="AJ109" s="53"/>
      <c r="AK109" s="53"/>
    </row>
    <row r="110" spans="1:37" ht="15.75" customHeight="1" x14ac:dyDescent="0.25">
      <c r="A110" s="9"/>
      <c r="B110" s="20"/>
      <c r="C110" s="20"/>
      <c r="D110" s="20"/>
      <c r="E110" s="53"/>
      <c r="F110" s="53"/>
      <c r="G110" s="53"/>
      <c r="H110" s="53"/>
      <c r="I110" s="9"/>
      <c r="J110" s="53"/>
      <c r="K110" s="53"/>
      <c r="L110" s="53"/>
      <c r="M110" s="53"/>
      <c r="N110" s="53"/>
      <c r="O110" s="53"/>
      <c r="P110" s="53"/>
      <c r="Q110" s="9"/>
      <c r="R110" s="9"/>
      <c r="S110" s="9"/>
      <c r="T110" s="9"/>
      <c r="U110" s="53"/>
      <c r="V110" s="9"/>
      <c r="W110" s="53"/>
      <c r="X110" s="53"/>
      <c r="Y110" s="53"/>
      <c r="Z110" s="53"/>
      <c r="AA110" s="9"/>
      <c r="AB110" s="9"/>
      <c r="AC110" s="9"/>
      <c r="AD110" s="9"/>
      <c r="AE110" s="81"/>
      <c r="AF110" s="81"/>
      <c r="AG110" s="81"/>
      <c r="AH110" s="81"/>
      <c r="AI110" s="53"/>
      <c r="AJ110" s="53"/>
      <c r="AK110" s="53"/>
    </row>
    <row r="111" spans="1:37" ht="15.75" customHeight="1" x14ac:dyDescent="0.25">
      <c r="A111" s="9"/>
      <c r="B111" s="20"/>
      <c r="C111" s="20"/>
      <c r="D111" s="20"/>
      <c r="E111" s="53"/>
      <c r="F111" s="53"/>
      <c r="G111" s="53"/>
      <c r="H111" s="53"/>
      <c r="I111" s="9"/>
      <c r="J111" s="53"/>
      <c r="K111" s="53"/>
      <c r="L111" s="53"/>
      <c r="M111" s="53"/>
      <c r="N111" s="53"/>
      <c r="O111" s="53"/>
      <c r="P111" s="53"/>
      <c r="Q111" s="9"/>
      <c r="R111" s="9"/>
      <c r="S111" s="9"/>
      <c r="T111" s="9"/>
      <c r="U111" s="53"/>
      <c r="V111" s="9"/>
      <c r="W111" s="53"/>
      <c r="X111" s="53"/>
      <c r="Y111" s="53"/>
      <c r="Z111" s="53"/>
      <c r="AA111" s="9"/>
      <c r="AB111" s="9"/>
      <c r="AC111" s="9"/>
      <c r="AD111" s="9"/>
      <c r="AE111" s="81"/>
      <c r="AF111" s="81"/>
      <c r="AG111" s="81"/>
      <c r="AH111" s="81"/>
      <c r="AI111" s="53"/>
      <c r="AJ111" s="53"/>
      <c r="AK111" s="53"/>
    </row>
    <row r="112" spans="1:37" ht="15.75" customHeight="1" x14ac:dyDescent="0.25">
      <c r="A112" s="9"/>
      <c r="B112" s="20"/>
      <c r="C112" s="20"/>
      <c r="D112" s="20"/>
      <c r="E112" s="53"/>
      <c r="F112" s="53"/>
      <c r="G112" s="53"/>
      <c r="H112" s="53"/>
      <c r="I112" s="9"/>
      <c r="J112" s="53"/>
      <c r="K112" s="53"/>
      <c r="L112" s="53"/>
      <c r="M112" s="53"/>
      <c r="N112" s="53"/>
      <c r="O112" s="53"/>
      <c r="P112" s="53"/>
      <c r="Q112" s="9"/>
      <c r="R112" s="9"/>
      <c r="S112" s="9"/>
      <c r="T112" s="9"/>
      <c r="U112" s="53"/>
      <c r="V112" s="9"/>
      <c r="W112" s="53"/>
      <c r="X112" s="53"/>
      <c r="Y112" s="53"/>
      <c r="Z112" s="53"/>
      <c r="AA112" s="9"/>
      <c r="AB112" s="9"/>
      <c r="AC112" s="9"/>
      <c r="AD112" s="9"/>
      <c r="AE112" s="81"/>
      <c r="AF112" s="81"/>
      <c r="AG112" s="81"/>
      <c r="AH112" s="81"/>
      <c r="AI112" s="53"/>
      <c r="AJ112" s="53"/>
      <c r="AK112" s="53"/>
    </row>
    <row r="113" spans="1:37" ht="15.75" customHeight="1" x14ac:dyDescent="0.25">
      <c r="A113" s="9"/>
      <c r="B113" s="20"/>
      <c r="C113" s="20"/>
      <c r="D113" s="20"/>
      <c r="E113" s="53"/>
      <c r="F113" s="53"/>
      <c r="G113" s="53"/>
      <c r="H113" s="53"/>
      <c r="I113" s="9"/>
      <c r="J113" s="53"/>
      <c r="K113" s="53"/>
      <c r="L113" s="53"/>
      <c r="M113" s="53"/>
      <c r="N113" s="53"/>
      <c r="O113" s="53"/>
      <c r="P113" s="53"/>
      <c r="Q113" s="9"/>
      <c r="R113" s="9"/>
      <c r="S113" s="9"/>
      <c r="T113" s="9"/>
      <c r="U113" s="53"/>
      <c r="V113" s="9"/>
      <c r="W113" s="53"/>
      <c r="X113" s="53"/>
      <c r="Y113" s="53"/>
      <c r="Z113" s="53"/>
      <c r="AA113" s="9"/>
      <c r="AB113" s="9"/>
      <c r="AC113" s="9"/>
      <c r="AD113" s="9"/>
      <c r="AE113" s="81"/>
      <c r="AF113" s="81"/>
      <c r="AG113" s="81"/>
      <c r="AH113" s="81"/>
      <c r="AI113" s="53"/>
      <c r="AJ113" s="53"/>
      <c r="AK113" s="53"/>
    </row>
    <row r="114" spans="1:37" ht="15.75" customHeight="1" x14ac:dyDescent="0.25">
      <c r="A114" s="9"/>
      <c r="B114" s="20"/>
      <c r="C114" s="20"/>
      <c r="D114" s="20"/>
      <c r="E114" s="53"/>
      <c r="F114" s="53"/>
      <c r="G114" s="53"/>
      <c r="H114" s="53"/>
      <c r="I114" s="9"/>
      <c r="J114" s="53"/>
      <c r="K114" s="53"/>
      <c r="L114" s="53"/>
      <c r="M114" s="53"/>
      <c r="N114" s="53"/>
      <c r="O114" s="53"/>
      <c r="P114" s="53"/>
      <c r="Q114" s="9"/>
      <c r="R114" s="9"/>
      <c r="S114" s="9"/>
      <c r="T114" s="9"/>
      <c r="U114" s="53"/>
      <c r="V114" s="9"/>
      <c r="W114" s="53"/>
      <c r="X114" s="53"/>
      <c r="Y114" s="53"/>
      <c r="Z114" s="53"/>
      <c r="AA114" s="9"/>
      <c r="AB114" s="9"/>
      <c r="AC114" s="9"/>
      <c r="AD114" s="9"/>
      <c r="AE114" s="81"/>
      <c r="AF114" s="81"/>
      <c r="AG114" s="81"/>
      <c r="AH114" s="81"/>
      <c r="AI114" s="53"/>
      <c r="AJ114" s="53"/>
      <c r="AK114" s="53"/>
    </row>
    <row r="115" spans="1:37" ht="15.75" customHeight="1" x14ac:dyDescent="0.25">
      <c r="A115" s="9"/>
      <c r="B115" s="20"/>
      <c r="C115" s="20"/>
      <c r="D115" s="20"/>
      <c r="E115" s="53"/>
      <c r="F115" s="53"/>
      <c r="G115" s="53"/>
      <c r="H115" s="53"/>
      <c r="I115" s="9"/>
      <c r="J115" s="53"/>
      <c r="K115" s="53"/>
      <c r="L115" s="53"/>
      <c r="M115" s="53"/>
      <c r="N115" s="53"/>
      <c r="O115" s="53"/>
      <c r="P115" s="53"/>
      <c r="Q115" s="9"/>
      <c r="R115" s="9"/>
      <c r="S115" s="9"/>
      <c r="T115" s="9"/>
      <c r="U115" s="53"/>
      <c r="V115" s="9"/>
      <c r="W115" s="53"/>
      <c r="X115" s="53"/>
      <c r="Y115" s="53"/>
      <c r="Z115" s="53"/>
      <c r="AA115" s="9"/>
      <c r="AB115" s="9"/>
      <c r="AC115" s="9"/>
      <c r="AD115" s="9"/>
      <c r="AE115" s="81"/>
      <c r="AF115" s="81"/>
      <c r="AG115" s="81"/>
      <c r="AH115" s="81"/>
      <c r="AI115" s="53"/>
      <c r="AJ115" s="53"/>
      <c r="AK115" s="53"/>
    </row>
    <row r="116" spans="1:37" ht="15.75" customHeight="1" x14ac:dyDescent="0.25">
      <c r="A116" s="9"/>
      <c r="B116" s="20"/>
      <c r="C116" s="20"/>
      <c r="D116" s="20"/>
      <c r="E116" s="53"/>
      <c r="F116" s="53"/>
      <c r="G116" s="53"/>
      <c r="H116" s="53"/>
      <c r="I116" s="9"/>
      <c r="J116" s="53"/>
      <c r="K116" s="53"/>
      <c r="L116" s="53"/>
      <c r="M116" s="53"/>
      <c r="N116" s="53"/>
      <c r="O116" s="53"/>
      <c r="P116" s="53"/>
      <c r="Q116" s="9"/>
      <c r="R116" s="9"/>
      <c r="S116" s="9"/>
      <c r="T116" s="9"/>
      <c r="U116" s="53"/>
      <c r="V116" s="9"/>
      <c r="W116" s="53"/>
      <c r="X116" s="53"/>
      <c r="Y116" s="53"/>
      <c r="Z116" s="53"/>
      <c r="AA116" s="9"/>
      <c r="AB116" s="9"/>
      <c r="AC116" s="9"/>
      <c r="AD116" s="9"/>
      <c r="AE116" s="81"/>
      <c r="AF116" s="81"/>
      <c r="AG116" s="81"/>
      <c r="AH116" s="81"/>
      <c r="AI116" s="53"/>
      <c r="AJ116" s="53"/>
      <c r="AK116" s="53"/>
    </row>
    <row r="117" spans="1:37" ht="15.75" customHeight="1" x14ac:dyDescent="0.25">
      <c r="A117" s="9"/>
      <c r="B117" s="20"/>
      <c r="C117" s="20"/>
      <c r="D117" s="20"/>
      <c r="E117" s="53"/>
      <c r="F117" s="53"/>
      <c r="G117" s="53"/>
      <c r="H117" s="53"/>
      <c r="I117" s="9"/>
      <c r="J117" s="53"/>
      <c r="K117" s="53"/>
      <c r="L117" s="53"/>
      <c r="M117" s="53"/>
      <c r="N117" s="53"/>
      <c r="O117" s="53"/>
      <c r="P117" s="53"/>
      <c r="Q117" s="9"/>
      <c r="R117" s="9"/>
      <c r="S117" s="9"/>
      <c r="T117" s="9"/>
      <c r="U117" s="53"/>
      <c r="V117" s="9"/>
      <c r="W117" s="53"/>
      <c r="X117" s="53"/>
      <c r="Y117" s="53"/>
      <c r="Z117" s="53"/>
      <c r="AA117" s="9"/>
      <c r="AB117" s="9"/>
      <c r="AC117" s="9"/>
      <c r="AD117" s="9"/>
      <c r="AE117" s="81"/>
      <c r="AF117" s="81"/>
      <c r="AG117" s="81"/>
      <c r="AH117" s="81"/>
      <c r="AI117" s="53"/>
      <c r="AJ117" s="53"/>
      <c r="AK117" s="53"/>
    </row>
    <row r="118" spans="1:37" ht="15.75" customHeight="1" x14ac:dyDescent="0.25">
      <c r="A118" s="9"/>
      <c r="B118" s="20"/>
      <c r="C118" s="20"/>
      <c r="D118" s="20"/>
      <c r="E118" s="53"/>
      <c r="F118" s="53"/>
      <c r="G118" s="53"/>
      <c r="H118" s="53"/>
      <c r="I118" s="9"/>
      <c r="J118" s="53"/>
      <c r="K118" s="53"/>
      <c r="L118" s="53"/>
      <c r="M118" s="53"/>
      <c r="N118" s="53"/>
      <c r="O118" s="53"/>
      <c r="P118" s="53"/>
      <c r="Q118" s="9"/>
      <c r="R118" s="9"/>
      <c r="S118" s="9"/>
      <c r="T118" s="9"/>
      <c r="U118" s="53"/>
      <c r="V118" s="9"/>
      <c r="W118" s="53"/>
      <c r="X118" s="53"/>
      <c r="Y118" s="53"/>
      <c r="Z118" s="53"/>
      <c r="AA118" s="9"/>
      <c r="AB118" s="9"/>
      <c r="AC118" s="9"/>
      <c r="AD118" s="9"/>
      <c r="AE118" s="81"/>
      <c r="AF118" s="81"/>
      <c r="AG118" s="81"/>
      <c r="AH118" s="81"/>
      <c r="AI118" s="53"/>
      <c r="AJ118" s="53"/>
      <c r="AK118" s="53"/>
    </row>
    <row r="119" spans="1:37" ht="15.75" customHeight="1" x14ac:dyDescent="0.25">
      <c r="A119" s="9"/>
      <c r="B119" s="20"/>
      <c r="C119" s="20"/>
      <c r="D119" s="20"/>
      <c r="E119" s="53"/>
      <c r="F119" s="53"/>
      <c r="G119" s="53"/>
      <c r="H119" s="53"/>
      <c r="I119" s="9"/>
      <c r="J119" s="53"/>
      <c r="K119" s="53"/>
      <c r="L119" s="53"/>
      <c r="M119" s="53"/>
      <c r="N119" s="53"/>
      <c r="O119" s="53"/>
      <c r="P119" s="53"/>
      <c r="Q119" s="9"/>
      <c r="R119" s="9"/>
      <c r="S119" s="9"/>
      <c r="T119" s="9"/>
      <c r="U119" s="53"/>
      <c r="V119" s="9"/>
      <c r="W119" s="53"/>
      <c r="X119" s="53"/>
      <c r="Y119" s="53"/>
      <c r="Z119" s="53"/>
      <c r="AA119" s="9"/>
      <c r="AB119" s="9"/>
      <c r="AC119" s="9"/>
      <c r="AD119" s="9"/>
      <c r="AE119" s="81"/>
      <c r="AF119" s="81"/>
      <c r="AG119" s="81"/>
      <c r="AH119" s="81"/>
      <c r="AI119" s="53"/>
      <c r="AJ119" s="53"/>
      <c r="AK119" s="53"/>
    </row>
    <row r="120" spans="1:37" ht="15.75" customHeight="1" x14ac:dyDescent="0.25">
      <c r="A120" s="9"/>
      <c r="B120" s="20"/>
      <c r="C120" s="20"/>
      <c r="D120" s="20"/>
      <c r="E120" s="53"/>
      <c r="F120" s="53"/>
      <c r="G120" s="53"/>
      <c r="H120" s="53"/>
      <c r="I120" s="9"/>
      <c r="J120" s="53"/>
      <c r="K120" s="53"/>
      <c r="L120" s="53"/>
      <c r="M120" s="53"/>
      <c r="N120" s="53"/>
      <c r="O120" s="53"/>
      <c r="P120" s="53"/>
      <c r="Q120" s="9"/>
      <c r="R120" s="9"/>
      <c r="S120" s="9"/>
      <c r="T120" s="9"/>
      <c r="U120" s="53"/>
      <c r="V120" s="9"/>
      <c r="W120" s="53"/>
      <c r="X120" s="53"/>
      <c r="Y120" s="53"/>
      <c r="Z120" s="53"/>
      <c r="AA120" s="9"/>
      <c r="AB120" s="9"/>
      <c r="AC120" s="9"/>
      <c r="AD120" s="9"/>
      <c r="AE120" s="81"/>
      <c r="AF120" s="81"/>
      <c r="AG120" s="81"/>
      <c r="AH120" s="81"/>
      <c r="AI120" s="53"/>
      <c r="AJ120" s="53"/>
      <c r="AK120" s="53"/>
    </row>
    <row r="121" spans="1:37" ht="15.75" customHeight="1" x14ac:dyDescent="0.25">
      <c r="A121" s="9"/>
      <c r="B121" s="20"/>
      <c r="C121" s="20"/>
      <c r="D121" s="20"/>
      <c r="E121" s="53"/>
      <c r="F121" s="53"/>
      <c r="G121" s="53"/>
      <c r="H121" s="53"/>
      <c r="I121" s="9"/>
      <c r="J121" s="53"/>
      <c r="K121" s="53"/>
      <c r="L121" s="53"/>
      <c r="M121" s="53"/>
      <c r="N121" s="53"/>
      <c r="O121" s="53"/>
      <c r="P121" s="53"/>
      <c r="Q121" s="9"/>
      <c r="R121" s="9"/>
      <c r="S121" s="9"/>
      <c r="T121" s="9"/>
      <c r="U121" s="53"/>
      <c r="V121" s="9"/>
      <c r="W121" s="53"/>
      <c r="X121" s="53"/>
      <c r="Y121" s="53"/>
      <c r="Z121" s="53"/>
      <c r="AA121" s="9"/>
      <c r="AB121" s="9"/>
      <c r="AC121" s="9"/>
      <c r="AD121" s="9"/>
      <c r="AE121" s="81"/>
      <c r="AF121" s="81"/>
      <c r="AG121" s="81"/>
      <c r="AH121" s="81"/>
      <c r="AI121" s="53"/>
      <c r="AJ121" s="53"/>
      <c r="AK121" s="53"/>
    </row>
    <row r="122" spans="1:37" ht="15.75" customHeight="1" x14ac:dyDescent="0.25">
      <c r="A122" s="9"/>
      <c r="B122" s="20"/>
      <c r="C122" s="20"/>
      <c r="D122" s="20"/>
      <c r="E122" s="53"/>
      <c r="F122" s="53"/>
      <c r="G122" s="53"/>
      <c r="H122" s="53"/>
      <c r="I122" s="9"/>
      <c r="J122" s="53"/>
      <c r="K122" s="53"/>
      <c r="L122" s="53"/>
      <c r="M122" s="53"/>
      <c r="N122" s="53"/>
      <c r="O122" s="53"/>
      <c r="P122" s="53"/>
      <c r="Q122" s="9"/>
      <c r="R122" s="9"/>
      <c r="S122" s="9"/>
      <c r="T122" s="9"/>
      <c r="U122" s="53"/>
      <c r="V122" s="9"/>
      <c r="W122" s="53"/>
      <c r="X122" s="53"/>
      <c r="Y122" s="53"/>
      <c r="Z122" s="53"/>
      <c r="AA122" s="9"/>
      <c r="AB122" s="9"/>
      <c r="AC122" s="9"/>
      <c r="AD122" s="9"/>
      <c r="AE122" s="81"/>
      <c r="AF122" s="81"/>
      <c r="AG122" s="81"/>
      <c r="AH122" s="81"/>
      <c r="AI122" s="53"/>
      <c r="AJ122" s="53"/>
      <c r="AK122" s="53"/>
    </row>
    <row r="123" spans="1:37" ht="15.75" customHeight="1" x14ac:dyDescent="0.25">
      <c r="A123" s="9"/>
      <c r="B123" s="20"/>
      <c r="C123" s="20"/>
      <c r="D123" s="20"/>
      <c r="E123" s="53"/>
      <c r="F123" s="53"/>
      <c r="G123" s="53"/>
      <c r="H123" s="53"/>
      <c r="I123" s="9"/>
      <c r="J123" s="53"/>
      <c r="K123" s="53"/>
      <c r="L123" s="53"/>
      <c r="M123" s="53"/>
      <c r="N123" s="53"/>
      <c r="O123" s="53"/>
      <c r="P123" s="53"/>
      <c r="Q123" s="9"/>
      <c r="R123" s="9"/>
      <c r="S123" s="9"/>
      <c r="T123" s="9"/>
      <c r="U123" s="53"/>
      <c r="V123" s="9"/>
      <c r="W123" s="53"/>
      <c r="X123" s="53"/>
      <c r="Y123" s="53"/>
      <c r="Z123" s="53"/>
      <c r="AA123" s="9"/>
      <c r="AB123" s="9"/>
      <c r="AC123" s="9"/>
      <c r="AD123" s="9"/>
      <c r="AE123" s="81"/>
      <c r="AF123" s="81"/>
      <c r="AG123" s="81"/>
      <c r="AH123" s="81"/>
      <c r="AI123" s="53"/>
      <c r="AJ123" s="53"/>
      <c r="AK123" s="53"/>
    </row>
    <row r="124" spans="1:37" ht="15.75" customHeight="1" x14ac:dyDescent="0.25">
      <c r="A124" s="9"/>
      <c r="B124" s="20"/>
      <c r="C124" s="20"/>
      <c r="D124" s="20"/>
      <c r="E124" s="53"/>
      <c r="F124" s="53"/>
      <c r="G124" s="53"/>
      <c r="H124" s="53"/>
      <c r="I124" s="9"/>
      <c r="J124" s="53"/>
      <c r="K124" s="53"/>
      <c r="L124" s="53"/>
      <c r="M124" s="53"/>
      <c r="N124" s="53"/>
      <c r="O124" s="53"/>
      <c r="P124" s="53"/>
      <c r="Q124" s="9"/>
      <c r="R124" s="9"/>
      <c r="S124" s="9"/>
      <c r="T124" s="9"/>
      <c r="U124" s="53"/>
      <c r="V124" s="9"/>
      <c r="W124" s="53"/>
      <c r="X124" s="53"/>
      <c r="Y124" s="53"/>
      <c r="Z124" s="53"/>
      <c r="AA124" s="9"/>
      <c r="AB124" s="9"/>
      <c r="AC124" s="9"/>
      <c r="AD124" s="9"/>
      <c r="AE124" s="81"/>
      <c r="AF124" s="81"/>
      <c r="AG124" s="81"/>
      <c r="AH124" s="81"/>
      <c r="AI124" s="53"/>
      <c r="AJ124" s="53"/>
      <c r="AK124" s="53"/>
    </row>
    <row r="125" spans="1:37" ht="15.75" customHeight="1" x14ac:dyDescent="0.25">
      <c r="A125" s="9"/>
      <c r="B125" s="20"/>
      <c r="C125" s="20"/>
      <c r="D125" s="20"/>
      <c r="E125" s="53"/>
      <c r="F125" s="53"/>
      <c r="G125" s="53"/>
      <c r="H125" s="53"/>
      <c r="I125" s="9"/>
      <c r="J125" s="53"/>
      <c r="K125" s="53"/>
      <c r="L125" s="53"/>
      <c r="M125" s="53"/>
      <c r="N125" s="53"/>
      <c r="O125" s="53"/>
      <c r="P125" s="53"/>
      <c r="Q125" s="9"/>
      <c r="R125" s="9"/>
      <c r="S125" s="9"/>
      <c r="T125" s="9"/>
      <c r="U125" s="53"/>
      <c r="V125" s="9"/>
      <c r="W125" s="53"/>
      <c r="X125" s="53"/>
      <c r="Y125" s="53"/>
      <c r="Z125" s="53"/>
      <c r="AA125" s="9"/>
      <c r="AB125" s="9"/>
      <c r="AC125" s="9"/>
      <c r="AD125" s="9"/>
      <c r="AE125" s="81"/>
      <c r="AF125" s="81"/>
      <c r="AG125" s="81"/>
      <c r="AH125" s="81"/>
      <c r="AI125" s="53"/>
      <c r="AJ125" s="53"/>
      <c r="AK125" s="53"/>
    </row>
    <row r="126" spans="1:37" ht="15.75" customHeight="1" x14ac:dyDescent="0.25">
      <c r="A126" s="9"/>
      <c r="B126" s="20"/>
      <c r="C126" s="20"/>
      <c r="D126" s="20"/>
      <c r="E126" s="53"/>
      <c r="F126" s="53"/>
      <c r="G126" s="53"/>
      <c r="H126" s="53"/>
      <c r="I126" s="9"/>
      <c r="J126" s="53"/>
      <c r="K126" s="53"/>
      <c r="L126" s="53"/>
      <c r="M126" s="53"/>
      <c r="N126" s="53"/>
      <c r="O126" s="53"/>
      <c r="P126" s="53"/>
      <c r="Q126" s="9"/>
      <c r="R126" s="9"/>
      <c r="S126" s="9"/>
      <c r="T126" s="9"/>
      <c r="U126" s="53"/>
      <c r="V126" s="9"/>
      <c r="W126" s="53"/>
      <c r="X126" s="53"/>
      <c r="Y126" s="53"/>
      <c r="Z126" s="53"/>
      <c r="AA126" s="9"/>
      <c r="AB126" s="9"/>
      <c r="AC126" s="9"/>
      <c r="AD126" s="9"/>
      <c r="AE126" s="81"/>
      <c r="AF126" s="81"/>
      <c r="AG126" s="81"/>
      <c r="AH126" s="81"/>
      <c r="AI126" s="53"/>
      <c r="AJ126" s="53"/>
      <c r="AK126" s="53"/>
    </row>
    <row r="127" spans="1:37" ht="15.75" customHeight="1" x14ac:dyDescent="0.25">
      <c r="A127" s="9"/>
      <c r="B127" s="20"/>
      <c r="C127" s="20"/>
      <c r="D127" s="20"/>
      <c r="E127" s="53"/>
      <c r="F127" s="53"/>
      <c r="G127" s="53"/>
      <c r="H127" s="53"/>
      <c r="I127" s="9"/>
      <c r="J127" s="53"/>
      <c r="K127" s="53"/>
      <c r="L127" s="53"/>
      <c r="M127" s="53"/>
      <c r="N127" s="53"/>
      <c r="O127" s="53"/>
      <c r="P127" s="53"/>
      <c r="Q127" s="9"/>
      <c r="R127" s="9"/>
      <c r="S127" s="9"/>
      <c r="T127" s="9"/>
      <c r="U127" s="53"/>
      <c r="V127" s="9"/>
      <c r="W127" s="53"/>
      <c r="X127" s="53"/>
      <c r="Y127" s="53"/>
      <c r="Z127" s="53"/>
      <c r="AA127" s="9"/>
      <c r="AB127" s="9"/>
      <c r="AC127" s="9"/>
      <c r="AD127" s="9"/>
      <c r="AE127" s="81"/>
      <c r="AF127" s="81"/>
      <c r="AG127" s="81"/>
      <c r="AH127" s="81"/>
      <c r="AI127" s="53"/>
      <c r="AJ127" s="53"/>
      <c r="AK127" s="53"/>
    </row>
    <row r="128" spans="1:37" ht="15.75" customHeight="1" x14ac:dyDescent="0.25">
      <c r="A128" s="9"/>
      <c r="B128" s="20"/>
      <c r="C128" s="20"/>
      <c r="D128" s="20"/>
      <c r="E128" s="53"/>
      <c r="F128" s="53"/>
      <c r="G128" s="53"/>
      <c r="H128" s="53"/>
      <c r="I128" s="9"/>
      <c r="J128" s="53"/>
      <c r="K128" s="53"/>
      <c r="L128" s="53"/>
      <c r="M128" s="53"/>
      <c r="N128" s="53"/>
      <c r="O128" s="53"/>
      <c r="P128" s="53"/>
      <c r="Q128" s="9"/>
      <c r="R128" s="9"/>
      <c r="S128" s="9"/>
      <c r="T128" s="9"/>
      <c r="U128" s="53"/>
      <c r="V128" s="9"/>
      <c r="W128" s="53"/>
      <c r="X128" s="53"/>
      <c r="Y128" s="53"/>
      <c r="Z128" s="53"/>
      <c r="AA128" s="9"/>
      <c r="AB128" s="9"/>
      <c r="AC128" s="9"/>
      <c r="AD128" s="9"/>
      <c r="AE128" s="81"/>
      <c r="AF128" s="81"/>
      <c r="AG128" s="81"/>
      <c r="AH128" s="81"/>
      <c r="AI128" s="53"/>
      <c r="AJ128" s="53"/>
      <c r="AK128" s="53"/>
    </row>
    <row r="129" spans="1:37" ht="15.75" customHeight="1" x14ac:dyDescent="0.25">
      <c r="A129" s="9"/>
      <c r="B129" s="20"/>
      <c r="C129" s="20"/>
      <c r="D129" s="20"/>
      <c r="E129" s="53"/>
      <c r="F129" s="53"/>
      <c r="G129" s="53"/>
      <c r="H129" s="53"/>
      <c r="I129" s="9"/>
      <c r="J129" s="53"/>
      <c r="K129" s="53"/>
      <c r="L129" s="53"/>
      <c r="M129" s="53"/>
      <c r="N129" s="53"/>
      <c r="O129" s="53"/>
      <c r="P129" s="53"/>
      <c r="Q129" s="9"/>
      <c r="R129" s="9"/>
      <c r="S129" s="9"/>
      <c r="T129" s="9"/>
      <c r="U129" s="53"/>
      <c r="V129" s="9"/>
      <c r="W129" s="53"/>
      <c r="X129" s="53"/>
      <c r="Y129" s="53"/>
      <c r="Z129" s="53"/>
      <c r="AA129" s="9"/>
      <c r="AB129" s="9"/>
      <c r="AC129" s="9"/>
      <c r="AD129" s="9"/>
      <c r="AE129" s="81"/>
      <c r="AF129" s="81"/>
      <c r="AG129" s="81"/>
      <c r="AH129" s="81"/>
      <c r="AI129" s="53"/>
      <c r="AJ129" s="53"/>
      <c r="AK129" s="53"/>
    </row>
    <row r="130" spans="1:37" ht="15.75" customHeight="1" x14ac:dyDescent="0.25">
      <c r="A130" s="9"/>
      <c r="B130" s="20"/>
      <c r="C130" s="20"/>
      <c r="D130" s="20"/>
      <c r="E130" s="53"/>
      <c r="F130" s="53"/>
      <c r="G130" s="53"/>
      <c r="H130" s="53"/>
      <c r="I130" s="9"/>
      <c r="J130" s="53"/>
      <c r="K130" s="53"/>
      <c r="L130" s="53"/>
      <c r="M130" s="53"/>
      <c r="N130" s="53"/>
      <c r="O130" s="53"/>
      <c r="P130" s="53"/>
      <c r="Q130" s="9"/>
      <c r="R130" s="9"/>
      <c r="S130" s="9"/>
      <c r="T130" s="9"/>
      <c r="U130" s="53"/>
      <c r="V130" s="9"/>
      <c r="W130" s="53"/>
      <c r="X130" s="53"/>
      <c r="Y130" s="53"/>
      <c r="Z130" s="53"/>
      <c r="AA130" s="9"/>
      <c r="AB130" s="9"/>
      <c r="AC130" s="9"/>
      <c r="AD130" s="9"/>
      <c r="AE130" s="81"/>
      <c r="AF130" s="81"/>
      <c r="AG130" s="81"/>
      <c r="AH130" s="81"/>
      <c r="AI130" s="53"/>
      <c r="AJ130" s="53"/>
      <c r="AK130" s="53"/>
    </row>
    <row r="131" spans="1:37" ht="15.75" customHeight="1" x14ac:dyDescent="0.25">
      <c r="A131" s="9"/>
      <c r="B131" s="20"/>
      <c r="C131" s="20"/>
      <c r="D131" s="20"/>
      <c r="E131" s="53"/>
      <c r="F131" s="53"/>
      <c r="G131" s="53"/>
      <c r="H131" s="53"/>
      <c r="I131" s="9"/>
      <c r="J131" s="53"/>
      <c r="K131" s="53"/>
      <c r="L131" s="53"/>
      <c r="M131" s="53"/>
      <c r="N131" s="53"/>
      <c r="O131" s="53"/>
      <c r="P131" s="53"/>
      <c r="Q131" s="9"/>
      <c r="R131" s="9"/>
      <c r="S131" s="9"/>
      <c r="T131" s="9"/>
      <c r="U131" s="53"/>
      <c r="V131" s="9"/>
      <c r="W131" s="53"/>
      <c r="X131" s="53"/>
      <c r="Y131" s="53"/>
      <c r="Z131" s="53"/>
      <c r="AA131" s="9"/>
      <c r="AB131" s="9"/>
      <c r="AC131" s="9"/>
      <c r="AD131" s="9"/>
      <c r="AE131" s="81"/>
      <c r="AF131" s="81"/>
      <c r="AG131" s="81"/>
      <c r="AH131" s="81"/>
      <c r="AI131" s="53"/>
      <c r="AJ131" s="53"/>
      <c r="AK131" s="53"/>
    </row>
    <row r="132" spans="1:37" ht="15.75" customHeight="1" x14ac:dyDescent="0.25">
      <c r="A132" s="9"/>
      <c r="B132" s="20"/>
      <c r="C132" s="20"/>
      <c r="D132" s="20"/>
      <c r="E132" s="53"/>
      <c r="F132" s="53"/>
      <c r="G132" s="53"/>
      <c r="H132" s="53"/>
      <c r="I132" s="9"/>
      <c r="J132" s="53"/>
      <c r="K132" s="53"/>
      <c r="L132" s="53"/>
      <c r="M132" s="53"/>
      <c r="N132" s="53"/>
      <c r="O132" s="53"/>
      <c r="P132" s="53"/>
      <c r="Q132" s="9"/>
      <c r="R132" s="9"/>
      <c r="S132" s="9"/>
      <c r="T132" s="9"/>
      <c r="U132" s="53"/>
      <c r="V132" s="9"/>
      <c r="W132" s="53"/>
      <c r="X132" s="53"/>
      <c r="Y132" s="53"/>
      <c r="Z132" s="53"/>
      <c r="AA132" s="9"/>
      <c r="AB132" s="9"/>
      <c r="AC132" s="9"/>
      <c r="AD132" s="9"/>
      <c r="AE132" s="81"/>
      <c r="AF132" s="81"/>
      <c r="AG132" s="81"/>
      <c r="AH132" s="81"/>
      <c r="AI132" s="53"/>
      <c r="AJ132" s="53"/>
      <c r="AK132" s="53"/>
    </row>
    <row r="133" spans="1:37" ht="15.75" customHeight="1" x14ac:dyDescent="0.25">
      <c r="A133" s="9"/>
      <c r="B133" s="20"/>
      <c r="C133" s="20"/>
      <c r="D133" s="20"/>
      <c r="E133" s="53"/>
      <c r="F133" s="53"/>
      <c r="G133" s="53"/>
      <c r="H133" s="53"/>
      <c r="I133" s="9"/>
      <c r="J133" s="53"/>
      <c r="K133" s="53"/>
      <c r="L133" s="53"/>
      <c r="M133" s="53"/>
      <c r="N133" s="53"/>
      <c r="O133" s="53"/>
      <c r="P133" s="53"/>
      <c r="Q133" s="9"/>
      <c r="R133" s="9"/>
      <c r="S133" s="9"/>
      <c r="T133" s="9"/>
      <c r="U133" s="53"/>
      <c r="V133" s="9"/>
      <c r="W133" s="53"/>
      <c r="X133" s="53"/>
      <c r="Y133" s="53"/>
      <c r="Z133" s="53"/>
      <c r="AA133" s="9"/>
      <c r="AB133" s="9"/>
      <c r="AC133" s="9"/>
      <c r="AD133" s="9"/>
      <c r="AE133" s="81"/>
      <c r="AF133" s="81"/>
      <c r="AG133" s="81"/>
      <c r="AH133" s="81"/>
      <c r="AI133" s="53"/>
      <c r="AJ133" s="53"/>
      <c r="AK133" s="53"/>
    </row>
    <row r="134" spans="1:37" ht="15.75" customHeight="1" x14ac:dyDescent="0.25">
      <c r="A134" s="9"/>
      <c r="B134" s="20"/>
      <c r="C134" s="20"/>
      <c r="D134" s="20"/>
      <c r="E134" s="53"/>
      <c r="F134" s="53"/>
      <c r="G134" s="53"/>
      <c r="H134" s="53"/>
      <c r="I134" s="9"/>
      <c r="J134" s="53"/>
      <c r="K134" s="53"/>
      <c r="L134" s="53"/>
      <c r="M134" s="53"/>
      <c r="N134" s="53"/>
      <c r="O134" s="53"/>
      <c r="P134" s="53"/>
      <c r="Q134" s="9"/>
      <c r="R134" s="9"/>
      <c r="S134" s="9"/>
      <c r="T134" s="9"/>
      <c r="U134" s="53"/>
      <c r="V134" s="9"/>
      <c r="W134" s="53"/>
      <c r="X134" s="53"/>
      <c r="Y134" s="53"/>
      <c r="Z134" s="53"/>
      <c r="AA134" s="9"/>
      <c r="AB134" s="9"/>
      <c r="AC134" s="9"/>
      <c r="AD134" s="9"/>
      <c r="AE134" s="81"/>
      <c r="AF134" s="81"/>
      <c r="AG134" s="81"/>
      <c r="AH134" s="81"/>
      <c r="AI134" s="53"/>
      <c r="AJ134" s="53"/>
      <c r="AK134" s="53"/>
    </row>
    <row r="135" spans="1:37" ht="15.75" customHeight="1" x14ac:dyDescent="0.25">
      <c r="A135" s="9"/>
      <c r="B135" s="20"/>
      <c r="C135" s="20"/>
      <c r="D135" s="20"/>
      <c r="E135" s="53"/>
      <c r="F135" s="53"/>
      <c r="G135" s="53"/>
      <c r="H135" s="53"/>
      <c r="I135" s="9"/>
      <c r="J135" s="53"/>
      <c r="K135" s="53"/>
      <c r="L135" s="53"/>
      <c r="M135" s="53"/>
      <c r="N135" s="53"/>
      <c r="O135" s="53"/>
      <c r="P135" s="53"/>
      <c r="Q135" s="9"/>
      <c r="R135" s="9"/>
      <c r="S135" s="9"/>
      <c r="T135" s="9"/>
      <c r="U135" s="53"/>
      <c r="V135" s="9"/>
      <c r="W135" s="53"/>
      <c r="X135" s="53"/>
      <c r="Y135" s="53"/>
      <c r="Z135" s="53"/>
      <c r="AA135" s="9"/>
      <c r="AB135" s="9"/>
      <c r="AC135" s="9"/>
      <c r="AD135" s="9"/>
      <c r="AE135" s="81"/>
      <c r="AF135" s="81"/>
      <c r="AG135" s="81"/>
      <c r="AH135" s="81"/>
      <c r="AI135" s="53"/>
      <c r="AJ135" s="53"/>
      <c r="AK135" s="53"/>
    </row>
    <row r="136" spans="1:37" ht="15.75" customHeight="1" x14ac:dyDescent="0.25">
      <c r="A136" s="9"/>
      <c r="B136" s="20"/>
      <c r="C136" s="20"/>
      <c r="D136" s="20"/>
      <c r="E136" s="53"/>
      <c r="F136" s="53"/>
      <c r="G136" s="53"/>
      <c r="H136" s="53"/>
      <c r="I136" s="9"/>
      <c r="J136" s="53"/>
      <c r="K136" s="53"/>
      <c r="L136" s="53"/>
      <c r="M136" s="53"/>
      <c r="N136" s="53"/>
      <c r="O136" s="53"/>
      <c r="P136" s="53"/>
      <c r="Q136" s="9"/>
      <c r="R136" s="9"/>
      <c r="S136" s="9"/>
      <c r="T136" s="9"/>
      <c r="U136" s="53"/>
      <c r="V136" s="9"/>
      <c r="W136" s="53"/>
      <c r="X136" s="53"/>
      <c r="Y136" s="53"/>
      <c r="Z136" s="53"/>
      <c r="AA136" s="9"/>
      <c r="AB136" s="9"/>
      <c r="AC136" s="9"/>
      <c r="AD136" s="9"/>
      <c r="AE136" s="81"/>
      <c r="AF136" s="81"/>
      <c r="AG136" s="81"/>
      <c r="AH136" s="81"/>
      <c r="AI136" s="53"/>
      <c r="AJ136" s="53"/>
      <c r="AK136" s="53"/>
    </row>
    <row r="137" spans="1:37" ht="15.75" customHeight="1" x14ac:dyDescent="0.25">
      <c r="A137" s="9"/>
      <c r="B137" s="20"/>
      <c r="C137" s="20"/>
      <c r="D137" s="20"/>
      <c r="E137" s="53"/>
      <c r="F137" s="53"/>
      <c r="G137" s="53"/>
      <c r="H137" s="53"/>
      <c r="I137" s="9"/>
      <c r="J137" s="53"/>
      <c r="K137" s="53"/>
      <c r="L137" s="53"/>
      <c r="M137" s="53"/>
      <c r="N137" s="53"/>
      <c r="O137" s="53"/>
      <c r="P137" s="53"/>
      <c r="Q137" s="9"/>
      <c r="R137" s="9"/>
      <c r="S137" s="9"/>
      <c r="T137" s="9"/>
      <c r="U137" s="53"/>
      <c r="V137" s="9"/>
      <c r="W137" s="53"/>
      <c r="X137" s="53"/>
      <c r="Y137" s="53"/>
      <c r="Z137" s="53"/>
      <c r="AA137" s="9"/>
      <c r="AB137" s="9"/>
      <c r="AC137" s="9"/>
      <c r="AD137" s="9"/>
      <c r="AE137" s="81"/>
      <c r="AF137" s="81"/>
      <c r="AG137" s="81"/>
      <c r="AH137" s="81"/>
      <c r="AI137" s="53"/>
      <c r="AJ137" s="53"/>
      <c r="AK137" s="53"/>
    </row>
    <row r="138" spans="1:37" ht="15.75" customHeight="1" x14ac:dyDescent="0.25">
      <c r="A138" s="9"/>
      <c r="B138" s="20"/>
      <c r="C138" s="20"/>
      <c r="D138" s="20"/>
      <c r="E138" s="53"/>
      <c r="F138" s="53"/>
      <c r="G138" s="53"/>
      <c r="H138" s="53"/>
      <c r="I138" s="9"/>
      <c r="J138" s="53"/>
      <c r="K138" s="53"/>
      <c r="L138" s="53"/>
      <c r="M138" s="53"/>
      <c r="N138" s="53"/>
      <c r="O138" s="53"/>
      <c r="P138" s="53"/>
      <c r="Q138" s="9"/>
      <c r="R138" s="9"/>
      <c r="S138" s="9"/>
      <c r="T138" s="9"/>
      <c r="U138" s="53"/>
      <c r="V138" s="9"/>
      <c r="W138" s="53"/>
      <c r="X138" s="53"/>
      <c r="Y138" s="53"/>
      <c r="Z138" s="53"/>
      <c r="AA138" s="9"/>
      <c r="AB138" s="9"/>
      <c r="AC138" s="9"/>
      <c r="AD138" s="9"/>
      <c r="AE138" s="81"/>
      <c r="AF138" s="81"/>
      <c r="AG138" s="81"/>
      <c r="AH138" s="81"/>
      <c r="AI138" s="53"/>
      <c r="AJ138" s="53"/>
      <c r="AK138" s="53"/>
    </row>
    <row r="139" spans="1:37" ht="15.75" customHeight="1" x14ac:dyDescent="0.25">
      <c r="A139" s="9"/>
      <c r="B139" s="20"/>
      <c r="C139" s="20"/>
      <c r="D139" s="20"/>
      <c r="E139" s="53"/>
      <c r="F139" s="53"/>
      <c r="G139" s="53"/>
      <c r="H139" s="53"/>
      <c r="I139" s="9"/>
      <c r="J139" s="53"/>
      <c r="K139" s="53"/>
      <c r="L139" s="53"/>
      <c r="M139" s="53"/>
      <c r="N139" s="53"/>
      <c r="O139" s="53"/>
      <c r="P139" s="53"/>
      <c r="Q139" s="9"/>
      <c r="R139" s="9"/>
      <c r="S139" s="9"/>
      <c r="T139" s="9"/>
      <c r="U139" s="53"/>
      <c r="V139" s="9"/>
      <c r="W139" s="53"/>
      <c r="X139" s="53"/>
      <c r="Y139" s="53"/>
      <c r="Z139" s="53"/>
      <c r="AA139" s="9"/>
      <c r="AB139" s="9"/>
      <c r="AC139" s="9"/>
      <c r="AD139" s="9"/>
      <c r="AE139" s="81"/>
      <c r="AF139" s="81"/>
      <c r="AG139" s="81"/>
      <c r="AH139" s="81"/>
      <c r="AI139" s="53"/>
      <c r="AJ139" s="53"/>
      <c r="AK139" s="53"/>
    </row>
    <row r="140" spans="1:37" ht="15.75" customHeight="1" x14ac:dyDescent="0.25">
      <c r="A140" s="9"/>
      <c r="B140" s="20"/>
      <c r="C140" s="20"/>
      <c r="D140" s="20"/>
      <c r="E140" s="53"/>
      <c r="F140" s="53"/>
      <c r="G140" s="53"/>
      <c r="H140" s="53"/>
      <c r="I140" s="9"/>
      <c r="J140" s="53"/>
      <c r="K140" s="53"/>
      <c r="L140" s="53"/>
      <c r="M140" s="53"/>
      <c r="N140" s="53"/>
      <c r="O140" s="53"/>
      <c r="P140" s="53"/>
      <c r="Q140" s="9"/>
      <c r="R140" s="9"/>
      <c r="S140" s="9"/>
      <c r="T140" s="9"/>
      <c r="U140" s="53"/>
      <c r="V140" s="9"/>
      <c r="W140" s="53"/>
      <c r="X140" s="53"/>
      <c r="Y140" s="53"/>
      <c r="Z140" s="53"/>
      <c r="AA140" s="9"/>
      <c r="AB140" s="9"/>
      <c r="AC140" s="9"/>
      <c r="AD140" s="9"/>
      <c r="AE140" s="81"/>
      <c r="AF140" s="81"/>
      <c r="AG140" s="81"/>
      <c r="AH140" s="81"/>
      <c r="AI140" s="53"/>
      <c r="AJ140" s="53"/>
      <c r="AK140" s="53"/>
    </row>
    <row r="141" spans="1:37" ht="15.75" customHeight="1" x14ac:dyDescent="0.25">
      <c r="A141" s="9"/>
      <c r="B141" s="20"/>
      <c r="C141" s="20"/>
      <c r="D141" s="20"/>
      <c r="E141" s="53"/>
      <c r="F141" s="53"/>
      <c r="G141" s="53"/>
      <c r="H141" s="53"/>
      <c r="I141" s="9"/>
      <c r="J141" s="53"/>
      <c r="K141" s="53"/>
      <c r="L141" s="53"/>
      <c r="M141" s="53"/>
      <c r="N141" s="53"/>
      <c r="O141" s="53"/>
      <c r="P141" s="53"/>
      <c r="Q141" s="9"/>
      <c r="R141" s="9"/>
      <c r="S141" s="9"/>
      <c r="T141" s="9"/>
      <c r="U141" s="53"/>
      <c r="V141" s="9"/>
      <c r="W141" s="53"/>
      <c r="X141" s="53"/>
      <c r="Y141" s="53"/>
      <c r="Z141" s="53"/>
      <c r="AA141" s="9"/>
      <c r="AB141" s="9"/>
      <c r="AC141" s="9"/>
      <c r="AD141" s="9"/>
      <c r="AE141" s="81"/>
      <c r="AF141" s="81"/>
      <c r="AG141" s="81"/>
      <c r="AH141" s="81"/>
      <c r="AI141" s="53"/>
      <c r="AJ141" s="53"/>
      <c r="AK141" s="53"/>
    </row>
    <row r="142" spans="1:37" ht="15.75" customHeight="1" x14ac:dyDescent="0.25">
      <c r="A142" s="9"/>
      <c r="B142" s="20"/>
      <c r="C142" s="20"/>
      <c r="D142" s="20"/>
      <c r="E142" s="53"/>
      <c r="F142" s="53"/>
      <c r="G142" s="53"/>
      <c r="H142" s="53"/>
      <c r="I142" s="9"/>
      <c r="J142" s="53"/>
      <c r="K142" s="53"/>
      <c r="L142" s="53"/>
      <c r="M142" s="53"/>
      <c r="N142" s="53"/>
      <c r="O142" s="53"/>
      <c r="P142" s="53"/>
      <c r="Q142" s="9"/>
      <c r="R142" s="9"/>
      <c r="S142" s="9"/>
      <c r="T142" s="9"/>
      <c r="U142" s="53"/>
      <c r="V142" s="9"/>
      <c r="W142" s="53"/>
      <c r="X142" s="53"/>
      <c r="Y142" s="53"/>
      <c r="Z142" s="53"/>
      <c r="AA142" s="9"/>
      <c r="AB142" s="9"/>
      <c r="AC142" s="9"/>
      <c r="AD142" s="9"/>
      <c r="AE142" s="81"/>
      <c r="AF142" s="81"/>
      <c r="AG142" s="81"/>
      <c r="AH142" s="81"/>
      <c r="AI142" s="53"/>
      <c r="AJ142" s="53"/>
      <c r="AK142" s="53"/>
    </row>
    <row r="143" spans="1:37" ht="15.75" customHeight="1" x14ac:dyDescent="0.25">
      <c r="A143" s="9"/>
      <c r="B143" s="20"/>
      <c r="C143" s="20"/>
      <c r="D143" s="20"/>
      <c r="E143" s="53"/>
      <c r="F143" s="53"/>
      <c r="G143" s="53"/>
      <c r="H143" s="53"/>
      <c r="I143" s="9"/>
      <c r="J143" s="53"/>
      <c r="K143" s="53"/>
      <c r="L143" s="53"/>
      <c r="M143" s="53"/>
      <c r="N143" s="53"/>
      <c r="O143" s="53"/>
      <c r="P143" s="53"/>
      <c r="Q143" s="9"/>
      <c r="R143" s="9"/>
      <c r="S143" s="9"/>
      <c r="T143" s="9"/>
      <c r="U143" s="53"/>
      <c r="V143" s="9"/>
      <c r="W143" s="53"/>
      <c r="X143" s="53"/>
      <c r="Y143" s="53"/>
      <c r="Z143" s="53"/>
      <c r="AA143" s="9"/>
      <c r="AB143" s="9"/>
      <c r="AC143" s="9"/>
      <c r="AD143" s="9"/>
      <c r="AE143" s="81"/>
      <c r="AF143" s="81"/>
      <c r="AG143" s="81"/>
      <c r="AH143" s="81"/>
      <c r="AI143" s="53"/>
      <c r="AJ143" s="53"/>
      <c r="AK143" s="53"/>
    </row>
    <row r="144" spans="1:37" ht="15.75" customHeight="1" x14ac:dyDescent="0.25">
      <c r="A144" s="9"/>
      <c r="B144" s="20"/>
      <c r="C144" s="20"/>
      <c r="D144" s="20"/>
      <c r="E144" s="53"/>
      <c r="F144" s="53"/>
      <c r="G144" s="53"/>
      <c r="H144" s="53"/>
      <c r="I144" s="9"/>
      <c r="J144" s="53"/>
      <c r="K144" s="53"/>
      <c r="L144" s="53"/>
      <c r="M144" s="53"/>
      <c r="N144" s="53"/>
      <c r="O144" s="53"/>
      <c r="P144" s="53"/>
      <c r="Q144" s="9"/>
      <c r="R144" s="9"/>
      <c r="S144" s="9"/>
      <c r="T144" s="9"/>
      <c r="U144" s="53"/>
      <c r="V144" s="9"/>
      <c r="W144" s="53"/>
      <c r="X144" s="53"/>
      <c r="Y144" s="53"/>
      <c r="Z144" s="53"/>
      <c r="AA144" s="9"/>
      <c r="AB144" s="9"/>
      <c r="AC144" s="9"/>
      <c r="AD144" s="9"/>
      <c r="AE144" s="81"/>
      <c r="AF144" s="81"/>
      <c r="AG144" s="81"/>
      <c r="AH144" s="81"/>
      <c r="AI144" s="53"/>
      <c r="AJ144" s="53"/>
      <c r="AK144" s="53"/>
    </row>
    <row r="145" spans="1:37" ht="15.75" customHeight="1" x14ac:dyDescent="0.25">
      <c r="A145" s="9"/>
      <c r="B145" s="20"/>
      <c r="C145" s="20"/>
      <c r="D145" s="20"/>
      <c r="E145" s="53"/>
      <c r="F145" s="53"/>
      <c r="G145" s="53"/>
      <c r="H145" s="53"/>
      <c r="I145" s="9"/>
      <c r="J145" s="53"/>
      <c r="K145" s="53"/>
      <c r="L145" s="53"/>
      <c r="M145" s="53"/>
      <c r="N145" s="53"/>
      <c r="O145" s="53"/>
      <c r="P145" s="53"/>
      <c r="Q145" s="9"/>
      <c r="R145" s="9"/>
      <c r="S145" s="9"/>
      <c r="T145" s="9"/>
      <c r="U145" s="53"/>
      <c r="V145" s="9"/>
      <c r="W145" s="53"/>
      <c r="X145" s="53"/>
      <c r="Y145" s="53"/>
      <c r="Z145" s="53"/>
      <c r="AA145" s="9"/>
      <c r="AB145" s="9"/>
      <c r="AC145" s="9"/>
      <c r="AD145" s="9"/>
      <c r="AE145" s="81"/>
      <c r="AF145" s="81"/>
      <c r="AG145" s="81"/>
      <c r="AH145" s="81"/>
      <c r="AI145" s="53"/>
      <c r="AJ145" s="53"/>
      <c r="AK145" s="53"/>
    </row>
    <row r="146" spans="1:37" ht="15.75" customHeight="1" x14ac:dyDescent="0.25">
      <c r="A146" s="9"/>
      <c r="B146" s="20"/>
      <c r="C146" s="20"/>
      <c r="D146" s="20"/>
      <c r="E146" s="53"/>
      <c r="F146" s="53"/>
      <c r="G146" s="53"/>
      <c r="H146" s="53"/>
      <c r="I146" s="9"/>
      <c r="J146" s="53"/>
      <c r="K146" s="53"/>
      <c r="L146" s="53"/>
      <c r="M146" s="53"/>
      <c r="N146" s="53"/>
      <c r="O146" s="53"/>
      <c r="P146" s="53"/>
      <c r="Q146" s="9"/>
      <c r="R146" s="9"/>
      <c r="S146" s="9"/>
      <c r="T146" s="9"/>
      <c r="U146" s="53"/>
      <c r="V146" s="9"/>
      <c r="W146" s="53"/>
      <c r="X146" s="53"/>
      <c r="Y146" s="53"/>
      <c r="Z146" s="53"/>
      <c r="AA146" s="9"/>
      <c r="AB146" s="9"/>
      <c r="AC146" s="9"/>
      <c r="AD146" s="9"/>
      <c r="AE146" s="81"/>
      <c r="AF146" s="81"/>
      <c r="AG146" s="81"/>
      <c r="AH146" s="81"/>
      <c r="AI146" s="53"/>
      <c r="AJ146" s="53"/>
      <c r="AK146" s="53"/>
    </row>
    <row r="147" spans="1:37" ht="15.75" customHeight="1" x14ac:dyDescent="0.25">
      <c r="A147" s="9"/>
      <c r="B147" s="20"/>
      <c r="C147" s="20"/>
      <c r="D147" s="20"/>
      <c r="E147" s="53"/>
      <c r="F147" s="53"/>
      <c r="G147" s="53"/>
      <c r="H147" s="53"/>
      <c r="I147" s="9"/>
      <c r="J147" s="53"/>
      <c r="K147" s="53"/>
      <c r="L147" s="53"/>
      <c r="M147" s="53"/>
      <c r="N147" s="53"/>
      <c r="O147" s="53"/>
      <c r="P147" s="53"/>
      <c r="Q147" s="9"/>
      <c r="R147" s="9"/>
      <c r="S147" s="9"/>
      <c r="T147" s="9"/>
      <c r="U147" s="53"/>
      <c r="V147" s="9"/>
      <c r="W147" s="53"/>
      <c r="X147" s="53"/>
      <c r="Y147" s="53"/>
      <c r="Z147" s="53"/>
      <c r="AA147" s="9"/>
      <c r="AB147" s="9"/>
      <c r="AC147" s="9"/>
      <c r="AD147" s="9"/>
      <c r="AE147" s="81"/>
      <c r="AF147" s="81"/>
      <c r="AG147" s="81"/>
      <c r="AH147" s="81"/>
      <c r="AI147" s="53"/>
      <c r="AJ147" s="53"/>
      <c r="AK147" s="53"/>
    </row>
    <row r="148" spans="1:37" ht="15.75" customHeight="1" x14ac:dyDescent="0.25">
      <c r="A148" s="9"/>
      <c r="B148" s="20"/>
      <c r="C148" s="20"/>
      <c r="D148" s="20"/>
      <c r="E148" s="53"/>
      <c r="F148" s="53"/>
      <c r="G148" s="53"/>
      <c r="H148" s="53"/>
      <c r="I148" s="9"/>
      <c r="J148" s="53"/>
      <c r="K148" s="53"/>
      <c r="L148" s="53"/>
      <c r="M148" s="53"/>
      <c r="N148" s="53"/>
      <c r="O148" s="53"/>
      <c r="P148" s="53"/>
      <c r="Q148" s="9"/>
      <c r="R148" s="9"/>
      <c r="S148" s="9"/>
      <c r="T148" s="9"/>
      <c r="U148" s="53"/>
      <c r="V148" s="9"/>
      <c r="W148" s="53"/>
      <c r="X148" s="53"/>
      <c r="Y148" s="53"/>
      <c r="Z148" s="53"/>
      <c r="AA148" s="9"/>
      <c r="AB148" s="9"/>
      <c r="AC148" s="9"/>
      <c r="AD148" s="9"/>
      <c r="AE148" s="81"/>
      <c r="AF148" s="81"/>
      <c r="AG148" s="81"/>
      <c r="AH148" s="81"/>
      <c r="AI148" s="53"/>
      <c r="AJ148" s="53"/>
      <c r="AK148" s="53"/>
    </row>
    <row r="149" spans="1:37" ht="15.75" customHeight="1" x14ac:dyDescent="0.25">
      <c r="A149" s="9"/>
      <c r="B149" s="20"/>
      <c r="C149" s="20"/>
      <c r="D149" s="20"/>
      <c r="E149" s="53"/>
      <c r="F149" s="53"/>
      <c r="G149" s="53"/>
      <c r="H149" s="53"/>
      <c r="I149" s="9"/>
      <c r="J149" s="53"/>
      <c r="K149" s="53"/>
      <c r="L149" s="53"/>
      <c r="M149" s="53"/>
      <c r="N149" s="53"/>
      <c r="O149" s="53"/>
      <c r="P149" s="53"/>
      <c r="Q149" s="9"/>
      <c r="R149" s="9"/>
      <c r="S149" s="9"/>
      <c r="T149" s="9"/>
      <c r="U149" s="53"/>
      <c r="V149" s="9"/>
      <c r="W149" s="53"/>
      <c r="X149" s="53"/>
      <c r="Y149" s="53"/>
      <c r="Z149" s="53"/>
      <c r="AA149" s="9"/>
      <c r="AB149" s="9"/>
      <c r="AC149" s="9"/>
      <c r="AD149" s="9"/>
      <c r="AE149" s="81"/>
      <c r="AF149" s="81"/>
      <c r="AG149" s="81"/>
      <c r="AH149" s="81"/>
      <c r="AI149" s="53"/>
      <c r="AJ149" s="53"/>
      <c r="AK149" s="53"/>
    </row>
    <row r="150" spans="1:37" ht="15.75" customHeight="1" x14ac:dyDescent="0.25">
      <c r="A150" s="9"/>
      <c r="B150" s="20"/>
      <c r="C150" s="20"/>
      <c r="D150" s="20"/>
      <c r="E150" s="53"/>
      <c r="F150" s="53"/>
      <c r="G150" s="53"/>
      <c r="H150" s="53"/>
      <c r="I150" s="9"/>
      <c r="J150" s="53"/>
      <c r="K150" s="53"/>
      <c r="L150" s="53"/>
      <c r="M150" s="53"/>
      <c r="N150" s="53"/>
      <c r="O150" s="53"/>
      <c r="P150" s="53"/>
      <c r="Q150" s="9"/>
      <c r="R150" s="9"/>
      <c r="S150" s="9"/>
      <c r="T150" s="9"/>
      <c r="U150" s="53"/>
      <c r="V150" s="9"/>
      <c r="W150" s="53"/>
      <c r="X150" s="53"/>
      <c r="Y150" s="53"/>
      <c r="Z150" s="53"/>
      <c r="AA150" s="9"/>
      <c r="AB150" s="9"/>
      <c r="AC150" s="9"/>
      <c r="AD150" s="9"/>
      <c r="AE150" s="81"/>
      <c r="AF150" s="81"/>
      <c r="AG150" s="81"/>
      <c r="AH150" s="81"/>
      <c r="AI150" s="53"/>
      <c r="AJ150" s="53"/>
      <c r="AK150" s="53"/>
    </row>
    <row r="151" spans="1:37" ht="15.75" customHeight="1" x14ac:dyDescent="0.25">
      <c r="A151" s="9"/>
      <c r="B151" s="20"/>
      <c r="C151" s="20"/>
      <c r="D151" s="20"/>
      <c r="E151" s="53"/>
      <c r="F151" s="53"/>
      <c r="G151" s="53"/>
      <c r="H151" s="53"/>
      <c r="I151" s="9"/>
      <c r="J151" s="53"/>
      <c r="K151" s="53"/>
      <c r="L151" s="53"/>
      <c r="M151" s="53"/>
      <c r="N151" s="53"/>
      <c r="O151" s="53"/>
      <c r="P151" s="53"/>
      <c r="Q151" s="9"/>
      <c r="R151" s="9"/>
      <c r="S151" s="9"/>
      <c r="T151" s="9"/>
      <c r="U151" s="53"/>
      <c r="V151" s="9"/>
      <c r="W151" s="53"/>
      <c r="X151" s="53"/>
      <c r="Y151" s="53"/>
      <c r="Z151" s="53"/>
      <c r="AA151" s="9"/>
      <c r="AB151" s="9"/>
      <c r="AC151" s="9"/>
      <c r="AD151" s="9"/>
      <c r="AE151" s="81"/>
      <c r="AF151" s="81"/>
      <c r="AG151" s="81"/>
      <c r="AH151" s="81"/>
      <c r="AI151" s="53"/>
      <c r="AJ151" s="53"/>
      <c r="AK151" s="53"/>
    </row>
    <row r="152" spans="1:37" ht="15.75" customHeight="1" x14ac:dyDescent="0.25">
      <c r="A152" s="9"/>
      <c r="B152" s="20"/>
      <c r="C152" s="20"/>
      <c r="D152" s="20"/>
      <c r="E152" s="53"/>
      <c r="F152" s="53"/>
      <c r="G152" s="53"/>
      <c r="H152" s="53"/>
      <c r="I152" s="9"/>
      <c r="J152" s="53"/>
      <c r="K152" s="53"/>
      <c r="L152" s="53"/>
      <c r="M152" s="53"/>
      <c r="N152" s="53"/>
      <c r="O152" s="53"/>
      <c r="P152" s="53"/>
      <c r="Q152" s="9"/>
      <c r="R152" s="9"/>
      <c r="S152" s="9"/>
      <c r="T152" s="9"/>
      <c r="U152" s="53"/>
      <c r="V152" s="9"/>
      <c r="W152" s="53"/>
      <c r="X152" s="53"/>
      <c r="Y152" s="53"/>
      <c r="Z152" s="53"/>
      <c r="AA152" s="9"/>
      <c r="AB152" s="9"/>
      <c r="AC152" s="9"/>
      <c r="AD152" s="9"/>
      <c r="AE152" s="81"/>
      <c r="AF152" s="81"/>
      <c r="AG152" s="81"/>
      <c r="AH152" s="81"/>
      <c r="AI152" s="53"/>
      <c r="AJ152" s="53"/>
      <c r="AK152" s="53"/>
    </row>
    <row r="153" spans="1:37" ht="15.75" customHeight="1" x14ac:dyDescent="0.25">
      <c r="A153" s="9"/>
      <c r="B153" s="20"/>
      <c r="C153" s="20"/>
      <c r="D153" s="20"/>
      <c r="E153" s="53"/>
      <c r="F153" s="53"/>
      <c r="G153" s="53"/>
      <c r="H153" s="53"/>
      <c r="I153" s="9"/>
      <c r="J153" s="53"/>
      <c r="K153" s="53"/>
      <c r="L153" s="53"/>
      <c r="M153" s="53"/>
      <c r="N153" s="53"/>
      <c r="O153" s="53"/>
      <c r="P153" s="53"/>
      <c r="Q153" s="9"/>
      <c r="R153" s="9"/>
      <c r="S153" s="9"/>
      <c r="T153" s="9"/>
      <c r="U153" s="53"/>
      <c r="V153" s="9"/>
      <c r="W153" s="53"/>
      <c r="X153" s="53"/>
      <c r="Y153" s="53"/>
      <c r="Z153" s="53"/>
      <c r="AA153" s="9"/>
      <c r="AB153" s="9"/>
      <c r="AC153" s="9"/>
      <c r="AD153" s="9"/>
      <c r="AE153" s="81"/>
      <c r="AF153" s="81"/>
      <c r="AG153" s="81"/>
      <c r="AH153" s="81"/>
      <c r="AI153" s="53"/>
      <c r="AJ153" s="53"/>
      <c r="AK153" s="53"/>
    </row>
    <row r="154" spans="1:37" ht="15.75" customHeight="1" x14ac:dyDescent="0.25">
      <c r="A154" s="9"/>
      <c r="B154" s="20"/>
      <c r="C154" s="20"/>
      <c r="D154" s="20"/>
      <c r="E154" s="53"/>
      <c r="F154" s="53"/>
      <c r="G154" s="53"/>
      <c r="H154" s="53"/>
      <c r="I154" s="9"/>
      <c r="J154" s="53"/>
      <c r="K154" s="53"/>
      <c r="L154" s="53"/>
      <c r="M154" s="53"/>
      <c r="N154" s="53"/>
      <c r="O154" s="53"/>
      <c r="P154" s="53"/>
      <c r="Q154" s="9"/>
      <c r="R154" s="9"/>
      <c r="S154" s="9"/>
      <c r="T154" s="9"/>
      <c r="U154" s="53"/>
      <c r="V154" s="9"/>
      <c r="W154" s="53"/>
      <c r="X154" s="53"/>
      <c r="Y154" s="53"/>
      <c r="Z154" s="53"/>
      <c r="AA154" s="9"/>
      <c r="AB154" s="9"/>
      <c r="AC154" s="9"/>
      <c r="AD154" s="9"/>
      <c r="AE154" s="81"/>
      <c r="AF154" s="81"/>
      <c r="AG154" s="81"/>
      <c r="AH154" s="81"/>
      <c r="AI154" s="53"/>
      <c r="AJ154" s="53"/>
      <c r="AK154" s="53"/>
    </row>
    <row r="155" spans="1:37" ht="15.75" customHeight="1" x14ac:dyDescent="0.25">
      <c r="A155" s="9"/>
      <c r="B155" s="20"/>
      <c r="C155" s="20"/>
      <c r="D155" s="20"/>
      <c r="E155" s="53"/>
      <c r="F155" s="53"/>
      <c r="G155" s="53"/>
      <c r="H155" s="53"/>
      <c r="I155" s="9"/>
      <c r="J155" s="53"/>
      <c r="K155" s="53"/>
      <c r="L155" s="53"/>
      <c r="M155" s="53"/>
      <c r="N155" s="53"/>
      <c r="O155" s="53"/>
      <c r="P155" s="53"/>
      <c r="Q155" s="9"/>
      <c r="R155" s="9"/>
      <c r="S155" s="9"/>
      <c r="T155" s="9"/>
      <c r="U155" s="53"/>
      <c r="V155" s="9"/>
      <c r="W155" s="53"/>
      <c r="X155" s="53"/>
      <c r="Y155" s="53"/>
      <c r="Z155" s="53"/>
      <c r="AA155" s="9"/>
      <c r="AB155" s="9"/>
      <c r="AC155" s="9"/>
      <c r="AD155" s="9"/>
      <c r="AE155" s="81"/>
      <c r="AF155" s="81"/>
      <c r="AG155" s="81"/>
      <c r="AH155" s="81"/>
      <c r="AI155" s="53"/>
      <c r="AJ155" s="53"/>
      <c r="AK155" s="53"/>
    </row>
    <row r="156" spans="1:37" ht="15.75" customHeight="1" x14ac:dyDescent="0.25">
      <c r="A156" s="9"/>
      <c r="B156" s="20"/>
      <c r="C156" s="20"/>
      <c r="D156" s="20"/>
      <c r="E156" s="53"/>
      <c r="F156" s="53"/>
      <c r="G156" s="53"/>
      <c r="H156" s="53"/>
      <c r="I156" s="9"/>
      <c r="J156" s="53"/>
      <c r="K156" s="53"/>
      <c r="L156" s="53"/>
      <c r="M156" s="53"/>
      <c r="N156" s="53"/>
      <c r="O156" s="53"/>
      <c r="P156" s="53"/>
      <c r="Q156" s="9"/>
      <c r="R156" s="9"/>
      <c r="S156" s="9"/>
      <c r="T156" s="9"/>
      <c r="U156" s="53"/>
      <c r="V156" s="9"/>
      <c r="W156" s="53"/>
      <c r="X156" s="53"/>
      <c r="Y156" s="53"/>
      <c r="Z156" s="53"/>
      <c r="AA156" s="9"/>
      <c r="AB156" s="9"/>
      <c r="AC156" s="9"/>
      <c r="AD156" s="9"/>
      <c r="AE156" s="81"/>
      <c r="AF156" s="81"/>
      <c r="AG156" s="81"/>
      <c r="AH156" s="81"/>
      <c r="AI156" s="53"/>
      <c r="AJ156" s="53"/>
      <c r="AK156" s="53"/>
    </row>
    <row r="157" spans="1:37" ht="15.75" customHeight="1" x14ac:dyDescent="0.25">
      <c r="A157" s="9"/>
      <c r="B157" s="20"/>
      <c r="C157" s="20"/>
      <c r="D157" s="20"/>
      <c r="E157" s="53"/>
      <c r="F157" s="53"/>
      <c r="G157" s="53"/>
      <c r="H157" s="53"/>
      <c r="I157" s="9"/>
      <c r="J157" s="53"/>
      <c r="K157" s="53"/>
      <c r="L157" s="53"/>
      <c r="M157" s="53"/>
      <c r="N157" s="53"/>
      <c r="O157" s="53"/>
      <c r="P157" s="53"/>
      <c r="Q157" s="9"/>
      <c r="R157" s="9"/>
      <c r="S157" s="9"/>
      <c r="T157" s="9"/>
      <c r="U157" s="53"/>
      <c r="V157" s="9"/>
      <c r="W157" s="53"/>
      <c r="X157" s="53"/>
      <c r="Y157" s="53"/>
      <c r="Z157" s="53"/>
      <c r="AA157" s="9"/>
      <c r="AB157" s="9"/>
      <c r="AC157" s="9"/>
      <c r="AD157" s="9"/>
      <c r="AE157" s="81"/>
      <c r="AF157" s="81"/>
      <c r="AG157" s="81"/>
      <c r="AH157" s="81"/>
      <c r="AI157" s="53"/>
      <c r="AJ157" s="53"/>
      <c r="AK157" s="53"/>
    </row>
    <row r="158" spans="1:37" ht="15.75" customHeight="1" x14ac:dyDescent="0.25">
      <c r="A158" s="9"/>
      <c r="B158" s="20"/>
      <c r="C158" s="20"/>
      <c r="D158" s="20"/>
      <c r="E158" s="53"/>
      <c r="F158" s="53"/>
      <c r="G158" s="53"/>
      <c r="H158" s="53"/>
      <c r="I158" s="9"/>
      <c r="J158" s="53"/>
      <c r="K158" s="53"/>
      <c r="L158" s="53"/>
      <c r="M158" s="53"/>
      <c r="N158" s="53"/>
      <c r="O158" s="53"/>
      <c r="P158" s="53"/>
      <c r="Q158" s="9"/>
      <c r="R158" s="9"/>
      <c r="S158" s="9"/>
      <c r="T158" s="9"/>
      <c r="U158" s="53"/>
      <c r="V158" s="9"/>
      <c r="W158" s="53"/>
      <c r="X158" s="53"/>
      <c r="Y158" s="53"/>
      <c r="Z158" s="53"/>
      <c r="AA158" s="9"/>
      <c r="AB158" s="9"/>
      <c r="AC158" s="9"/>
      <c r="AD158" s="9"/>
      <c r="AE158" s="81"/>
      <c r="AF158" s="81"/>
      <c r="AG158" s="81"/>
      <c r="AH158" s="81"/>
      <c r="AI158" s="53"/>
      <c r="AJ158" s="53"/>
      <c r="AK158" s="53"/>
    </row>
    <row r="159" spans="1:37" ht="15.75" customHeight="1" x14ac:dyDescent="0.25">
      <c r="A159" s="9"/>
      <c r="B159" s="20"/>
      <c r="C159" s="20"/>
      <c r="D159" s="20"/>
      <c r="E159" s="53"/>
      <c r="F159" s="53"/>
      <c r="G159" s="53"/>
      <c r="H159" s="53"/>
      <c r="I159" s="9"/>
      <c r="J159" s="53"/>
      <c r="K159" s="53"/>
      <c r="L159" s="53"/>
      <c r="M159" s="53"/>
      <c r="N159" s="53"/>
      <c r="O159" s="53"/>
      <c r="P159" s="53"/>
      <c r="Q159" s="9"/>
      <c r="R159" s="9"/>
      <c r="S159" s="9"/>
      <c r="T159" s="9"/>
      <c r="U159" s="53"/>
      <c r="V159" s="9"/>
      <c r="W159" s="53"/>
      <c r="X159" s="53"/>
      <c r="Y159" s="53"/>
      <c r="Z159" s="53"/>
      <c r="AA159" s="9"/>
      <c r="AB159" s="9"/>
      <c r="AC159" s="9"/>
      <c r="AD159" s="9"/>
      <c r="AE159" s="81"/>
      <c r="AF159" s="81"/>
      <c r="AG159" s="81"/>
      <c r="AH159" s="81"/>
      <c r="AI159" s="53"/>
      <c r="AJ159" s="53"/>
      <c r="AK159" s="53"/>
    </row>
    <row r="160" spans="1:37" ht="15.75" customHeight="1" x14ac:dyDescent="0.25">
      <c r="A160" s="9"/>
      <c r="B160" s="20"/>
      <c r="C160" s="20"/>
      <c r="D160" s="20"/>
      <c r="E160" s="53"/>
      <c r="F160" s="53"/>
      <c r="G160" s="53"/>
      <c r="H160" s="53"/>
      <c r="I160" s="9"/>
      <c r="J160" s="53"/>
      <c r="K160" s="53"/>
      <c r="L160" s="53"/>
      <c r="M160" s="53"/>
      <c r="N160" s="53"/>
      <c r="O160" s="53"/>
      <c r="P160" s="53"/>
      <c r="Q160" s="9"/>
      <c r="R160" s="9"/>
      <c r="S160" s="9"/>
      <c r="T160" s="9"/>
      <c r="U160" s="53"/>
      <c r="V160" s="9"/>
      <c r="W160" s="53"/>
      <c r="X160" s="53"/>
      <c r="Y160" s="53"/>
      <c r="Z160" s="53"/>
      <c r="AA160" s="9"/>
      <c r="AB160" s="9"/>
      <c r="AC160" s="9"/>
      <c r="AD160" s="9"/>
      <c r="AE160" s="81"/>
      <c r="AF160" s="81"/>
      <c r="AG160" s="81"/>
      <c r="AH160" s="81"/>
      <c r="AI160" s="53"/>
      <c r="AJ160" s="53"/>
      <c r="AK160" s="53"/>
    </row>
    <row r="161" spans="1:37" ht="15.75" customHeight="1" x14ac:dyDescent="0.25">
      <c r="A161" s="9"/>
      <c r="B161" s="20"/>
      <c r="C161" s="20"/>
      <c r="D161" s="20"/>
      <c r="E161" s="53"/>
      <c r="F161" s="53"/>
      <c r="G161" s="53"/>
      <c r="H161" s="53"/>
      <c r="I161" s="9"/>
      <c r="J161" s="53"/>
      <c r="K161" s="53"/>
      <c r="L161" s="53"/>
      <c r="M161" s="53"/>
      <c r="N161" s="53"/>
      <c r="O161" s="53"/>
      <c r="P161" s="53"/>
      <c r="Q161" s="9"/>
      <c r="R161" s="9"/>
      <c r="S161" s="9"/>
      <c r="T161" s="9"/>
      <c r="U161" s="53"/>
      <c r="V161" s="9"/>
      <c r="W161" s="53"/>
      <c r="X161" s="53"/>
      <c r="Y161" s="53"/>
      <c r="Z161" s="53"/>
      <c r="AA161" s="9"/>
      <c r="AB161" s="9"/>
      <c r="AC161" s="9"/>
      <c r="AD161" s="9"/>
      <c r="AE161" s="81"/>
      <c r="AF161" s="81"/>
      <c r="AG161" s="81"/>
      <c r="AH161" s="81"/>
      <c r="AI161" s="53"/>
      <c r="AJ161" s="53"/>
      <c r="AK161" s="53"/>
    </row>
    <row r="162" spans="1:37" ht="15.75" customHeight="1" x14ac:dyDescent="0.25">
      <c r="A162" s="9"/>
      <c r="B162" s="20"/>
      <c r="C162" s="20"/>
      <c r="D162" s="20"/>
      <c r="E162" s="53"/>
      <c r="F162" s="53"/>
      <c r="G162" s="53"/>
      <c r="H162" s="53"/>
      <c r="I162" s="9"/>
      <c r="J162" s="53"/>
      <c r="K162" s="53"/>
      <c r="L162" s="53"/>
      <c r="M162" s="53"/>
      <c r="N162" s="53"/>
      <c r="O162" s="53"/>
      <c r="P162" s="53"/>
      <c r="Q162" s="9"/>
      <c r="R162" s="9"/>
      <c r="S162" s="9"/>
      <c r="T162" s="9"/>
      <c r="U162" s="53"/>
      <c r="V162" s="9"/>
      <c r="W162" s="53"/>
      <c r="X162" s="53"/>
      <c r="Y162" s="53"/>
      <c r="Z162" s="53"/>
      <c r="AA162" s="9"/>
      <c r="AB162" s="9"/>
      <c r="AC162" s="9"/>
      <c r="AD162" s="9"/>
      <c r="AE162" s="81"/>
      <c r="AF162" s="81"/>
      <c r="AG162" s="81"/>
      <c r="AH162" s="81"/>
      <c r="AI162" s="53"/>
      <c r="AJ162" s="53"/>
      <c r="AK162" s="53"/>
    </row>
    <row r="163" spans="1:37" ht="15.75" customHeight="1" x14ac:dyDescent="0.25">
      <c r="A163" s="9"/>
      <c r="B163" s="20"/>
      <c r="C163" s="20"/>
      <c r="D163" s="20"/>
      <c r="E163" s="53"/>
      <c r="F163" s="53"/>
      <c r="G163" s="53"/>
      <c r="H163" s="53"/>
      <c r="I163" s="9"/>
      <c r="J163" s="53"/>
      <c r="K163" s="53"/>
      <c r="L163" s="53"/>
      <c r="M163" s="53"/>
      <c r="N163" s="53"/>
      <c r="O163" s="53"/>
      <c r="P163" s="53"/>
      <c r="Q163" s="9"/>
      <c r="R163" s="9"/>
      <c r="S163" s="9"/>
      <c r="T163" s="9"/>
      <c r="U163" s="53"/>
      <c r="V163" s="9"/>
      <c r="W163" s="53"/>
      <c r="X163" s="53"/>
      <c r="Y163" s="53"/>
      <c r="Z163" s="53"/>
      <c r="AA163" s="9"/>
      <c r="AB163" s="9"/>
      <c r="AC163" s="9"/>
      <c r="AD163" s="9"/>
      <c r="AE163" s="81"/>
      <c r="AF163" s="81"/>
      <c r="AG163" s="81"/>
      <c r="AH163" s="81"/>
      <c r="AI163" s="53"/>
      <c r="AJ163" s="53"/>
      <c r="AK163" s="53"/>
    </row>
    <row r="164" spans="1:37" ht="15.75" customHeight="1" x14ac:dyDescent="0.25">
      <c r="A164" s="9"/>
      <c r="B164" s="20"/>
      <c r="C164" s="20"/>
      <c r="D164" s="20"/>
      <c r="E164" s="53"/>
      <c r="F164" s="53"/>
      <c r="G164" s="53"/>
      <c r="H164" s="53"/>
      <c r="I164" s="9"/>
      <c r="J164" s="53"/>
      <c r="K164" s="53"/>
      <c r="L164" s="53"/>
      <c r="M164" s="53"/>
      <c r="N164" s="53"/>
      <c r="O164" s="53"/>
      <c r="P164" s="53"/>
      <c r="Q164" s="9"/>
      <c r="R164" s="9"/>
      <c r="S164" s="9"/>
      <c r="T164" s="9"/>
      <c r="U164" s="53"/>
      <c r="V164" s="9"/>
      <c r="W164" s="53"/>
      <c r="X164" s="53"/>
      <c r="Y164" s="53"/>
      <c r="Z164" s="53"/>
      <c r="AA164" s="9"/>
      <c r="AB164" s="9"/>
      <c r="AC164" s="9"/>
      <c r="AD164" s="9"/>
      <c r="AE164" s="81"/>
      <c r="AF164" s="81"/>
      <c r="AG164" s="81"/>
      <c r="AH164" s="81"/>
      <c r="AI164" s="53"/>
      <c r="AJ164" s="53"/>
      <c r="AK164" s="53"/>
    </row>
    <row r="165" spans="1:37" ht="15.75" customHeight="1" x14ac:dyDescent="0.25">
      <c r="A165" s="9"/>
      <c r="B165" s="20"/>
      <c r="C165" s="20"/>
      <c r="D165" s="20"/>
      <c r="E165" s="53"/>
      <c r="F165" s="53"/>
      <c r="G165" s="53"/>
      <c r="H165" s="53"/>
      <c r="I165" s="9"/>
      <c r="J165" s="53"/>
      <c r="K165" s="53"/>
      <c r="L165" s="53"/>
      <c r="M165" s="53"/>
      <c r="N165" s="53"/>
      <c r="O165" s="53"/>
      <c r="P165" s="53"/>
      <c r="Q165" s="9"/>
      <c r="R165" s="9"/>
      <c r="S165" s="9"/>
      <c r="T165" s="9"/>
      <c r="U165" s="53"/>
      <c r="V165" s="9"/>
      <c r="W165" s="53"/>
      <c r="X165" s="53"/>
      <c r="Y165" s="53"/>
      <c r="Z165" s="53"/>
      <c r="AA165" s="9"/>
      <c r="AB165" s="9"/>
      <c r="AC165" s="9"/>
      <c r="AD165" s="9"/>
      <c r="AE165" s="81"/>
      <c r="AF165" s="81"/>
      <c r="AG165" s="81"/>
      <c r="AH165" s="81"/>
      <c r="AI165" s="53"/>
      <c r="AJ165" s="53"/>
      <c r="AK165" s="53"/>
    </row>
    <row r="166" spans="1:37" ht="15.75" customHeight="1" x14ac:dyDescent="0.25">
      <c r="A166" s="9"/>
      <c r="B166" s="20"/>
      <c r="C166" s="20"/>
      <c r="D166" s="20"/>
      <c r="E166" s="53"/>
      <c r="F166" s="53"/>
      <c r="G166" s="53"/>
      <c r="H166" s="53"/>
      <c r="I166" s="9"/>
      <c r="J166" s="53"/>
      <c r="K166" s="53"/>
      <c r="L166" s="53"/>
      <c r="M166" s="53"/>
      <c r="N166" s="53"/>
      <c r="O166" s="53"/>
      <c r="P166" s="53"/>
      <c r="Q166" s="9"/>
      <c r="R166" s="9"/>
      <c r="S166" s="9"/>
      <c r="T166" s="9"/>
      <c r="U166" s="53"/>
      <c r="V166" s="9"/>
      <c r="W166" s="53"/>
      <c r="X166" s="53"/>
      <c r="Y166" s="53"/>
      <c r="Z166" s="53"/>
      <c r="AA166" s="9"/>
      <c r="AB166" s="9"/>
      <c r="AC166" s="9"/>
      <c r="AD166" s="9"/>
      <c r="AE166" s="81"/>
      <c r="AF166" s="81"/>
      <c r="AG166" s="81"/>
      <c r="AH166" s="81"/>
      <c r="AI166" s="53"/>
      <c r="AJ166" s="53"/>
      <c r="AK166" s="53"/>
    </row>
    <row r="167" spans="1:37" ht="15.75" customHeight="1" x14ac:dyDescent="0.25">
      <c r="A167" s="9"/>
      <c r="B167" s="20"/>
      <c r="C167" s="20"/>
      <c r="D167" s="20"/>
      <c r="E167" s="53"/>
      <c r="F167" s="53"/>
      <c r="G167" s="53"/>
      <c r="H167" s="53"/>
      <c r="I167" s="9"/>
      <c r="J167" s="53"/>
      <c r="K167" s="53"/>
      <c r="L167" s="53"/>
      <c r="M167" s="53"/>
      <c r="N167" s="53"/>
      <c r="O167" s="53"/>
      <c r="P167" s="53"/>
      <c r="Q167" s="9"/>
      <c r="R167" s="9"/>
      <c r="S167" s="9"/>
      <c r="T167" s="9"/>
      <c r="U167" s="53"/>
      <c r="V167" s="9"/>
      <c r="W167" s="53"/>
      <c r="X167" s="53"/>
      <c r="Y167" s="53"/>
      <c r="Z167" s="53"/>
      <c r="AA167" s="9"/>
      <c r="AB167" s="9"/>
      <c r="AC167" s="9"/>
      <c r="AD167" s="9"/>
      <c r="AE167" s="81"/>
      <c r="AF167" s="81"/>
      <c r="AG167" s="81"/>
      <c r="AH167" s="81"/>
      <c r="AI167" s="53"/>
      <c r="AJ167" s="53"/>
      <c r="AK167" s="53"/>
    </row>
    <row r="168" spans="1:37" ht="15.75" customHeight="1" x14ac:dyDescent="0.25">
      <c r="A168" s="9"/>
      <c r="B168" s="20"/>
      <c r="C168" s="20"/>
      <c r="D168" s="20"/>
      <c r="E168" s="53"/>
      <c r="F168" s="53"/>
      <c r="G168" s="53"/>
      <c r="H168" s="53"/>
      <c r="I168" s="9"/>
      <c r="J168" s="53"/>
      <c r="K168" s="53"/>
      <c r="L168" s="53"/>
      <c r="M168" s="53"/>
      <c r="N168" s="53"/>
      <c r="O168" s="53"/>
      <c r="P168" s="53"/>
      <c r="Q168" s="9"/>
      <c r="R168" s="9"/>
      <c r="S168" s="9"/>
      <c r="T168" s="9"/>
      <c r="U168" s="53"/>
      <c r="V168" s="9"/>
      <c r="W168" s="53"/>
      <c r="X168" s="53"/>
      <c r="Y168" s="53"/>
      <c r="Z168" s="53"/>
      <c r="AA168" s="9"/>
      <c r="AB168" s="9"/>
      <c r="AC168" s="9"/>
      <c r="AD168" s="9"/>
      <c r="AE168" s="81"/>
      <c r="AF168" s="81"/>
      <c r="AG168" s="81"/>
      <c r="AH168" s="81"/>
      <c r="AI168" s="53"/>
      <c r="AJ168" s="53"/>
      <c r="AK168" s="53"/>
    </row>
    <row r="169" spans="1:37" ht="15.75" customHeight="1" x14ac:dyDescent="0.25">
      <c r="A169" s="9"/>
      <c r="B169" s="20"/>
      <c r="C169" s="20"/>
      <c r="D169" s="20"/>
      <c r="E169" s="53"/>
      <c r="F169" s="53"/>
      <c r="G169" s="53"/>
      <c r="H169" s="53"/>
      <c r="I169" s="9"/>
      <c r="J169" s="53"/>
      <c r="K169" s="53"/>
      <c r="L169" s="53"/>
      <c r="M169" s="53"/>
      <c r="N169" s="53"/>
      <c r="O169" s="53"/>
      <c r="P169" s="53"/>
      <c r="Q169" s="9"/>
      <c r="R169" s="9"/>
      <c r="S169" s="9"/>
      <c r="T169" s="9"/>
      <c r="U169" s="53"/>
      <c r="V169" s="9"/>
      <c r="W169" s="53"/>
      <c r="X169" s="53"/>
      <c r="Y169" s="53"/>
      <c r="Z169" s="53"/>
      <c r="AA169" s="9"/>
      <c r="AB169" s="9"/>
      <c r="AC169" s="9"/>
      <c r="AD169" s="9"/>
      <c r="AE169" s="81"/>
      <c r="AF169" s="81"/>
      <c r="AG169" s="81"/>
      <c r="AH169" s="81"/>
      <c r="AI169" s="53"/>
      <c r="AJ169" s="53"/>
      <c r="AK169" s="53"/>
    </row>
    <row r="170" spans="1:37" ht="15.75" customHeight="1" x14ac:dyDescent="0.25">
      <c r="A170" s="9"/>
      <c r="B170" s="20"/>
      <c r="C170" s="20"/>
      <c r="D170" s="20"/>
      <c r="E170" s="53"/>
      <c r="F170" s="53"/>
      <c r="G170" s="53"/>
      <c r="H170" s="53"/>
      <c r="I170" s="9"/>
      <c r="J170" s="53"/>
      <c r="K170" s="53"/>
      <c r="L170" s="53"/>
      <c r="M170" s="53"/>
      <c r="N170" s="53"/>
      <c r="O170" s="53"/>
      <c r="P170" s="53"/>
      <c r="Q170" s="9"/>
      <c r="R170" s="9"/>
      <c r="S170" s="9"/>
      <c r="T170" s="9"/>
      <c r="U170" s="53"/>
      <c r="V170" s="9"/>
      <c r="W170" s="53"/>
      <c r="X170" s="53"/>
      <c r="Y170" s="53"/>
      <c r="Z170" s="53"/>
      <c r="AA170" s="9"/>
      <c r="AB170" s="9"/>
      <c r="AC170" s="9"/>
      <c r="AD170" s="9"/>
      <c r="AE170" s="81"/>
      <c r="AF170" s="81"/>
      <c r="AG170" s="81"/>
      <c r="AH170" s="81"/>
      <c r="AI170" s="53"/>
      <c r="AJ170" s="53"/>
      <c r="AK170" s="53"/>
    </row>
    <row r="171" spans="1:37" ht="15.75" customHeight="1" x14ac:dyDescent="0.25">
      <c r="A171" s="9"/>
      <c r="B171" s="20"/>
      <c r="C171" s="20"/>
      <c r="D171" s="20"/>
      <c r="E171" s="53"/>
      <c r="F171" s="53"/>
      <c r="G171" s="53"/>
      <c r="H171" s="53"/>
      <c r="I171" s="9"/>
      <c r="J171" s="53"/>
      <c r="K171" s="53"/>
      <c r="L171" s="53"/>
      <c r="M171" s="53"/>
      <c r="N171" s="53"/>
      <c r="O171" s="53"/>
      <c r="P171" s="53"/>
      <c r="Q171" s="9"/>
      <c r="R171" s="9"/>
      <c r="S171" s="9"/>
      <c r="T171" s="9"/>
      <c r="U171" s="53"/>
      <c r="V171" s="9"/>
      <c r="W171" s="53"/>
      <c r="X171" s="53"/>
      <c r="Y171" s="53"/>
      <c r="Z171" s="53"/>
      <c r="AA171" s="9"/>
      <c r="AB171" s="9"/>
      <c r="AC171" s="9"/>
      <c r="AD171" s="9"/>
      <c r="AE171" s="81"/>
      <c r="AF171" s="81"/>
      <c r="AG171" s="81"/>
      <c r="AH171" s="81"/>
      <c r="AI171" s="53"/>
      <c r="AJ171" s="53"/>
      <c r="AK171" s="53"/>
    </row>
    <row r="172" spans="1:37" ht="15.75" customHeight="1" x14ac:dyDescent="0.25">
      <c r="A172" s="9"/>
      <c r="B172" s="20"/>
      <c r="C172" s="20"/>
      <c r="D172" s="20"/>
      <c r="E172" s="53"/>
      <c r="F172" s="53"/>
      <c r="G172" s="53"/>
      <c r="H172" s="53"/>
      <c r="I172" s="9"/>
      <c r="J172" s="53"/>
      <c r="K172" s="53"/>
      <c r="L172" s="53"/>
      <c r="M172" s="53"/>
      <c r="N172" s="53"/>
      <c r="O172" s="53"/>
      <c r="P172" s="53"/>
      <c r="Q172" s="9"/>
      <c r="R172" s="9"/>
      <c r="S172" s="9"/>
      <c r="T172" s="9"/>
      <c r="U172" s="53"/>
      <c r="V172" s="9"/>
      <c r="W172" s="53"/>
      <c r="X172" s="53"/>
      <c r="Y172" s="53"/>
      <c r="Z172" s="53"/>
      <c r="AA172" s="9"/>
      <c r="AB172" s="9"/>
      <c r="AC172" s="9"/>
      <c r="AD172" s="9"/>
      <c r="AE172" s="81"/>
      <c r="AF172" s="81"/>
      <c r="AG172" s="81"/>
      <c r="AH172" s="81"/>
      <c r="AI172" s="53"/>
      <c r="AJ172" s="53"/>
      <c r="AK172" s="53"/>
    </row>
    <row r="173" spans="1:37" ht="15.75" customHeight="1" x14ac:dyDescent="0.25">
      <c r="A173" s="9"/>
      <c r="B173" s="20"/>
      <c r="C173" s="20"/>
      <c r="D173" s="20"/>
      <c r="E173" s="53"/>
      <c r="F173" s="53"/>
      <c r="G173" s="53"/>
      <c r="H173" s="53"/>
      <c r="I173" s="9"/>
      <c r="J173" s="53"/>
      <c r="K173" s="53"/>
      <c r="L173" s="53"/>
      <c r="M173" s="53"/>
      <c r="N173" s="53"/>
      <c r="O173" s="53"/>
      <c r="P173" s="53"/>
      <c r="Q173" s="9"/>
      <c r="R173" s="9"/>
      <c r="S173" s="9"/>
      <c r="T173" s="9"/>
      <c r="U173" s="53"/>
      <c r="V173" s="9"/>
      <c r="W173" s="53"/>
      <c r="X173" s="53"/>
      <c r="Y173" s="53"/>
      <c r="Z173" s="53"/>
      <c r="AA173" s="9"/>
      <c r="AB173" s="9"/>
      <c r="AC173" s="9"/>
      <c r="AD173" s="9"/>
      <c r="AE173" s="81"/>
      <c r="AF173" s="81"/>
      <c r="AG173" s="81"/>
      <c r="AH173" s="81"/>
      <c r="AI173" s="53"/>
      <c r="AJ173" s="53"/>
      <c r="AK173" s="53"/>
    </row>
    <row r="174" spans="1:37" ht="15.75" customHeight="1" x14ac:dyDescent="0.25">
      <c r="A174" s="9"/>
      <c r="B174" s="20"/>
      <c r="C174" s="20"/>
      <c r="D174" s="20"/>
      <c r="E174" s="53"/>
      <c r="F174" s="53"/>
      <c r="G174" s="53"/>
      <c r="H174" s="53"/>
      <c r="I174" s="9"/>
      <c r="J174" s="53"/>
      <c r="K174" s="53"/>
      <c r="L174" s="53"/>
      <c r="M174" s="53"/>
      <c r="N174" s="53"/>
      <c r="O174" s="53"/>
      <c r="P174" s="53"/>
      <c r="Q174" s="9"/>
      <c r="R174" s="9"/>
      <c r="S174" s="9"/>
      <c r="T174" s="9"/>
      <c r="U174" s="53"/>
      <c r="V174" s="9"/>
      <c r="W174" s="53"/>
      <c r="X174" s="53"/>
      <c r="Y174" s="53"/>
      <c r="Z174" s="53"/>
      <c r="AA174" s="9"/>
      <c r="AB174" s="9"/>
      <c r="AC174" s="9"/>
      <c r="AD174" s="9"/>
      <c r="AE174" s="81"/>
      <c r="AF174" s="81"/>
      <c r="AG174" s="81"/>
      <c r="AH174" s="81"/>
      <c r="AI174" s="53"/>
      <c r="AJ174" s="53"/>
      <c r="AK174" s="53"/>
    </row>
    <row r="175" spans="1:37" ht="15.75" customHeight="1" x14ac:dyDescent="0.25">
      <c r="A175" s="9"/>
      <c r="B175" s="20"/>
      <c r="C175" s="20"/>
      <c r="D175" s="20"/>
      <c r="E175" s="53"/>
      <c r="F175" s="53"/>
      <c r="G175" s="53"/>
      <c r="H175" s="53"/>
      <c r="I175" s="9"/>
      <c r="J175" s="53"/>
      <c r="K175" s="53"/>
      <c r="L175" s="53"/>
      <c r="M175" s="53"/>
      <c r="N175" s="53"/>
      <c r="O175" s="53"/>
      <c r="P175" s="53"/>
      <c r="Q175" s="9"/>
      <c r="R175" s="9"/>
      <c r="S175" s="9"/>
      <c r="T175" s="9"/>
      <c r="U175" s="53"/>
      <c r="V175" s="9"/>
      <c r="W175" s="53"/>
      <c r="X175" s="53"/>
      <c r="Y175" s="53"/>
      <c r="Z175" s="53"/>
      <c r="AA175" s="9"/>
      <c r="AB175" s="9"/>
      <c r="AC175" s="9"/>
      <c r="AD175" s="9"/>
      <c r="AE175" s="81"/>
      <c r="AF175" s="81"/>
      <c r="AG175" s="81"/>
      <c r="AH175" s="81"/>
      <c r="AI175" s="53"/>
      <c r="AJ175" s="53"/>
      <c r="AK175" s="53"/>
    </row>
    <row r="176" spans="1:37" ht="15.75" customHeight="1" x14ac:dyDescent="0.25">
      <c r="A176" s="9"/>
      <c r="B176" s="20"/>
      <c r="C176" s="20"/>
      <c r="D176" s="20"/>
      <c r="E176" s="53"/>
      <c r="F176" s="53"/>
      <c r="G176" s="53"/>
      <c r="H176" s="53"/>
      <c r="I176" s="9"/>
      <c r="J176" s="53"/>
      <c r="K176" s="53"/>
      <c r="L176" s="53"/>
      <c r="M176" s="53"/>
      <c r="N176" s="53"/>
      <c r="O176" s="53"/>
      <c r="P176" s="53"/>
      <c r="Q176" s="9"/>
      <c r="R176" s="9"/>
      <c r="S176" s="9"/>
      <c r="T176" s="9"/>
      <c r="U176" s="53"/>
      <c r="V176" s="9"/>
      <c r="W176" s="53"/>
      <c r="X176" s="53"/>
      <c r="Y176" s="53"/>
      <c r="Z176" s="53"/>
      <c r="AA176" s="9"/>
      <c r="AB176" s="9"/>
      <c r="AC176" s="9"/>
      <c r="AD176" s="9"/>
      <c r="AE176" s="81"/>
      <c r="AF176" s="81"/>
      <c r="AG176" s="81"/>
      <c r="AH176" s="81"/>
      <c r="AI176" s="53"/>
      <c r="AJ176" s="53"/>
      <c r="AK176" s="53"/>
    </row>
    <row r="177" spans="1:37" ht="15.75" customHeight="1" x14ac:dyDescent="0.25">
      <c r="A177" s="9"/>
      <c r="B177" s="20"/>
      <c r="C177" s="20"/>
      <c r="D177" s="20"/>
      <c r="E177" s="53"/>
      <c r="F177" s="53"/>
      <c r="G177" s="53"/>
      <c r="H177" s="53"/>
      <c r="I177" s="9"/>
      <c r="J177" s="53"/>
      <c r="K177" s="53"/>
      <c r="L177" s="53"/>
      <c r="M177" s="53"/>
      <c r="N177" s="53"/>
      <c r="O177" s="53"/>
      <c r="P177" s="53"/>
      <c r="Q177" s="9"/>
      <c r="R177" s="9"/>
      <c r="S177" s="9"/>
      <c r="T177" s="9"/>
      <c r="U177" s="53"/>
      <c r="V177" s="9"/>
      <c r="W177" s="53"/>
      <c r="X177" s="53"/>
      <c r="Y177" s="53"/>
      <c r="Z177" s="53"/>
      <c r="AA177" s="9"/>
      <c r="AB177" s="9"/>
      <c r="AC177" s="9"/>
      <c r="AD177" s="9"/>
      <c r="AE177" s="81"/>
      <c r="AF177" s="81"/>
      <c r="AG177" s="81"/>
      <c r="AH177" s="81"/>
      <c r="AI177" s="53"/>
      <c r="AJ177" s="53"/>
      <c r="AK177" s="53"/>
    </row>
    <row r="178" spans="1:37" ht="15.75" customHeight="1" x14ac:dyDescent="0.25">
      <c r="A178" s="9"/>
      <c r="B178" s="20"/>
      <c r="C178" s="20"/>
      <c r="D178" s="20"/>
      <c r="E178" s="53"/>
      <c r="F178" s="53"/>
      <c r="G178" s="53"/>
      <c r="H178" s="53"/>
      <c r="I178" s="9"/>
      <c r="J178" s="53"/>
      <c r="K178" s="53"/>
      <c r="L178" s="53"/>
      <c r="M178" s="53"/>
      <c r="N178" s="53"/>
      <c r="O178" s="53"/>
      <c r="P178" s="53"/>
      <c r="Q178" s="9"/>
      <c r="R178" s="9"/>
      <c r="S178" s="9"/>
      <c r="T178" s="9"/>
      <c r="U178" s="53"/>
      <c r="V178" s="9"/>
      <c r="W178" s="53"/>
      <c r="X178" s="53"/>
      <c r="Y178" s="53"/>
      <c r="Z178" s="53"/>
      <c r="AA178" s="9"/>
      <c r="AB178" s="9"/>
      <c r="AC178" s="9"/>
      <c r="AD178" s="9"/>
      <c r="AE178" s="81"/>
      <c r="AF178" s="81"/>
      <c r="AG178" s="81"/>
      <c r="AH178" s="81"/>
      <c r="AI178" s="53"/>
      <c r="AJ178" s="53"/>
      <c r="AK178" s="53"/>
    </row>
    <row r="179" spans="1:37" ht="15.75" customHeight="1" x14ac:dyDescent="0.25">
      <c r="A179" s="9"/>
      <c r="B179" s="20"/>
      <c r="C179" s="20"/>
      <c r="D179" s="20"/>
      <c r="E179" s="53"/>
      <c r="F179" s="53"/>
      <c r="G179" s="53"/>
      <c r="H179" s="53"/>
      <c r="I179" s="9"/>
      <c r="J179" s="53"/>
      <c r="K179" s="53"/>
      <c r="L179" s="53"/>
      <c r="M179" s="53"/>
      <c r="N179" s="53"/>
      <c r="O179" s="53"/>
      <c r="P179" s="53"/>
      <c r="Q179" s="9"/>
      <c r="R179" s="9"/>
      <c r="S179" s="9"/>
      <c r="T179" s="9"/>
      <c r="U179" s="53"/>
      <c r="V179" s="9"/>
      <c r="W179" s="53"/>
      <c r="X179" s="53"/>
      <c r="Y179" s="53"/>
      <c r="Z179" s="53"/>
      <c r="AA179" s="9"/>
      <c r="AB179" s="9"/>
      <c r="AC179" s="9"/>
      <c r="AD179" s="9"/>
      <c r="AE179" s="81"/>
      <c r="AF179" s="81"/>
      <c r="AG179" s="81"/>
      <c r="AH179" s="81"/>
      <c r="AI179" s="53"/>
      <c r="AJ179" s="53"/>
      <c r="AK179" s="53"/>
    </row>
    <row r="180" spans="1:37" ht="15.75" customHeight="1" x14ac:dyDescent="0.25">
      <c r="A180" s="9"/>
      <c r="B180" s="20"/>
      <c r="C180" s="20"/>
      <c r="D180" s="20"/>
      <c r="E180" s="53"/>
      <c r="F180" s="53"/>
      <c r="G180" s="53"/>
      <c r="H180" s="53"/>
      <c r="I180" s="9"/>
      <c r="J180" s="53"/>
      <c r="K180" s="53"/>
      <c r="L180" s="53"/>
      <c r="M180" s="53"/>
      <c r="N180" s="53"/>
      <c r="O180" s="53"/>
      <c r="P180" s="53"/>
      <c r="Q180" s="9"/>
      <c r="R180" s="9"/>
      <c r="S180" s="9"/>
      <c r="T180" s="9"/>
      <c r="U180" s="53"/>
      <c r="V180" s="9"/>
      <c r="W180" s="53"/>
      <c r="X180" s="53"/>
      <c r="Y180" s="53"/>
      <c r="Z180" s="53"/>
      <c r="AA180" s="9"/>
      <c r="AB180" s="9"/>
      <c r="AC180" s="9"/>
      <c r="AD180" s="9"/>
      <c r="AE180" s="81"/>
      <c r="AF180" s="81"/>
      <c r="AG180" s="81"/>
      <c r="AH180" s="81"/>
      <c r="AI180" s="53"/>
      <c r="AJ180" s="53"/>
      <c r="AK180" s="53"/>
    </row>
    <row r="181" spans="1:37" ht="15.75" customHeight="1" x14ac:dyDescent="0.25">
      <c r="A181" s="9"/>
      <c r="B181" s="20"/>
      <c r="C181" s="20"/>
      <c r="D181" s="20"/>
      <c r="E181" s="53"/>
      <c r="F181" s="53"/>
      <c r="G181" s="53"/>
      <c r="H181" s="53"/>
      <c r="I181" s="9"/>
      <c r="J181" s="53"/>
      <c r="K181" s="53"/>
      <c r="L181" s="53"/>
      <c r="M181" s="53"/>
      <c r="N181" s="53"/>
      <c r="O181" s="53"/>
      <c r="P181" s="53"/>
      <c r="Q181" s="9"/>
      <c r="R181" s="9"/>
      <c r="S181" s="9"/>
      <c r="T181" s="9"/>
      <c r="U181" s="53"/>
      <c r="V181" s="9"/>
      <c r="W181" s="53"/>
      <c r="X181" s="53"/>
      <c r="Y181" s="53"/>
      <c r="Z181" s="53"/>
      <c r="AA181" s="9"/>
      <c r="AB181" s="9"/>
      <c r="AC181" s="9"/>
      <c r="AD181" s="9"/>
      <c r="AE181" s="81"/>
      <c r="AF181" s="81"/>
      <c r="AG181" s="81"/>
      <c r="AH181" s="81"/>
      <c r="AI181" s="53"/>
      <c r="AJ181" s="53"/>
      <c r="AK181" s="53"/>
    </row>
    <row r="182" spans="1:37" ht="15.75" customHeight="1" x14ac:dyDescent="0.25">
      <c r="A182" s="9"/>
      <c r="B182" s="20"/>
      <c r="C182" s="20"/>
      <c r="D182" s="20"/>
      <c r="E182" s="53"/>
      <c r="F182" s="53"/>
      <c r="G182" s="53"/>
      <c r="H182" s="53"/>
      <c r="I182" s="9"/>
      <c r="J182" s="53"/>
      <c r="K182" s="53"/>
      <c r="L182" s="53"/>
      <c r="M182" s="53"/>
      <c r="N182" s="53"/>
      <c r="O182" s="53"/>
      <c r="P182" s="53"/>
      <c r="Q182" s="9"/>
      <c r="R182" s="9"/>
      <c r="S182" s="9"/>
      <c r="T182" s="9"/>
      <c r="U182" s="53"/>
      <c r="V182" s="9"/>
      <c r="W182" s="53"/>
      <c r="X182" s="53"/>
      <c r="Y182" s="53"/>
      <c r="Z182" s="53"/>
      <c r="AA182" s="9"/>
      <c r="AB182" s="9"/>
      <c r="AC182" s="9"/>
      <c r="AD182" s="9"/>
      <c r="AE182" s="81"/>
      <c r="AF182" s="81"/>
      <c r="AG182" s="81"/>
      <c r="AH182" s="81"/>
      <c r="AI182" s="53"/>
      <c r="AJ182" s="53"/>
      <c r="AK182" s="53"/>
    </row>
    <row r="183" spans="1:37" ht="15.75" customHeight="1" x14ac:dyDescent="0.25">
      <c r="A183" s="9"/>
      <c r="B183" s="20"/>
      <c r="C183" s="20"/>
      <c r="D183" s="20"/>
      <c r="E183" s="53"/>
      <c r="F183" s="53"/>
      <c r="G183" s="53"/>
      <c r="H183" s="53"/>
      <c r="I183" s="9"/>
      <c r="J183" s="53"/>
      <c r="K183" s="53"/>
      <c r="L183" s="53"/>
      <c r="M183" s="53"/>
      <c r="N183" s="53"/>
      <c r="O183" s="53"/>
      <c r="P183" s="53"/>
      <c r="Q183" s="9"/>
      <c r="R183" s="9"/>
      <c r="S183" s="9"/>
      <c r="T183" s="9"/>
      <c r="U183" s="53"/>
      <c r="V183" s="9"/>
      <c r="W183" s="53"/>
      <c r="X183" s="53"/>
      <c r="Y183" s="53"/>
      <c r="Z183" s="53"/>
      <c r="AA183" s="9"/>
      <c r="AB183" s="9"/>
      <c r="AC183" s="9"/>
      <c r="AD183" s="9"/>
      <c r="AE183" s="81"/>
      <c r="AF183" s="81"/>
      <c r="AG183" s="81"/>
      <c r="AH183" s="81"/>
      <c r="AI183" s="53"/>
      <c r="AJ183" s="53"/>
      <c r="AK183" s="53"/>
    </row>
    <row r="184" spans="1:37" ht="15.75" customHeight="1" x14ac:dyDescent="0.25">
      <c r="A184" s="9"/>
      <c r="B184" s="20"/>
      <c r="C184" s="20"/>
      <c r="D184" s="20"/>
      <c r="E184" s="53"/>
      <c r="F184" s="53"/>
      <c r="G184" s="53"/>
      <c r="H184" s="53"/>
      <c r="I184" s="9"/>
      <c r="J184" s="53"/>
      <c r="K184" s="53"/>
      <c r="L184" s="53"/>
      <c r="M184" s="53"/>
      <c r="N184" s="53"/>
      <c r="O184" s="53"/>
      <c r="P184" s="53"/>
      <c r="Q184" s="9"/>
      <c r="R184" s="9"/>
      <c r="S184" s="9"/>
      <c r="T184" s="9"/>
      <c r="U184" s="53"/>
      <c r="V184" s="9"/>
      <c r="W184" s="53"/>
      <c r="X184" s="53"/>
      <c r="Y184" s="53"/>
      <c r="Z184" s="53"/>
      <c r="AA184" s="9"/>
      <c r="AB184" s="9"/>
      <c r="AC184" s="9"/>
      <c r="AD184" s="9"/>
      <c r="AE184" s="81"/>
      <c r="AF184" s="81"/>
      <c r="AG184" s="81"/>
      <c r="AH184" s="81"/>
      <c r="AI184" s="53"/>
      <c r="AJ184" s="53"/>
      <c r="AK184" s="53"/>
    </row>
    <row r="185" spans="1:37" ht="15.75" customHeight="1" x14ac:dyDescent="0.25">
      <c r="A185" s="9"/>
      <c r="B185" s="20"/>
      <c r="C185" s="20"/>
      <c r="D185" s="20"/>
      <c r="E185" s="53"/>
      <c r="F185" s="53"/>
      <c r="G185" s="53"/>
      <c r="H185" s="53"/>
      <c r="I185" s="9"/>
      <c r="J185" s="53"/>
      <c r="K185" s="53"/>
      <c r="L185" s="53"/>
      <c r="M185" s="53"/>
      <c r="N185" s="53"/>
      <c r="O185" s="53"/>
      <c r="P185" s="53"/>
      <c r="Q185" s="9"/>
      <c r="R185" s="9"/>
      <c r="S185" s="9"/>
      <c r="T185" s="9"/>
      <c r="U185" s="53"/>
      <c r="V185" s="9"/>
      <c r="W185" s="53"/>
      <c r="X185" s="53"/>
      <c r="Y185" s="53"/>
      <c r="Z185" s="53"/>
      <c r="AA185" s="9"/>
      <c r="AB185" s="9"/>
      <c r="AC185" s="9"/>
      <c r="AD185" s="9"/>
      <c r="AE185" s="81"/>
      <c r="AF185" s="81"/>
      <c r="AG185" s="81"/>
      <c r="AH185" s="81"/>
      <c r="AI185" s="53"/>
      <c r="AJ185" s="53"/>
      <c r="AK185" s="53"/>
    </row>
    <row r="186" spans="1:37" ht="15.75" customHeight="1" x14ac:dyDescent="0.25">
      <c r="A186" s="9"/>
      <c r="B186" s="20"/>
      <c r="C186" s="20"/>
      <c r="D186" s="20"/>
      <c r="E186" s="53"/>
      <c r="F186" s="53"/>
      <c r="G186" s="53"/>
      <c r="H186" s="53"/>
      <c r="I186" s="9"/>
      <c r="J186" s="53"/>
      <c r="K186" s="53"/>
      <c r="L186" s="53"/>
      <c r="M186" s="53"/>
      <c r="N186" s="53"/>
      <c r="O186" s="53"/>
      <c r="P186" s="53"/>
      <c r="Q186" s="9"/>
      <c r="R186" s="9"/>
      <c r="S186" s="9"/>
      <c r="T186" s="9"/>
      <c r="U186" s="53"/>
      <c r="V186" s="9"/>
      <c r="W186" s="53"/>
      <c r="X186" s="53"/>
      <c r="Y186" s="53"/>
      <c r="Z186" s="53"/>
      <c r="AA186" s="9"/>
      <c r="AB186" s="9"/>
      <c r="AC186" s="9"/>
      <c r="AD186" s="9"/>
      <c r="AE186" s="81"/>
      <c r="AF186" s="81"/>
      <c r="AG186" s="81"/>
      <c r="AH186" s="81"/>
      <c r="AI186" s="53"/>
      <c r="AJ186" s="53"/>
      <c r="AK186" s="53"/>
    </row>
    <row r="187" spans="1:37" ht="15.75" customHeight="1" x14ac:dyDescent="0.25">
      <c r="A187" s="9"/>
      <c r="B187" s="20"/>
      <c r="C187" s="20"/>
      <c r="D187" s="20"/>
      <c r="E187" s="53"/>
      <c r="F187" s="53"/>
      <c r="G187" s="53"/>
      <c r="H187" s="53"/>
      <c r="I187" s="9"/>
      <c r="J187" s="53"/>
      <c r="K187" s="53"/>
      <c r="L187" s="53"/>
      <c r="M187" s="53"/>
      <c r="N187" s="53"/>
      <c r="O187" s="53"/>
      <c r="P187" s="53"/>
      <c r="Q187" s="9"/>
      <c r="R187" s="9"/>
      <c r="S187" s="9"/>
      <c r="T187" s="9"/>
      <c r="U187" s="53"/>
      <c r="V187" s="9"/>
      <c r="W187" s="53"/>
      <c r="X187" s="53"/>
      <c r="Y187" s="53"/>
      <c r="Z187" s="53"/>
      <c r="AA187" s="9"/>
      <c r="AB187" s="9"/>
      <c r="AC187" s="9"/>
      <c r="AD187" s="9"/>
      <c r="AE187" s="81"/>
      <c r="AF187" s="81"/>
      <c r="AG187" s="81"/>
      <c r="AH187" s="81"/>
      <c r="AI187" s="53"/>
      <c r="AJ187" s="53"/>
      <c r="AK187" s="53"/>
    </row>
    <row r="188" spans="1:37" ht="15.75" customHeight="1" x14ac:dyDescent="0.25">
      <c r="A188" s="9"/>
      <c r="B188" s="20"/>
      <c r="C188" s="20"/>
      <c r="D188" s="20"/>
      <c r="E188" s="53"/>
      <c r="F188" s="53"/>
      <c r="G188" s="53"/>
      <c r="H188" s="53"/>
      <c r="I188" s="9"/>
      <c r="J188" s="53"/>
      <c r="K188" s="53"/>
      <c r="L188" s="53"/>
      <c r="M188" s="53"/>
      <c r="N188" s="53"/>
      <c r="O188" s="53"/>
      <c r="P188" s="53"/>
      <c r="Q188" s="9"/>
      <c r="R188" s="9"/>
      <c r="S188" s="9"/>
      <c r="T188" s="9"/>
      <c r="U188" s="53"/>
      <c r="V188" s="9"/>
      <c r="W188" s="53"/>
      <c r="X188" s="53"/>
      <c r="Y188" s="53"/>
      <c r="Z188" s="53"/>
      <c r="AA188" s="9"/>
      <c r="AB188" s="9"/>
      <c r="AC188" s="9"/>
      <c r="AD188" s="9"/>
      <c r="AE188" s="81"/>
      <c r="AF188" s="81"/>
      <c r="AG188" s="81"/>
      <c r="AH188" s="81"/>
      <c r="AI188" s="53"/>
      <c r="AJ188" s="53"/>
      <c r="AK188" s="53"/>
    </row>
    <row r="189" spans="1:37" ht="15.75" customHeight="1" x14ac:dyDescent="0.25">
      <c r="A189" s="9"/>
      <c r="B189" s="20"/>
      <c r="C189" s="20"/>
      <c r="D189" s="20"/>
      <c r="E189" s="53"/>
      <c r="F189" s="53"/>
      <c r="G189" s="53"/>
      <c r="H189" s="53"/>
      <c r="I189" s="9"/>
      <c r="J189" s="53"/>
      <c r="K189" s="53"/>
      <c r="L189" s="53"/>
      <c r="M189" s="53"/>
      <c r="N189" s="53"/>
      <c r="O189" s="53"/>
      <c r="P189" s="53"/>
      <c r="Q189" s="9"/>
      <c r="R189" s="9"/>
      <c r="S189" s="9"/>
      <c r="T189" s="9"/>
      <c r="U189" s="53"/>
      <c r="V189" s="9"/>
      <c r="W189" s="53"/>
      <c r="X189" s="53"/>
      <c r="Y189" s="53"/>
      <c r="Z189" s="53"/>
      <c r="AA189" s="9"/>
      <c r="AB189" s="9"/>
      <c r="AC189" s="9"/>
      <c r="AD189" s="9"/>
      <c r="AE189" s="81"/>
      <c r="AF189" s="81"/>
      <c r="AG189" s="81"/>
      <c r="AH189" s="81"/>
      <c r="AI189" s="53"/>
      <c r="AJ189" s="53"/>
      <c r="AK189" s="53"/>
    </row>
    <row r="190" spans="1:37" ht="15.75" customHeight="1" x14ac:dyDescent="0.25">
      <c r="A190" s="9"/>
      <c r="B190" s="20"/>
      <c r="C190" s="20"/>
      <c r="D190" s="20"/>
      <c r="E190" s="53"/>
      <c r="F190" s="53"/>
      <c r="G190" s="53"/>
      <c r="H190" s="53"/>
      <c r="I190" s="9"/>
      <c r="J190" s="53"/>
      <c r="K190" s="53"/>
      <c r="L190" s="53"/>
      <c r="M190" s="53"/>
      <c r="N190" s="53"/>
      <c r="O190" s="53"/>
      <c r="P190" s="53"/>
      <c r="Q190" s="9"/>
      <c r="R190" s="9"/>
      <c r="S190" s="9"/>
      <c r="T190" s="9"/>
      <c r="U190" s="53"/>
      <c r="V190" s="9"/>
      <c r="W190" s="53"/>
      <c r="X190" s="53"/>
      <c r="Y190" s="53"/>
      <c r="Z190" s="53"/>
      <c r="AA190" s="9"/>
      <c r="AB190" s="9"/>
      <c r="AC190" s="9"/>
      <c r="AD190" s="9"/>
      <c r="AE190" s="81"/>
      <c r="AF190" s="81"/>
      <c r="AG190" s="81"/>
      <c r="AH190" s="81"/>
      <c r="AI190" s="53"/>
      <c r="AJ190" s="53"/>
      <c r="AK190" s="53"/>
    </row>
    <row r="191" spans="1:37" ht="15.75" customHeight="1" x14ac:dyDescent="0.25">
      <c r="A191" s="9"/>
      <c r="B191" s="20"/>
      <c r="C191" s="20"/>
      <c r="D191" s="20"/>
      <c r="E191" s="53"/>
      <c r="F191" s="53"/>
      <c r="G191" s="53"/>
      <c r="H191" s="53"/>
      <c r="I191" s="9"/>
      <c r="J191" s="53"/>
      <c r="K191" s="53"/>
      <c r="L191" s="53"/>
      <c r="M191" s="53"/>
      <c r="N191" s="53"/>
      <c r="O191" s="53"/>
      <c r="P191" s="53"/>
      <c r="Q191" s="9"/>
      <c r="R191" s="9"/>
      <c r="S191" s="9"/>
      <c r="T191" s="9"/>
      <c r="U191" s="53"/>
      <c r="V191" s="9"/>
      <c r="W191" s="53"/>
      <c r="X191" s="53"/>
      <c r="Y191" s="53"/>
      <c r="Z191" s="53"/>
      <c r="AA191" s="9"/>
      <c r="AB191" s="9"/>
      <c r="AC191" s="9"/>
      <c r="AD191" s="9"/>
      <c r="AE191" s="81"/>
      <c r="AF191" s="81"/>
      <c r="AG191" s="81"/>
      <c r="AH191" s="81"/>
      <c r="AI191" s="53"/>
      <c r="AJ191" s="53"/>
      <c r="AK191" s="53"/>
    </row>
    <row r="192" spans="1:37" ht="15.75" customHeight="1" x14ac:dyDescent="0.25">
      <c r="A192" s="9"/>
      <c r="B192" s="20"/>
      <c r="C192" s="20"/>
      <c r="D192" s="20"/>
      <c r="E192" s="53"/>
      <c r="F192" s="53"/>
      <c r="G192" s="53"/>
      <c r="H192" s="53"/>
      <c r="I192" s="9"/>
      <c r="J192" s="53"/>
      <c r="K192" s="53"/>
      <c r="L192" s="53"/>
      <c r="M192" s="53"/>
      <c r="N192" s="53"/>
      <c r="O192" s="53"/>
      <c r="P192" s="53"/>
      <c r="Q192" s="9"/>
      <c r="R192" s="9"/>
      <c r="S192" s="9"/>
      <c r="T192" s="9"/>
      <c r="U192" s="53"/>
      <c r="V192" s="9"/>
      <c r="W192" s="53"/>
      <c r="X192" s="53"/>
      <c r="Y192" s="53"/>
      <c r="Z192" s="53"/>
      <c r="AA192" s="9"/>
      <c r="AB192" s="9"/>
      <c r="AC192" s="9"/>
      <c r="AD192" s="9"/>
      <c r="AE192" s="81"/>
      <c r="AF192" s="81"/>
      <c r="AG192" s="81"/>
      <c r="AH192" s="81"/>
      <c r="AI192" s="53"/>
      <c r="AJ192" s="53"/>
      <c r="AK192" s="53"/>
    </row>
    <row r="193" spans="1:37" ht="15.75" customHeight="1" x14ac:dyDescent="0.25">
      <c r="A193" s="9"/>
      <c r="B193" s="20"/>
      <c r="C193" s="20"/>
      <c r="D193" s="20"/>
      <c r="E193" s="53"/>
      <c r="F193" s="53"/>
      <c r="G193" s="53"/>
      <c r="H193" s="53"/>
      <c r="I193" s="9"/>
      <c r="J193" s="53"/>
      <c r="K193" s="53"/>
      <c r="L193" s="53"/>
      <c r="M193" s="53"/>
      <c r="N193" s="53"/>
      <c r="O193" s="53"/>
      <c r="P193" s="53"/>
      <c r="Q193" s="9"/>
      <c r="R193" s="9"/>
      <c r="S193" s="9"/>
      <c r="T193" s="9"/>
      <c r="U193" s="53"/>
      <c r="V193" s="9"/>
      <c r="W193" s="53"/>
      <c r="X193" s="53"/>
      <c r="Y193" s="53"/>
      <c r="Z193" s="53"/>
      <c r="AA193" s="9"/>
      <c r="AB193" s="9"/>
      <c r="AC193" s="9"/>
      <c r="AD193" s="9"/>
      <c r="AE193" s="81"/>
      <c r="AF193" s="81"/>
      <c r="AG193" s="81"/>
      <c r="AH193" s="81"/>
      <c r="AI193" s="53"/>
      <c r="AJ193" s="53"/>
      <c r="AK193" s="53"/>
    </row>
    <row r="194" spans="1:37" ht="15.75" customHeight="1" x14ac:dyDescent="0.25">
      <c r="A194" s="9"/>
      <c r="B194" s="20"/>
      <c r="C194" s="20"/>
      <c r="D194" s="20"/>
      <c r="E194" s="53"/>
      <c r="F194" s="53"/>
      <c r="G194" s="53"/>
      <c r="H194" s="53"/>
      <c r="I194" s="9"/>
      <c r="J194" s="53"/>
      <c r="K194" s="53"/>
      <c r="L194" s="53"/>
      <c r="M194" s="53"/>
      <c r="N194" s="53"/>
      <c r="O194" s="53"/>
      <c r="P194" s="53"/>
      <c r="Q194" s="9"/>
      <c r="R194" s="9"/>
      <c r="S194" s="9"/>
      <c r="T194" s="9"/>
      <c r="U194" s="53"/>
      <c r="V194" s="9"/>
      <c r="W194" s="53"/>
      <c r="X194" s="53"/>
      <c r="Y194" s="53"/>
      <c r="Z194" s="53"/>
      <c r="AA194" s="9"/>
      <c r="AB194" s="9"/>
      <c r="AC194" s="9"/>
      <c r="AD194" s="9"/>
      <c r="AE194" s="81"/>
      <c r="AF194" s="81"/>
      <c r="AG194" s="81"/>
      <c r="AH194" s="81"/>
      <c r="AI194" s="53"/>
      <c r="AJ194" s="53"/>
      <c r="AK194" s="53"/>
    </row>
    <row r="195" spans="1:37" ht="15.75" customHeight="1" x14ac:dyDescent="0.25">
      <c r="A195" s="9"/>
      <c r="B195" s="20"/>
      <c r="C195" s="20"/>
      <c r="D195" s="20"/>
      <c r="E195" s="53"/>
      <c r="F195" s="53"/>
      <c r="G195" s="53"/>
      <c r="H195" s="53"/>
      <c r="I195" s="9"/>
      <c r="J195" s="53"/>
      <c r="K195" s="53"/>
      <c r="L195" s="53"/>
      <c r="M195" s="53"/>
      <c r="N195" s="53"/>
      <c r="O195" s="53"/>
      <c r="P195" s="53"/>
      <c r="Q195" s="9"/>
      <c r="R195" s="9"/>
      <c r="S195" s="9"/>
      <c r="T195" s="9"/>
      <c r="U195" s="53"/>
      <c r="V195" s="9"/>
      <c r="W195" s="53"/>
      <c r="X195" s="53"/>
      <c r="Y195" s="53"/>
      <c r="Z195" s="53"/>
      <c r="AA195" s="9"/>
      <c r="AB195" s="9"/>
      <c r="AC195" s="9"/>
      <c r="AD195" s="9"/>
      <c r="AE195" s="81"/>
      <c r="AF195" s="81"/>
      <c r="AG195" s="81"/>
      <c r="AH195" s="81"/>
      <c r="AI195" s="53"/>
      <c r="AJ195" s="53"/>
      <c r="AK195" s="53"/>
    </row>
    <row r="196" spans="1:37" ht="15.75" customHeight="1" x14ac:dyDescent="0.25">
      <c r="A196" s="9"/>
      <c r="B196" s="20"/>
      <c r="C196" s="20"/>
      <c r="D196" s="20"/>
      <c r="E196" s="53"/>
      <c r="F196" s="53"/>
      <c r="G196" s="53"/>
      <c r="H196" s="53"/>
      <c r="I196" s="9"/>
      <c r="J196" s="53"/>
      <c r="K196" s="53"/>
      <c r="L196" s="53"/>
      <c r="M196" s="53"/>
      <c r="N196" s="53"/>
      <c r="O196" s="53"/>
      <c r="P196" s="53"/>
      <c r="Q196" s="9"/>
      <c r="R196" s="9"/>
      <c r="S196" s="9"/>
      <c r="T196" s="9"/>
      <c r="U196" s="53"/>
      <c r="V196" s="9"/>
      <c r="W196" s="53"/>
      <c r="X196" s="53"/>
      <c r="Y196" s="53"/>
      <c r="Z196" s="53"/>
      <c r="AA196" s="9"/>
      <c r="AB196" s="9"/>
      <c r="AC196" s="9"/>
      <c r="AD196" s="9"/>
      <c r="AE196" s="81"/>
      <c r="AF196" s="81"/>
      <c r="AG196" s="81"/>
      <c r="AH196" s="81"/>
      <c r="AI196" s="53"/>
      <c r="AJ196" s="53"/>
      <c r="AK196" s="53"/>
    </row>
    <row r="197" spans="1:37" ht="15.75" customHeight="1" x14ac:dyDescent="0.25">
      <c r="A197" s="9"/>
      <c r="B197" s="20"/>
      <c r="C197" s="20"/>
      <c r="D197" s="20"/>
      <c r="E197" s="53"/>
      <c r="F197" s="53"/>
      <c r="G197" s="53"/>
      <c r="H197" s="53"/>
      <c r="I197" s="9"/>
      <c r="J197" s="53"/>
      <c r="K197" s="53"/>
      <c r="L197" s="53"/>
      <c r="M197" s="53"/>
      <c r="N197" s="53"/>
      <c r="O197" s="53"/>
      <c r="P197" s="53"/>
      <c r="Q197" s="9"/>
      <c r="R197" s="9"/>
      <c r="S197" s="9"/>
      <c r="T197" s="9"/>
      <c r="U197" s="53"/>
      <c r="V197" s="9"/>
      <c r="W197" s="53"/>
      <c r="X197" s="53"/>
      <c r="Y197" s="53"/>
      <c r="Z197" s="53"/>
      <c r="AA197" s="9"/>
      <c r="AB197" s="9"/>
      <c r="AC197" s="9"/>
      <c r="AD197" s="9"/>
      <c r="AE197" s="81"/>
      <c r="AF197" s="81"/>
      <c r="AG197" s="81"/>
      <c r="AH197" s="81"/>
      <c r="AI197" s="53"/>
      <c r="AJ197" s="53"/>
      <c r="AK197" s="53"/>
    </row>
    <row r="198" spans="1:37" ht="15.75" customHeight="1" x14ac:dyDescent="0.25">
      <c r="A198" s="9"/>
      <c r="B198" s="20"/>
      <c r="C198" s="20"/>
      <c r="D198" s="20"/>
      <c r="E198" s="53"/>
      <c r="F198" s="53"/>
      <c r="G198" s="53"/>
      <c r="H198" s="53"/>
      <c r="I198" s="9"/>
      <c r="J198" s="53"/>
      <c r="K198" s="53"/>
      <c r="L198" s="53"/>
      <c r="M198" s="53"/>
      <c r="N198" s="53"/>
      <c r="O198" s="53"/>
      <c r="P198" s="53"/>
      <c r="Q198" s="9"/>
      <c r="R198" s="9"/>
      <c r="S198" s="9"/>
      <c r="T198" s="9"/>
      <c r="U198" s="53"/>
      <c r="V198" s="9"/>
      <c r="W198" s="53"/>
      <c r="X198" s="53"/>
      <c r="Y198" s="53"/>
      <c r="Z198" s="53"/>
      <c r="AA198" s="9"/>
      <c r="AB198" s="9"/>
      <c r="AC198" s="9"/>
      <c r="AD198" s="9"/>
      <c r="AE198" s="81"/>
      <c r="AF198" s="81"/>
      <c r="AG198" s="81"/>
      <c r="AH198" s="81"/>
      <c r="AI198" s="53"/>
      <c r="AJ198" s="53"/>
      <c r="AK198" s="53"/>
    </row>
    <row r="199" spans="1:37" ht="15.75" customHeight="1" x14ac:dyDescent="0.25">
      <c r="A199" s="9"/>
      <c r="B199" s="20"/>
      <c r="C199" s="20"/>
      <c r="D199" s="20"/>
      <c r="E199" s="53"/>
      <c r="F199" s="53"/>
      <c r="G199" s="53"/>
      <c r="H199" s="53"/>
      <c r="I199" s="9"/>
      <c r="J199" s="53"/>
      <c r="K199" s="53"/>
      <c r="L199" s="53"/>
      <c r="M199" s="53"/>
      <c r="N199" s="53"/>
      <c r="O199" s="53"/>
      <c r="P199" s="53"/>
      <c r="Q199" s="9"/>
      <c r="R199" s="9"/>
      <c r="S199" s="9"/>
      <c r="T199" s="9"/>
      <c r="U199" s="53"/>
      <c r="V199" s="9"/>
      <c r="W199" s="53"/>
      <c r="X199" s="53"/>
      <c r="Y199" s="53"/>
      <c r="Z199" s="53"/>
      <c r="AA199" s="9"/>
      <c r="AB199" s="9"/>
      <c r="AC199" s="9"/>
      <c r="AD199" s="9"/>
      <c r="AE199" s="81"/>
      <c r="AF199" s="81"/>
      <c r="AG199" s="81"/>
      <c r="AH199" s="81"/>
      <c r="AI199" s="53"/>
      <c r="AJ199" s="53"/>
      <c r="AK199" s="53"/>
    </row>
    <row r="200" spans="1:37" ht="15.75" customHeight="1" x14ac:dyDescent="0.25">
      <c r="A200" s="9"/>
      <c r="B200" s="20"/>
      <c r="C200" s="20"/>
      <c r="D200" s="20"/>
      <c r="E200" s="53"/>
      <c r="F200" s="53"/>
      <c r="G200" s="53"/>
      <c r="H200" s="53"/>
      <c r="I200" s="9"/>
      <c r="J200" s="53"/>
      <c r="K200" s="53"/>
      <c r="L200" s="53"/>
      <c r="M200" s="53"/>
      <c r="N200" s="53"/>
      <c r="O200" s="53"/>
      <c r="P200" s="53"/>
      <c r="Q200" s="9"/>
      <c r="R200" s="9"/>
      <c r="S200" s="9"/>
      <c r="T200" s="9"/>
      <c r="U200" s="53"/>
      <c r="V200" s="9"/>
      <c r="W200" s="53"/>
      <c r="X200" s="53"/>
      <c r="Y200" s="53"/>
      <c r="Z200" s="53"/>
      <c r="AA200" s="9"/>
      <c r="AB200" s="9"/>
      <c r="AC200" s="9"/>
      <c r="AD200" s="9"/>
      <c r="AE200" s="81"/>
      <c r="AF200" s="81"/>
      <c r="AG200" s="81"/>
      <c r="AH200" s="81"/>
      <c r="AI200" s="53"/>
      <c r="AJ200" s="53"/>
      <c r="AK200" s="53"/>
    </row>
    <row r="201" spans="1:37" ht="15.75" customHeight="1" x14ac:dyDescent="0.25">
      <c r="A201" s="9"/>
      <c r="B201" s="20"/>
      <c r="C201" s="20"/>
      <c r="D201" s="20"/>
      <c r="E201" s="53"/>
      <c r="F201" s="53"/>
      <c r="G201" s="53"/>
      <c r="H201" s="53"/>
      <c r="I201" s="9"/>
      <c r="J201" s="53"/>
      <c r="K201" s="53"/>
      <c r="L201" s="53"/>
      <c r="M201" s="53"/>
      <c r="N201" s="53"/>
      <c r="O201" s="53"/>
      <c r="P201" s="53"/>
      <c r="Q201" s="9"/>
      <c r="R201" s="9"/>
      <c r="S201" s="9"/>
      <c r="T201" s="9"/>
      <c r="U201" s="53"/>
      <c r="V201" s="9"/>
      <c r="W201" s="53"/>
      <c r="X201" s="53"/>
      <c r="Y201" s="53"/>
      <c r="Z201" s="53"/>
      <c r="AA201" s="9"/>
      <c r="AB201" s="9"/>
      <c r="AC201" s="9"/>
      <c r="AD201" s="9"/>
      <c r="AE201" s="81"/>
      <c r="AF201" s="81"/>
      <c r="AG201" s="81"/>
      <c r="AH201" s="81"/>
      <c r="AI201" s="53"/>
      <c r="AJ201" s="53"/>
      <c r="AK201" s="53"/>
    </row>
    <row r="202" spans="1:37" ht="15.75" customHeight="1" x14ac:dyDescent="0.25">
      <c r="A202" s="9"/>
      <c r="B202" s="20"/>
      <c r="C202" s="20"/>
      <c r="D202" s="20"/>
      <c r="E202" s="53"/>
      <c r="F202" s="53"/>
      <c r="G202" s="53"/>
      <c r="H202" s="53"/>
      <c r="I202" s="9"/>
      <c r="J202" s="53"/>
      <c r="K202" s="53"/>
      <c r="L202" s="53"/>
      <c r="M202" s="53"/>
      <c r="N202" s="53"/>
      <c r="O202" s="53"/>
      <c r="P202" s="53"/>
      <c r="Q202" s="9"/>
      <c r="R202" s="9"/>
      <c r="S202" s="9"/>
      <c r="T202" s="9"/>
      <c r="U202" s="53"/>
      <c r="V202" s="9"/>
      <c r="W202" s="53"/>
      <c r="X202" s="53"/>
      <c r="Y202" s="53"/>
      <c r="Z202" s="53"/>
      <c r="AA202" s="9"/>
      <c r="AB202" s="9"/>
      <c r="AC202" s="9"/>
      <c r="AD202" s="9"/>
      <c r="AE202" s="81"/>
      <c r="AF202" s="81"/>
      <c r="AG202" s="81"/>
      <c r="AH202" s="81"/>
      <c r="AI202" s="53"/>
      <c r="AJ202" s="53"/>
      <c r="AK202" s="53"/>
    </row>
    <row r="203" spans="1:37" ht="15.75" customHeight="1" x14ac:dyDescent="0.25">
      <c r="A203" s="9"/>
      <c r="B203" s="20"/>
      <c r="C203" s="20"/>
      <c r="D203" s="20"/>
      <c r="E203" s="53"/>
      <c r="F203" s="53"/>
      <c r="G203" s="53"/>
      <c r="H203" s="53"/>
      <c r="I203" s="9"/>
      <c r="J203" s="53"/>
      <c r="K203" s="53"/>
      <c r="L203" s="53"/>
      <c r="M203" s="53"/>
      <c r="N203" s="53"/>
      <c r="O203" s="53"/>
      <c r="P203" s="53"/>
      <c r="Q203" s="9"/>
      <c r="R203" s="9"/>
      <c r="S203" s="9"/>
      <c r="T203" s="9"/>
      <c r="U203" s="53"/>
      <c r="V203" s="9"/>
      <c r="W203" s="53"/>
      <c r="X203" s="53"/>
      <c r="Y203" s="53"/>
      <c r="Z203" s="53"/>
      <c r="AA203" s="9"/>
      <c r="AB203" s="9"/>
      <c r="AC203" s="9"/>
      <c r="AD203" s="9"/>
      <c r="AE203" s="81"/>
      <c r="AF203" s="81"/>
      <c r="AG203" s="81"/>
      <c r="AH203" s="81"/>
      <c r="AI203" s="53"/>
      <c r="AJ203" s="53"/>
      <c r="AK203" s="53"/>
    </row>
    <row r="204" spans="1:37" ht="15.75" customHeight="1" x14ac:dyDescent="0.25">
      <c r="A204" s="9"/>
      <c r="B204" s="20"/>
      <c r="C204" s="20"/>
      <c r="D204" s="20"/>
      <c r="E204" s="53"/>
      <c r="F204" s="53"/>
      <c r="G204" s="53"/>
      <c r="H204" s="53"/>
      <c r="I204" s="9"/>
      <c r="J204" s="53"/>
      <c r="K204" s="53"/>
      <c r="L204" s="53"/>
      <c r="M204" s="53"/>
      <c r="N204" s="53"/>
      <c r="O204" s="53"/>
      <c r="P204" s="53"/>
      <c r="Q204" s="9"/>
      <c r="R204" s="9"/>
      <c r="S204" s="9"/>
      <c r="T204" s="9"/>
      <c r="U204" s="53"/>
      <c r="V204" s="9"/>
      <c r="W204" s="53"/>
      <c r="X204" s="53"/>
      <c r="Y204" s="53"/>
      <c r="Z204" s="53"/>
      <c r="AA204" s="9"/>
      <c r="AB204" s="9"/>
      <c r="AC204" s="9"/>
      <c r="AD204" s="9"/>
      <c r="AE204" s="81"/>
      <c r="AF204" s="81"/>
      <c r="AG204" s="81"/>
      <c r="AH204" s="81"/>
      <c r="AI204" s="53"/>
      <c r="AJ204" s="53"/>
      <c r="AK204" s="53"/>
    </row>
    <row r="205" spans="1:37" ht="15.75" customHeight="1" x14ac:dyDescent="0.25">
      <c r="A205" s="9"/>
      <c r="B205" s="20"/>
      <c r="C205" s="20"/>
      <c r="D205" s="20"/>
      <c r="E205" s="53"/>
      <c r="F205" s="53"/>
      <c r="G205" s="53"/>
      <c r="H205" s="53"/>
      <c r="I205" s="9"/>
      <c r="J205" s="53"/>
      <c r="K205" s="53"/>
      <c r="L205" s="53"/>
      <c r="M205" s="53"/>
      <c r="N205" s="53"/>
      <c r="O205" s="53"/>
      <c r="P205" s="53"/>
      <c r="Q205" s="9"/>
      <c r="R205" s="9"/>
      <c r="S205" s="9"/>
      <c r="T205" s="9"/>
      <c r="U205" s="53"/>
      <c r="V205" s="9"/>
      <c r="W205" s="53"/>
      <c r="X205" s="53"/>
      <c r="Y205" s="53"/>
      <c r="Z205" s="53"/>
      <c r="AA205" s="9"/>
      <c r="AB205" s="9"/>
      <c r="AC205" s="9"/>
      <c r="AD205" s="9"/>
      <c r="AE205" s="81"/>
      <c r="AF205" s="81"/>
      <c r="AG205" s="81"/>
      <c r="AH205" s="81"/>
      <c r="AI205" s="53"/>
      <c r="AJ205" s="53"/>
      <c r="AK205" s="53"/>
    </row>
    <row r="206" spans="1:37" ht="15.75" customHeight="1" x14ac:dyDescent="0.25">
      <c r="A206" s="9"/>
      <c r="B206" s="20"/>
      <c r="C206" s="20"/>
      <c r="D206" s="20"/>
      <c r="E206" s="53"/>
      <c r="F206" s="53"/>
      <c r="G206" s="53"/>
      <c r="H206" s="53"/>
      <c r="I206" s="9"/>
      <c r="J206" s="53"/>
      <c r="K206" s="53"/>
      <c r="L206" s="53"/>
      <c r="M206" s="53"/>
      <c r="N206" s="53"/>
      <c r="O206" s="53"/>
      <c r="P206" s="53"/>
      <c r="Q206" s="9"/>
      <c r="R206" s="9"/>
      <c r="S206" s="9"/>
      <c r="T206" s="9"/>
      <c r="U206" s="53"/>
      <c r="V206" s="9"/>
      <c r="W206" s="53"/>
      <c r="X206" s="53"/>
      <c r="Y206" s="53"/>
      <c r="Z206" s="53"/>
      <c r="AA206" s="9"/>
      <c r="AB206" s="9"/>
      <c r="AC206" s="9"/>
      <c r="AD206" s="9"/>
      <c r="AE206" s="81"/>
      <c r="AF206" s="81"/>
      <c r="AG206" s="81"/>
      <c r="AH206" s="81"/>
      <c r="AI206" s="53"/>
      <c r="AJ206" s="53"/>
      <c r="AK206" s="53"/>
    </row>
    <row r="207" spans="1:37" ht="15.75" customHeight="1" x14ac:dyDescent="0.25">
      <c r="A207" s="9"/>
      <c r="B207" s="20"/>
      <c r="C207" s="20"/>
      <c r="D207" s="20"/>
      <c r="E207" s="53"/>
      <c r="F207" s="53"/>
      <c r="G207" s="53"/>
      <c r="H207" s="53"/>
      <c r="I207" s="9"/>
      <c r="J207" s="53"/>
      <c r="K207" s="53"/>
      <c r="L207" s="53"/>
      <c r="M207" s="53"/>
      <c r="N207" s="53"/>
      <c r="O207" s="53"/>
      <c r="P207" s="53"/>
      <c r="Q207" s="9"/>
      <c r="R207" s="9"/>
      <c r="S207" s="9"/>
      <c r="T207" s="9"/>
      <c r="U207" s="53"/>
      <c r="V207" s="9"/>
      <c r="W207" s="53"/>
      <c r="X207" s="53"/>
      <c r="Y207" s="53"/>
      <c r="Z207" s="53"/>
      <c r="AA207" s="9"/>
      <c r="AB207" s="9"/>
      <c r="AC207" s="9"/>
      <c r="AD207" s="9"/>
      <c r="AE207" s="81"/>
      <c r="AF207" s="81"/>
      <c r="AG207" s="81"/>
      <c r="AH207" s="81"/>
      <c r="AI207" s="53"/>
      <c r="AJ207" s="53"/>
      <c r="AK207" s="53"/>
    </row>
    <row r="208" spans="1:37" ht="15.75" customHeight="1" x14ac:dyDescent="0.25">
      <c r="A208" s="9"/>
      <c r="B208" s="20"/>
      <c r="C208" s="20"/>
      <c r="D208" s="20"/>
      <c r="E208" s="53"/>
      <c r="F208" s="53"/>
      <c r="G208" s="53"/>
      <c r="H208" s="53"/>
      <c r="I208" s="9"/>
      <c r="J208" s="53"/>
      <c r="K208" s="53"/>
      <c r="L208" s="53"/>
      <c r="M208" s="53"/>
      <c r="N208" s="53"/>
      <c r="O208" s="53"/>
      <c r="P208" s="53"/>
      <c r="Q208" s="9"/>
      <c r="R208" s="9"/>
      <c r="S208" s="9"/>
      <c r="T208" s="9"/>
      <c r="U208" s="53"/>
      <c r="V208" s="9"/>
      <c r="W208" s="53"/>
      <c r="X208" s="53"/>
      <c r="Y208" s="53"/>
      <c r="Z208" s="53"/>
      <c r="AA208" s="9"/>
      <c r="AB208" s="9"/>
      <c r="AC208" s="9"/>
      <c r="AD208" s="9"/>
      <c r="AE208" s="81"/>
      <c r="AF208" s="81"/>
      <c r="AG208" s="81"/>
      <c r="AH208" s="81"/>
      <c r="AI208" s="53"/>
      <c r="AJ208" s="53"/>
      <c r="AK208" s="53"/>
    </row>
    <row r="209" spans="1:37" ht="15.75" customHeight="1" x14ac:dyDescent="0.25">
      <c r="A209" s="9"/>
      <c r="B209" s="20"/>
      <c r="C209" s="20"/>
      <c r="D209" s="20"/>
      <c r="E209" s="53"/>
      <c r="F209" s="53"/>
      <c r="G209" s="53"/>
      <c r="H209" s="53"/>
      <c r="I209" s="9"/>
      <c r="J209" s="53"/>
      <c r="K209" s="53"/>
      <c r="L209" s="53"/>
      <c r="M209" s="53"/>
      <c r="N209" s="53"/>
      <c r="O209" s="53"/>
      <c r="P209" s="53"/>
      <c r="Q209" s="9"/>
      <c r="R209" s="9"/>
      <c r="S209" s="9"/>
      <c r="T209" s="9"/>
      <c r="U209" s="53"/>
      <c r="V209" s="9"/>
      <c r="W209" s="53"/>
      <c r="X209" s="53"/>
      <c r="Y209" s="53"/>
      <c r="Z209" s="53"/>
      <c r="AA209" s="9"/>
      <c r="AB209" s="9"/>
      <c r="AC209" s="9"/>
      <c r="AD209" s="9"/>
      <c r="AE209" s="81"/>
      <c r="AF209" s="81"/>
      <c r="AG209" s="81"/>
      <c r="AH209" s="81"/>
      <c r="AI209" s="53"/>
      <c r="AJ209" s="53"/>
      <c r="AK209" s="53"/>
    </row>
    <row r="210" spans="1:37" ht="15.75" customHeight="1" x14ac:dyDescent="0.25">
      <c r="A210" s="9"/>
      <c r="B210" s="20"/>
      <c r="C210" s="20"/>
      <c r="D210" s="20"/>
      <c r="E210" s="53"/>
      <c r="F210" s="53"/>
      <c r="G210" s="53"/>
      <c r="H210" s="53"/>
      <c r="I210" s="9"/>
      <c r="J210" s="53"/>
      <c r="K210" s="53"/>
      <c r="L210" s="53"/>
      <c r="M210" s="53"/>
      <c r="N210" s="53"/>
      <c r="O210" s="53"/>
      <c r="P210" s="53"/>
      <c r="Q210" s="9"/>
      <c r="R210" s="9"/>
      <c r="S210" s="9"/>
      <c r="T210" s="9"/>
      <c r="U210" s="53"/>
      <c r="V210" s="9"/>
      <c r="W210" s="53"/>
      <c r="X210" s="53"/>
      <c r="Y210" s="53"/>
      <c r="Z210" s="53"/>
      <c r="AA210" s="9"/>
      <c r="AB210" s="9"/>
      <c r="AC210" s="9"/>
      <c r="AD210" s="9"/>
      <c r="AE210" s="81"/>
      <c r="AF210" s="81"/>
      <c r="AG210" s="81"/>
      <c r="AH210" s="81"/>
      <c r="AI210" s="53"/>
      <c r="AJ210" s="53"/>
      <c r="AK210" s="53"/>
    </row>
    <row r="211" spans="1:37" ht="15.75" customHeight="1" x14ac:dyDescent="0.25">
      <c r="A211" s="9"/>
      <c r="B211" s="20"/>
      <c r="C211" s="20"/>
      <c r="D211" s="20"/>
      <c r="E211" s="53"/>
      <c r="F211" s="53"/>
      <c r="G211" s="53"/>
      <c r="H211" s="53"/>
      <c r="I211" s="9"/>
      <c r="J211" s="53"/>
      <c r="K211" s="53"/>
      <c r="L211" s="53"/>
      <c r="M211" s="53"/>
      <c r="N211" s="53"/>
      <c r="O211" s="53"/>
      <c r="P211" s="53"/>
      <c r="Q211" s="9"/>
      <c r="R211" s="9"/>
      <c r="S211" s="9"/>
      <c r="T211" s="9"/>
      <c r="U211" s="53"/>
      <c r="V211" s="9"/>
      <c r="W211" s="53"/>
      <c r="X211" s="53"/>
      <c r="Y211" s="53"/>
      <c r="Z211" s="53"/>
      <c r="AA211" s="9"/>
      <c r="AB211" s="9"/>
      <c r="AC211" s="9"/>
      <c r="AD211" s="9"/>
      <c r="AE211" s="81"/>
      <c r="AF211" s="81"/>
      <c r="AG211" s="81"/>
      <c r="AH211" s="81"/>
      <c r="AI211" s="53"/>
      <c r="AJ211" s="53"/>
      <c r="AK211" s="53"/>
    </row>
    <row r="212" spans="1:37" ht="15.75" customHeight="1" x14ac:dyDescent="0.25">
      <c r="A212" s="9"/>
      <c r="B212" s="20"/>
      <c r="C212" s="20"/>
      <c r="D212" s="20"/>
      <c r="E212" s="53"/>
      <c r="F212" s="53"/>
      <c r="G212" s="53"/>
      <c r="H212" s="53"/>
      <c r="I212" s="9"/>
      <c r="J212" s="53"/>
      <c r="K212" s="53"/>
      <c r="L212" s="53"/>
      <c r="M212" s="53"/>
      <c r="N212" s="53"/>
      <c r="O212" s="53"/>
      <c r="P212" s="53"/>
      <c r="Q212" s="9"/>
      <c r="R212" s="9"/>
      <c r="S212" s="9"/>
      <c r="T212" s="9"/>
      <c r="U212" s="53"/>
      <c r="V212" s="9"/>
      <c r="W212" s="53"/>
      <c r="X212" s="53"/>
      <c r="Y212" s="53"/>
      <c r="Z212" s="53"/>
      <c r="AA212" s="9"/>
      <c r="AB212" s="9"/>
      <c r="AC212" s="9"/>
      <c r="AD212" s="9"/>
      <c r="AE212" s="81"/>
      <c r="AF212" s="81"/>
      <c r="AG212" s="81"/>
      <c r="AH212" s="81"/>
      <c r="AI212" s="53"/>
      <c r="AJ212" s="53"/>
      <c r="AK212" s="53"/>
    </row>
    <row r="213" spans="1:37" ht="15.75" customHeight="1" x14ac:dyDescent="0.25">
      <c r="A213" s="9"/>
      <c r="B213" s="20"/>
      <c r="C213" s="20"/>
      <c r="D213" s="20"/>
      <c r="E213" s="53"/>
      <c r="F213" s="53"/>
      <c r="G213" s="53"/>
      <c r="H213" s="53"/>
      <c r="I213" s="9"/>
      <c r="J213" s="53"/>
      <c r="K213" s="53"/>
      <c r="L213" s="53"/>
      <c r="M213" s="53"/>
      <c r="N213" s="53"/>
      <c r="O213" s="53"/>
      <c r="P213" s="53"/>
      <c r="Q213" s="9"/>
      <c r="R213" s="9"/>
      <c r="S213" s="9"/>
      <c r="T213" s="9"/>
      <c r="U213" s="53"/>
      <c r="V213" s="9"/>
      <c r="W213" s="53"/>
      <c r="X213" s="53"/>
      <c r="Y213" s="53"/>
      <c r="Z213" s="53"/>
      <c r="AA213" s="9"/>
      <c r="AB213" s="9"/>
      <c r="AC213" s="9"/>
      <c r="AD213" s="9"/>
      <c r="AE213" s="81"/>
      <c r="AF213" s="81"/>
      <c r="AG213" s="81"/>
      <c r="AH213" s="81"/>
      <c r="AI213" s="53"/>
      <c r="AJ213" s="53"/>
      <c r="AK213" s="53"/>
    </row>
    <row r="214" spans="1:37" ht="15.75" customHeight="1" x14ac:dyDescent="0.25">
      <c r="A214" s="9"/>
      <c r="B214" s="20"/>
      <c r="C214" s="20"/>
      <c r="D214" s="20"/>
      <c r="E214" s="53"/>
      <c r="F214" s="53"/>
      <c r="G214" s="53"/>
      <c r="H214" s="53"/>
      <c r="I214" s="9"/>
      <c r="J214" s="53"/>
      <c r="K214" s="53"/>
      <c r="L214" s="53"/>
      <c r="M214" s="53"/>
      <c r="N214" s="53"/>
      <c r="O214" s="53"/>
      <c r="P214" s="53"/>
      <c r="Q214" s="9"/>
      <c r="R214" s="9"/>
      <c r="S214" s="9"/>
      <c r="T214" s="9"/>
      <c r="U214" s="53"/>
      <c r="V214" s="9"/>
      <c r="W214" s="53"/>
      <c r="X214" s="53"/>
      <c r="Y214" s="53"/>
      <c r="Z214" s="53"/>
      <c r="AA214" s="9"/>
      <c r="AB214" s="9"/>
      <c r="AC214" s="9"/>
      <c r="AD214" s="9"/>
      <c r="AE214" s="81"/>
      <c r="AF214" s="81"/>
      <c r="AG214" s="81"/>
      <c r="AH214" s="81"/>
      <c r="AI214" s="53"/>
      <c r="AJ214" s="53"/>
      <c r="AK214" s="53"/>
    </row>
    <row r="215" spans="1:37" ht="15.75" customHeight="1" x14ac:dyDescent="0.25">
      <c r="A215" s="9"/>
      <c r="B215" s="20"/>
      <c r="C215" s="20"/>
      <c r="D215" s="20"/>
      <c r="E215" s="53"/>
      <c r="F215" s="53"/>
      <c r="G215" s="53"/>
      <c r="H215" s="53"/>
      <c r="I215" s="9"/>
      <c r="J215" s="53"/>
      <c r="K215" s="53"/>
      <c r="L215" s="53"/>
      <c r="M215" s="53"/>
      <c r="N215" s="53"/>
      <c r="O215" s="53"/>
      <c r="P215" s="53"/>
      <c r="Q215" s="9"/>
      <c r="R215" s="9"/>
      <c r="S215" s="9"/>
      <c r="T215" s="9"/>
      <c r="U215" s="53"/>
      <c r="V215" s="9"/>
      <c r="W215" s="53"/>
      <c r="X215" s="53"/>
      <c r="Y215" s="53"/>
      <c r="Z215" s="53"/>
      <c r="AA215" s="9"/>
      <c r="AB215" s="9"/>
      <c r="AC215" s="9"/>
      <c r="AD215" s="9"/>
      <c r="AE215" s="81"/>
      <c r="AF215" s="81"/>
      <c r="AG215" s="81"/>
      <c r="AH215" s="81"/>
      <c r="AI215" s="53"/>
      <c r="AJ215" s="53"/>
      <c r="AK215" s="53"/>
    </row>
    <row r="216" spans="1:37" ht="15.75" customHeight="1" x14ac:dyDescent="0.25">
      <c r="A216" s="9"/>
      <c r="B216" s="20"/>
      <c r="C216" s="20"/>
      <c r="D216" s="20"/>
      <c r="E216" s="53"/>
      <c r="F216" s="53"/>
      <c r="G216" s="53"/>
      <c r="H216" s="53"/>
      <c r="I216" s="9"/>
      <c r="J216" s="53"/>
      <c r="K216" s="53"/>
      <c r="L216" s="53"/>
      <c r="M216" s="53"/>
      <c r="N216" s="53"/>
      <c r="O216" s="53"/>
      <c r="P216" s="53"/>
      <c r="Q216" s="9"/>
      <c r="R216" s="9"/>
      <c r="S216" s="9"/>
      <c r="T216" s="9"/>
      <c r="U216" s="53"/>
      <c r="V216" s="9"/>
      <c r="W216" s="53"/>
      <c r="X216" s="53"/>
      <c r="Y216" s="53"/>
      <c r="Z216" s="53"/>
      <c r="AA216" s="9"/>
      <c r="AB216" s="9"/>
      <c r="AC216" s="9"/>
      <c r="AD216" s="9"/>
      <c r="AE216" s="81"/>
      <c r="AF216" s="81"/>
      <c r="AG216" s="81"/>
      <c r="AH216" s="81"/>
      <c r="AI216" s="53"/>
      <c r="AJ216" s="53"/>
      <c r="AK216" s="53"/>
    </row>
    <row r="217" spans="1:37" ht="15.75" customHeight="1" x14ac:dyDescent="0.25">
      <c r="A217" s="9"/>
      <c r="B217" s="20"/>
      <c r="C217" s="20"/>
      <c r="D217" s="20"/>
      <c r="E217" s="53"/>
      <c r="F217" s="53"/>
      <c r="G217" s="53"/>
      <c r="H217" s="53"/>
      <c r="I217" s="9"/>
      <c r="J217" s="53"/>
      <c r="K217" s="53"/>
      <c r="L217" s="53"/>
      <c r="M217" s="53"/>
      <c r="N217" s="53"/>
      <c r="O217" s="53"/>
      <c r="P217" s="53"/>
      <c r="Q217" s="9"/>
      <c r="R217" s="9"/>
      <c r="S217" s="9"/>
      <c r="T217" s="9"/>
      <c r="U217" s="53"/>
      <c r="V217" s="9"/>
      <c r="W217" s="53"/>
      <c r="X217" s="53"/>
      <c r="Y217" s="53"/>
      <c r="Z217" s="53"/>
      <c r="AA217" s="9"/>
      <c r="AB217" s="9"/>
      <c r="AC217" s="9"/>
      <c r="AD217" s="9"/>
      <c r="AE217" s="81"/>
      <c r="AF217" s="81"/>
      <c r="AG217" s="81"/>
      <c r="AH217" s="81"/>
      <c r="AI217" s="53"/>
      <c r="AJ217" s="53"/>
      <c r="AK217" s="53"/>
    </row>
    <row r="218" spans="1:37" ht="15.75" customHeight="1" x14ac:dyDescent="0.25">
      <c r="A218" s="9"/>
      <c r="B218" s="20"/>
      <c r="C218" s="20"/>
      <c r="D218" s="20"/>
      <c r="E218" s="53"/>
      <c r="F218" s="53"/>
      <c r="G218" s="53"/>
      <c r="H218" s="53"/>
      <c r="I218" s="9"/>
      <c r="J218" s="53"/>
      <c r="K218" s="53"/>
      <c r="L218" s="53"/>
      <c r="M218" s="53"/>
      <c r="N218" s="53"/>
      <c r="O218" s="53"/>
      <c r="P218" s="53"/>
      <c r="Q218" s="9"/>
      <c r="R218" s="9"/>
      <c r="S218" s="9"/>
      <c r="T218" s="9"/>
      <c r="U218" s="53"/>
      <c r="V218" s="9"/>
      <c r="W218" s="53"/>
      <c r="X218" s="53"/>
      <c r="Y218" s="53"/>
      <c r="Z218" s="53"/>
      <c r="AA218" s="9"/>
      <c r="AB218" s="9"/>
      <c r="AC218" s="9"/>
      <c r="AD218" s="9"/>
      <c r="AE218" s="81"/>
      <c r="AF218" s="81"/>
      <c r="AG218" s="81"/>
      <c r="AH218" s="81"/>
      <c r="AI218" s="53"/>
      <c r="AJ218" s="53"/>
      <c r="AK218" s="53"/>
    </row>
    <row r="219" spans="1:37" ht="15.75" customHeight="1" x14ac:dyDescent="0.25">
      <c r="A219" s="9"/>
      <c r="B219" s="20"/>
      <c r="C219" s="20"/>
      <c r="D219" s="20"/>
      <c r="E219" s="53"/>
      <c r="F219" s="53"/>
      <c r="G219" s="53"/>
      <c r="H219" s="53"/>
      <c r="I219" s="9"/>
      <c r="J219" s="53"/>
      <c r="K219" s="53"/>
      <c r="L219" s="53"/>
      <c r="M219" s="53"/>
      <c r="N219" s="53"/>
      <c r="O219" s="53"/>
      <c r="P219" s="53"/>
      <c r="Q219" s="9"/>
      <c r="R219" s="9"/>
      <c r="S219" s="9"/>
      <c r="T219" s="9"/>
      <c r="U219" s="53"/>
      <c r="V219" s="9"/>
      <c r="W219" s="53"/>
      <c r="X219" s="53"/>
      <c r="Y219" s="53"/>
      <c r="Z219" s="53"/>
      <c r="AA219" s="9"/>
      <c r="AB219" s="9"/>
      <c r="AC219" s="9"/>
      <c r="AD219" s="9"/>
      <c r="AE219" s="81"/>
      <c r="AF219" s="81"/>
      <c r="AG219" s="81"/>
      <c r="AH219" s="81"/>
      <c r="AI219" s="53"/>
      <c r="AJ219" s="53"/>
      <c r="AK219" s="53"/>
    </row>
    <row r="220" spans="1:37" ht="15.75" customHeight="1" x14ac:dyDescent="0.25">
      <c r="A220" s="9"/>
      <c r="B220" s="20"/>
      <c r="C220" s="20"/>
      <c r="D220" s="20"/>
      <c r="E220" s="53"/>
      <c r="F220" s="53"/>
      <c r="G220" s="53"/>
      <c r="H220" s="53"/>
      <c r="I220" s="9"/>
      <c r="J220" s="53"/>
      <c r="K220" s="53"/>
      <c r="L220" s="53"/>
      <c r="M220" s="53"/>
      <c r="N220" s="53"/>
      <c r="O220" s="53"/>
      <c r="P220" s="53"/>
      <c r="Q220" s="9"/>
      <c r="R220" s="9"/>
      <c r="S220" s="9"/>
      <c r="T220" s="9"/>
      <c r="U220" s="53"/>
      <c r="V220" s="9"/>
      <c r="W220" s="53"/>
      <c r="X220" s="53"/>
      <c r="Y220" s="53"/>
      <c r="Z220" s="53"/>
      <c r="AA220" s="9"/>
      <c r="AB220" s="9"/>
      <c r="AC220" s="9"/>
      <c r="AD220" s="9"/>
      <c r="AE220" s="81"/>
      <c r="AF220" s="81"/>
      <c r="AG220" s="81"/>
      <c r="AH220" s="81"/>
      <c r="AI220" s="53"/>
      <c r="AJ220" s="53"/>
      <c r="AK220" s="53"/>
    </row>
    <row r="221" spans="1:37" ht="15.75" customHeight="1" x14ac:dyDescent="0.25">
      <c r="A221" s="9"/>
      <c r="B221" s="20"/>
      <c r="C221" s="20"/>
      <c r="D221" s="20"/>
      <c r="E221" s="53"/>
      <c r="F221" s="53"/>
      <c r="G221" s="53"/>
      <c r="H221" s="53"/>
      <c r="I221" s="9"/>
      <c r="J221" s="53"/>
      <c r="K221" s="53"/>
      <c r="L221" s="53"/>
      <c r="M221" s="53"/>
      <c r="N221" s="53"/>
      <c r="O221" s="53"/>
      <c r="P221" s="53"/>
      <c r="Q221" s="9"/>
      <c r="R221" s="9"/>
      <c r="S221" s="9"/>
      <c r="T221" s="9"/>
      <c r="U221" s="53"/>
      <c r="V221" s="9"/>
      <c r="W221" s="53"/>
      <c r="X221" s="53"/>
      <c r="Y221" s="53"/>
      <c r="Z221" s="53"/>
      <c r="AA221" s="9"/>
      <c r="AB221" s="9"/>
      <c r="AC221" s="9"/>
      <c r="AD221" s="9"/>
      <c r="AE221" s="81"/>
      <c r="AF221" s="81"/>
      <c r="AG221" s="81"/>
      <c r="AH221" s="81"/>
      <c r="AI221" s="53"/>
      <c r="AJ221" s="53"/>
      <c r="AK221" s="53"/>
    </row>
    <row r="222" spans="1:37" ht="15.75" customHeight="1" x14ac:dyDescent="0.25">
      <c r="A222" s="9"/>
      <c r="B222" s="20"/>
      <c r="C222" s="20"/>
      <c r="D222" s="20"/>
      <c r="E222" s="53"/>
      <c r="F222" s="53"/>
      <c r="G222" s="53"/>
      <c r="H222" s="53"/>
      <c r="I222" s="9"/>
      <c r="J222" s="53"/>
      <c r="K222" s="53"/>
      <c r="L222" s="53"/>
      <c r="M222" s="53"/>
      <c r="N222" s="53"/>
      <c r="O222" s="53"/>
      <c r="P222" s="53"/>
      <c r="Q222" s="9"/>
      <c r="R222" s="9"/>
      <c r="S222" s="9"/>
      <c r="T222" s="9"/>
      <c r="U222" s="53"/>
      <c r="V222" s="9"/>
      <c r="W222" s="53"/>
      <c r="X222" s="53"/>
      <c r="Y222" s="53"/>
      <c r="Z222" s="53"/>
      <c r="AA222" s="9"/>
      <c r="AB222" s="9"/>
      <c r="AC222" s="9"/>
      <c r="AD222" s="9"/>
      <c r="AE222" s="81"/>
      <c r="AF222" s="81"/>
      <c r="AG222" s="81"/>
      <c r="AH222" s="81"/>
      <c r="AI222" s="53"/>
      <c r="AJ222" s="53"/>
      <c r="AK222" s="53"/>
    </row>
    <row r="223" spans="1:37" ht="15.75" customHeight="1" x14ac:dyDescent="0.25">
      <c r="A223" s="9"/>
      <c r="B223" s="20"/>
      <c r="C223" s="20"/>
      <c r="D223" s="20"/>
      <c r="E223" s="53"/>
      <c r="F223" s="53"/>
      <c r="G223" s="53"/>
      <c r="H223" s="53"/>
      <c r="I223" s="9"/>
      <c r="J223" s="53"/>
      <c r="K223" s="53"/>
      <c r="L223" s="53"/>
      <c r="M223" s="53"/>
      <c r="N223" s="53"/>
      <c r="O223" s="53"/>
      <c r="P223" s="53"/>
      <c r="Q223" s="9"/>
      <c r="R223" s="9"/>
      <c r="S223" s="9"/>
      <c r="T223" s="9"/>
      <c r="U223" s="53"/>
      <c r="V223" s="9"/>
      <c r="W223" s="53"/>
      <c r="X223" s="53"/>
      <c r="Y223" s="53"/>
      <c r="Z223" s="53"/>
      <c r="AA223" s="9"/>
      <c r="AB223" s="9"/>
      <c r="AC223" s="9"/>
      <c r="AD223" s="9"/>
      <c r="AE223" s="81"/>
      <c r="AF223" s="81"/>
      <c r="AG223" s="81"/>
      <c r="AH223" s="81"/>
      <c r="AI223" s="53"/>
      <c r="AJ223" s="53"/>
      <c r="AK223" s="53"/>
    </row>
    <row r="224" spans="1:37" ht="15.75" customHeight="1" x14ac:dyDescent="0.25">
      <c r="A224" s="9"/>
      <c r="B224" s="20"/>
      <c r="C224" s="20"/>
      <c r="D224" s="20"/>
      <c r="E224" s="53"/>
      <c r="F224" s="53"/>
      <c r="G224" s="53"/>
      <c r="H224" s="53"/>
      <c r="I224" s="9"/>
      <c r="J224" s="53"/>
      <c r="K224" s="53"/>
      <c r="L224" s="53"/>
      <c r="M224" s="53"/>
      <c r="N224" s="53"/>
      <c r="O224" s="53"/>
      <c r="P224" s="53"/>
      <c r="Q224" s="9"/>
      <c r="R224" s="9"/>
      <c r="S224" s="9"/>
      <c r="T224" s="9"/>
      <c r="U224" s="53"/>
      <c r="V224" s="9"/>
      <c r="W224" s="53"/>
      <c r="X224" s="53"/>
      <c r="Y224" s="53"/>
      <c r="Z224" s="53"/>
      <c r="AA224" s="9"/>
      <c r="AB224" s="9"/>
      <c r="AC224" s="9"/>
      <c r="AD224" s="9"/>
      <c r="AE224" s="81"/>
      <c r="AF224" s="81"/>
      <c r="AG224" s="81"/>
      <c r="AH224" s="81"/>
      <c r="AI224" s="53"/>
      <c r="AJ224" s="53"/>
      <c r="AK224" s="53"/>
    </row>
    <row r="225" spans="1:37" ht="15.75" customHeight="1" x14ac:dyDescent="0.25">
      <c r="A225" s="9"/>
      <c r="B225" s="20"/>
      <c r="C225" s="20"/>
      <c r="D225" s="20"/>
      <c r="E225" s="53"/>
      <c r="F225" s="53"/>
      <c r="G225" s="53"/>
      <c r="H225" s="53"/>
      <c r="I225" s="9"/>
      <c r="J225" s="53"/>
      <c r="K225" s="53"/>
      <c r="L225" s="53"/>
      <c r="M225" s="53"/>
      <c r="N225" s="53"/>
      <c r="O225" s="53"/>
      <c r="P225" s="53"/>
      <c r="Q225" s="9"/>
      <c r="R225" s="9"/>
      <c r="S225" s="9"/>
      <c r="T225" s="9"/>
      <c r="U225" s="53"/>
      <c r="V225" s="9"/>
      <c r="W225" s="53"/>
      <c r="X225" s="53"/>
      <c r="Y225" s="53"/>
      <c r="Z225" s="53"/>
      <c r="AA225" s="9"/>
      <c r="AB225" s="9"/>
      <c r="AC225" s="9"/>
      <c r="AD225" s="9"/>
      <c r="AE225" s="81"/>
      <c r="AF225" s="81"/>
      <c r="AG225" s="81"/>
      <c r="AH225" s="81"/>
      <c r="AI225" s="53"/>
      <c r="AJ225" s="53"/>
      <c r="AK225" s="53"/>
    </row>
    <row r="226" spans="1:37" ht="15.75" customHeight="1" x14ac:dyDescent="0.25">
      <c r="A226" s="9"/>
      <c r="B226" s="20"/>
      <c r="C226" s="20"/>
      <c r="D226" s="20"/>
      <c r="E226" s="53"/>
      <c r="F226" s="53"/>
      <c r="G226" s="53"/>
      <c r="H226" s="53"/>
      <c r="I226" s="9"/>
      <c r="J226" s="53"/>
      <c r="K226" s="53"/>
      <c r="L226" s="53"/>
      <c r="M226" s="53"/>
      <c r="N226" s="53"/>
      <c r="O226" s="53"/>
      <c r="P226" s="53"/>
      <c r="Q226" s="9"/>
      <c r="R226" s="9"/>
      <c r="S226" s="9"/>
      <c r="T226" s="9"/>
      <c r="U226" s="53"/>
      <c r="V226" s="9"/>
      <c r="W226" s="53"/>
      <c r="X226" s="53"/>
      <c r="Y226" s="53"/>
      <c r="Z226" s="53"/>
      <c r="AA226" s="9"/>
      <c r="AB226" s="9"/>
      <c r="AC226" s="9"/>
      <c r="AD226" s="9"/>
      <c r="AE226" s="81"/>
      <c r="AF226" s="81"/>
      <c r="AG226" s="81"/>
      <c r="AH226" s="81"/>
      <c r="AI226" s="53"/>
      <c r="AJ226" s="53"/>
      <c r="AK226" s="53"/>
    </row>
    <row r="227" spans="1:37" ht="15.75" customHeight="1" x14ac:dyDescent="0.25">
      <c r="A227" s="9"/>
      <c r="B227" s="20"/>
      <c r="C227" s="20"/>
      <c r="D227" s="20"/>
      <c r="E227" s="53"/>
      <c r="F227" s="53"/>
      <c r="G227" s="53"/>
      <c r="H227" s="53"/>
      <c r="I227" s="9"/>
      <c r="J227" s="53"/>
      <c r="K227" s="53"/>
      <c r="L227" s="53"/>
      <c r="M227" s="53"/>
      <c r="N227" s="53"/>
      <c r="O227" s="53"/>
      <c r="P227" s="53"/>
      <c r="Q227" s="9"/>
      <c r="R227" s="9"/>
      <c r="S227" s="9"/>
      <c r="T227" s="9"/>
      <c r="U227" s="53"/>
      <c r="V227" s="9"/>
      <c r="W227" s="53"/>
      <c r="X227" s="53"/>
      <c r="Y227" s="53"/>
      <c r="Z227" s="53"/>
      <c r="AA227" s="9"/>
      <c r="AB227" s="9"/>
      <c r="AC227" s="9"/>
      <c r="AD227" s="9"/>
      <c r="AE227" s="81"/>
      <c r="AF227" s="81"/>
      <c r="AG227" s="81"/>
      <c r="AH227" s="81"/>
      <c r="AI227" s="53"/>
      <c r="AJ227" s="53"/>
      <c r="AK227" s="53"/>
    </row>
    <row r="228" spans="1:37" ht="15.75" customHeight="1" x14ac:dyDescent="0.25">
      <c r="A228" s="9"/>
      <c r="B228" s="20"/>
      <c r="C228" s="20"/>
      <c r="D228" s="20"/>
      <c r="E228" s="53"/>
      <c r="F228" s="53"/>
      <c r="G228" s="53"/>
      <c r="H228" s="53"/>
      <c r="I228" s="9"/>
      <c r="J228" s="53"/>
      <c r="K228" s="53"/>
      <c r="L228" s="53"/>
      <c r="M228" s="53"/>
      <c r="N228" s="53"/>
      <c r="O228" s="53"/>
      <c r="P228" s="53"/>
      <c r="Q228" s="9"/>
      <c r="R228" s="9"/>
      <c r="S228" s="9"/>
      <c r="T228" s="9"/>
      <c r="U228" s="53"/>
      <c r="V228" s="9"/>
      <c r="W228" s="53"/>
      <c r="X228" s="53"/>
      <c r="Y228" s="53"/>
      <c r="Z228" s="53"/>
      <c r="AA228" s="9"/>
      <c r="AB228" s="9"/>
      <c r="AC228" s="9"/>
      <c r="AD228" s="9"/>
      <c r="AE228" s="81"/>
      <c r="AF228" s="81"/>
      <c r="AG228" s="81"/>
      <c r="AH228" s="81"/>
      <c r="AI228" s="53"/>
      <c r="AJ228" s="53"/>
      <c r="AK228" s="53"/>
    </row>
    <row r="229" spans="1:37" ht="15.75" customHeight="1" x14ac:dyDescent="0.25">
      <c r="A229" s="9"/>
      <c r="B229" s="20"/>
      <c r="C229" s="20"/>
      <c r="D229" s="20"/>
      <c r="E229" s="53"/>
      <c r="F229" s="53"/>
      <c r="G229" s="53"/>
      <c r="H229" s="53"/>
      <c r="I229" s="9"/>
      <c r="J229" s="53"/>
      <c r="K229" s="53"/>
      <c r="L229" s="53"/>
      <c r="M229" s="53"/>
      <c r="N229" s="53"/>
      <c r="O229" s="53"/>
      <c r="P229" s="53"/>
      <c r="Q229" s="9"/>
      <c r="R229" s="9"/>
      <c r="S229" s="9"/>
      <c r="T229" s="9"/>
      <c r="U229" s="53"/>
      <c r="V229" s="9"/>
      <c r="W229" s="53"/>
      <c r="X229" s="53"/>
      <c r="Y229" s="53"/>
      <c r="Z229" s="53"/>
      <c r="AA229" s="9"/>
      <c r="AB229" s="9"/>
      <c r="AC229" s="9"/>
      <c r="AD229" s="9"/>
      <c r="AE229" s="81"/>
      <c r="AF229" s="81"/>
      <c r="AG229" s="81"/>
      <c r="AH229" s="81"/>
      <c r="AI229" s="53"/>
      <c r="AJ229" s="53"/>
      <c r="AK229" s="53"/>
    </row>
    <row r="230" spans="1:37" ht="15.75" customHeight="1" x14ac:dyDescent="0.25">
      <c r="A230" s="9"/>
      <c r="B230" s="20"/>
      <c r="C230" s="20"/>
      <c r="D230" s="20"/>
      <c r="E230" s="53"/>
      <c r="F230" s="53"/>
      <c r="G230" s="53"/>
      <c r="H230" s="53"/>
      <c r="I230" s="9"/>
      <c r="J230" s="53"/>
      <c r="K230" s="53"/>
      <c r="L230" s="53"/>
      <c r="M230" s="53"/>
      <c r="N230" s="53"/>
      <c r="O230" s="53"/>
      <c r="P230" s="53"/>
      <c r="Q230" s="9"/>
      <c r="R230" s="9"/>
      <c r="S230" s="9"/>
      <c r="T230" s="9"/>
      <c r="U230" s="53"/>
      <c r="V230" s="9"/>
      <c r="W230" s="53"/>
      <c r="X230" s="53"/>
      <c r="Y230" s="53"/>
      <c r="Z230" s="53"/>
      <c r="AA230" s="9"/>
      <c r="AB230" s="9"/>
      <c r="AC230" s="9"/>
      <c r="AD230" s="9"/>
      <c r="AE230" s="81"/>
      <c r="AF230" s="81"/>
      <c r="AG230" s="81"/>
      <c r="AH230" s="81"/>
      <c r="AI230" s="53"/>
      <c r="AJ230" s="53"/>
      <c r="AK230" s="53"/>
    </row>
    <row r="231" spans="1:37" ht="15.75" customHeight="1" x14ac:dyDescent="0.25">
      <c r="A231" s="9"/>
      <c r="B231" s="20"/>
      <c r="C231" s="20"/>
      <c r="D231" s="20"/>
      <c r="E231" s="53"/>
      <c r="F231" s="53"/>
      <c r="G231" s="53"/>
      <c r="H231" s="53"/>
      <c r="I231" s="9"/>
      <c r="J231" s="53"/>
      <c r="K231" s="53"/>
      <c r="L231" s="53"/>
      <c r="M231" s="53"/>
      <c r="N231" s="53"/>
      <c r="O231" s="53"/>
      <c r="P231" s="53"/>
      <c r="Q231" s="9"/>
      <c r="R231" s="9"/>
      <c r="S231" s="9"/>
      <c r="T231" s="9"/>
      <c r="U231" s="53"/>
      <c r="V231" s="9"/>
      <c r="W231" s="53"/>
      <c r="X231" s="53"/>
      <c r="Y231" s="53"/>
      <c r="Z231" s="53"/>
      <c r="AA231" s="9"/>
      <c r="AB231" s="9"/>
      <c r="AC231" s="9"/>
      <c r="AD231" s="9"/>
      <c r="AE231" s="81"/>
      <c r="AF231" s="81"/>
      <c r="AG231" s="81"/>
      <c r="AH231" s="81"/>
      <c r="AI231" s="53"/>
      <c r="AJ231" s="53"/>
      <c r="AK231" s="53"/>
    </row>
    <row r="232" spans="1:37" ht="15.75" customHeight="1" x14ac:dyDescent="0.25">
      <c r="A232" s="9"/>
      <c r="B232" s="20"/>
      <c r="C232" s="20"/>
      <c r="D232" s="20"/>
      <c r="E232" s="53"/>
      <c r="F232" s="53"/>
      <c r="G232" s="53"/>
      <c r="H232" s="53"/>
      <c r="I232" s="9"/>
      <c r="J232" s="53"/>
      <c r="K232" s="53"/>
      <c r="L232" s="53"/>
      <c r="M232" s="53"/>
      <c r="N232" s="53"/>
      <c r="O232" s="53"/>
      <c r="P232" s="53"/>
      <c r="Q232" s="9"/>
      <c r="R232" s="9"/>
      <c r="S232" s="9"/>
      <c r="T232" s="9"/>
      <c r="U232" s="53"/>
      <c r="V232" s="9"/>
      <c r="W232" s="53"/>
      <c r="X232" s="53"/>
      <c r="Y232" s="53"/>
      <c r="Z232" s="53"/>
      <c r="AA232" s="9"/>
      <c r="AB232" s="9"/>
      <c r="AC232" s="9"/>
      <c r="AD232" s="9"/>
      <c r="AE232" s="81"/>
      <c r="AF232" s="81"/>
      <c r="AG232" s="81"/>
      <c r="AH232" s="81"/>
      <c r="AI232" s="53"/>
      <c r="AJ232" s="53"/>
      <c r="AK232" s="53"/>
    </row>
    <row r="233" spans="1:37" ht="15.75" customHeight="1" x14ac:dyDescent="0.25">
      <c r="A233" s="9"/>
      <c r="B233" s="20"/>
      <c r="C233" s="20"/>
      <c r="D233" s="20"/>
      <c r="E233" s="53"/>
      <c r="F233" s="53"/>
      <c r="G233" s="53"/>
      <c r="H233" s="53"/>
      <c r="I233" s="9"/>
      <c r="J233" s="53"/>
      <c r="K233" s="53"/>
      <c r="L233" s="53"/>
      <c r="M233" s="53"/>
      <c r="N233" s="53"/>
      <c r="O233" s="53"/>
      <c r="P233" s="53"/>
      <c r="Q233" s="9"/>
      <c r="R233" s="9"/>
      <c r="S233" s="9"/>
      <c r="T233" s="9"/>
      <c r="U233" s="53"/>
      <c r="V233" s="9"/>
      <c r="W233" s="53"/>
      <c r="X233" s="53"/>
      <c r="Y233" s="53"/>
      <c r="Z233" s="53"/>
      <c r="AA233" s="9"/>
      <c r="AB233" s="9"/>
      <c r="AC233" s="9"/>
      <c r="AD233" s="9"/>
      <c r="AE233" s="81"/>
      <c r="AF233" s="81"/>
      <c r="AG233" s="81"/>
      <c r="AH233" s="81"/>
      <c r="AI233" s="53"/>
      <c r="AJ233" s="53"/>
      <c r="AK233" s="53"/>
    </row>
    <row r="234" spans="1:37" ht="15.75" customHeight="1" x14ac:dyDescent="0.25">
      <c r="A234" s="9"/>
      <c r="B234" s="20"/>
      <c r="C234" s="20"/>
      <c r="D234" s="20"/>
      <c r="E234" s="53"/>
      <c r="F234" s="53"/>
      <c r="G234" s="53"/>
      <c r="H234" s="53"/>
      <c r="I234" s="9"/>
      <c r="J234" s="53"/>
      <c r="K234" s="53"/>
      <c r="L234" s="53"/>
      <c r="M234" s="53"/>
      <c r="N234" s="53"/>
      <c r="O234" s="53"/>
      <c r="P234" s="53"/>
      <c r="Q234" s="9"/>
      <c r="R234" s="9"/>
      <c r="S234" s="9"/>
      <c r="T234" s="9"/>
      <c r="U234" s="53"/>
      <c r="V234" s="9"/>
      <c r="W234" s="53"/>
      <c r="X234" s="53"/>
      <c r="Y234" s="53"/>
      <c r="Z234" s="53"/>
      <c r="AA234" s="9"/>
      <c r="AB234" s="9"/>
      <c r="AC234" s="9"/>
      <c r="AD234" s="9"/>
      <c r="AE234" s="81"/>
      <c r="AF234" s="81"/>
      <c r="AG234" s="81"/>
      <c r="AH234" s="81"/>
      <c r="AI234" s="53"/>
      <c r="AJ234" s="53"/>
      <c r="AK234" s="53"/>
    </row>
    <row r="235" spans="1:37" ht="15.75" customHeight="1" x14ac:dyDescent="0.25">
      <c r="A235" s="9"/>
      <c r="B235" s="20"/>
      <c r="C235" s="20"/>
      <c r="D235" s="20"/>
      <c r="E235" s="53"/>
      <c r="F235" s="53"/>
      <c r="G235" s="53"/>
      <c r="H235" s="53"/>
      <c r="I235" s="9"/>
      <c r="J235" s="53"/>
      <c r="K235" s="53"/>
      <c r="L235" s="53"/>
      <c r="M235" s="53"/>
      <c r="N235" s="53"/>
      <c r="O235" s="53"/>
      <c r="P235" s="53"/>
      <c r="Q235" s="9"/>
      <c r="R235" s="9"/>
      <c r="S235" s="9"/>
      <c r="T235" s="9"/>
      <c r="U235" s="53"/>
      <c r="V235" s="9"/>
      <c r="W235" s="53"/>
      <c r="X235" s="53"/>
      <c r="Y235" s="53"/>
      <c r="Z235" s="53"/>
      <c r="AA235" s="9"/>
      <c r="AB235" s="9"/>
      <c r="AC235" s="9"/>
      <c r="AD235" s="9"/>
      <c r="AE235" s="81"/>
      <c r="AF235" s="81"/>
      <c r="AG235" s="81"/>
      <c r="AH235" s="81"/>
      <c r="AI235" s="53"/>
      <c r="AJ235" s="53"/>
      <c r="AK235" s="53"/>
    </row>
    <row r="236" spans="1:37" ht="15.75" customHeight="1" x14ac:dyDescent="0.25">
      <c r="A236" s="9"/>
      <c r="B236" s="20"/>
      <c r="C236" s="20"/>
      <c r="D236" s="20"/>
      <c r="E236" s="53"/>
      <c r="F236" s="53"/>
      <c r="G236" s="53"/>
      <c r="H236" s="53"/>
      <c r="I236" s="9"/>
      <c r="J236" s="53"/>
      <c r="K236" s="53"/>
      <c r="L236" s="53"/>
      <c r="M236" s="53"/>
      <c r="N236" s="53"/>
      <c r="O236" s="53"/>
      <c r="P236" s="53"/>
      <c r="Q236" s="9"/>
      <c r="R236" s="9"/>
      <c r="S236" s="9"/>
      <c r="T236" s="9"/>
      <c r="U236" s="53"/>
      <c r="V236" s="9"/>
      <c r="W236" s="53"/>
      <c r="X236" s="53"/>
      <c r="Y236" s="53"/>
      <c r="Z236" s="53"/>
      <c r="AA236" s="9"/>
      <c r="AB236" s="9"/>
      <c r="AC236" s="9"/>
      <c r="AD236" s="9"/>
      <c r="AE236" s="81"/>
      <c r="AF236" s="81"/>
      <c r="AG236" s="81"/>
      <c r="AH236" s="81"/>
      <c r="AI236" s="53"/>
      <c r="AJ236" s="53"/>
      <c r="AK236" s="53"/>
    </row>
    <row r="237" spans="1:37" ht="15.75" customHeight="1" x14ac:dyDescent="0.25">
      <c r="A237" s="9"/>
      <c r="B237" s="20"/>
      <c r="C237" s="20"/>
      <c r="D237" s="20"/>
      <c r="E237" s="53"/>
      <c r="F237" s="53"/>
      <c r="G237" s="53"/>
      <c r="H237" s="53"/>
      <c r="I237" s="9"/>
      <c r="J237" s="53"/>
      <c r="K237" s="53"/>
      <c r="L237" s="53"/>
      <c r="M237" s="53"/>
      <c r="N237" s="53"/>
      <c r="O237" s="53"/>
      <c r="P237" s="53"/>
      <c r="Q237" s="9"/>
      <c r="R237" s="9"/>
      <c r="S237" s="9"/>
      <c r="T237" s="9"/>
      <c r="U237" s="53"/>
      <c r="V237" s="9"/>
      <c r="W237" s="53"/>
      <c r="X237" s="53"/>
      <c r="Y237" s="53"/>
      <c r="Z237" s="53"/>
      <c r="AA237" s="9"/>
      <c r="AB237" s="9"/>
      <c r="AC237" s="9"/>
      <c r="AD237" s="9"/>
      <c r="AE237" s="81"/>
      <c r="AF237" s="81"/>
      <c r="AG237" s="81"/>
      <c r="AH237" s="81"/>
      <c r="AI237" s="53"/>
      <c r="AJ237" s="53"/>
      <c r="AK237" s="53"/>
    </row>
    <row r="238" spans="1:37" ht="15.75" customHeight="1" x14ac:dyDescent="0.25">
      <c r="A238" s="9"/>
      <c r="B238" s="9"/>
      <c r="C238" s="9"/>
      <c r="D238" s="9"/>
      <c r="E238" s="56"/>
      <c r="F238" s="56"/>
      <c r="G238" s="56"/>
      <c r="H238" s="56"/>
      <c r="I238" s="9"/>
      <c r="J238" s="56"/>
      <c r="K238" s="56"/>
      <c r="L238" s="56"/>
      <c r="M238" s="56"/>
      <c r="N238" s="56"/>
      <c r="O238" s="56"/>
      <c r="P238" s="56"/>
      <c r="Q238" s="9"/>
      <c r="R238" s="9"/>
      <c r="S238" s="9"/>
      <c r="T238" s="9"/>
      <c r="U238" s="56"/>
      <c r="V238" s="9"/>
      <c r="W238" s="56"/>
      <c r="X238" s="56"/>
      <c r="Y238" s="56"/>
      <c r="Z238" s="56"/>
      <c r="AA238" s="9"/>
      <c r="AB238" s="9"/>
      <c r="AC238" s="9"/>
      <c r="AD238" s="9"/>
      <c r="AE238" s="81"/>
      <c r="AF238" s="81"/>
      <c r="AG238" s="81"/>
      <c r="AH238" s="81"/>
      <c r="AI238" s="56"/>
      <c r="AJ238" s="56"/>
      <c r="AK238" s="56"/>
    </row>
    <row r="239" spans="1:37" ht="15.75" customHeight="1" x14ac:dyDescent="0.25">
      <c r="A239" s="9"/>
      <c r="B239" s="9"/>
      <c r="C239" s="9"/>
      <c r="D239" s="9"/>
      <c r="E239" s="56"/>
      <c r="F239" s="56"/>
      <c r="G239" s="56"/>
      <c r="H239" s="56"/>
      <c r="I239" s="9"/>
      <c r="J239" s="56"/>
      <c r="K239" s="56"/>
      <c r="L239" s="56"/>
      <c r="M239" s="56"/>
      <c r="N239" s="56"/>
      <c r="O239" s="56"/>
      <c r="P239" s="56"/>
      <c r="Q239" s="9"/>
      <c r="R239" s="9"/>
      <c r="S239" s="9"/>
      <c r="T239" s="9"/>
      <c r="U239" s="56"/>
      <c r="V239" s="9"/>
      <c r="W239" s="56"/>
      <c r="X239" s="56"/>
      <c r="Y239" s="56"/>
      <c r="Z239" s="56"/>
      <c r="AA239" s="9"/>
      <c r="AB239" s="9"/>
      <c r="AC239" s="9"/>
      <c r="AD239" s="9"/>
      <c r="AE239" s="81"/>
      <c r="AF239" s="81"/>
      <c r="AG239" s="81"/>
      <c r="AH239" s="81"/>
      <c r="AI239" s="56"/>
      <c r="AJ239" s="56"/>
      <c r="AK239" s="56"/>
    </row>
    <row r="240" spans="1:37" ht="15.75" customHeight="1" x14ac:dyDescent="0.25">
      <c r="A240" s="9"/>
      <c r="B240" s="9"/>
      <c r="C240" s="9"/>
      <c r="D240" s="9"/>
      <c r="E240" s="56"/>
      <c r="F240" s="56"/>
      <c r="G240" s="56"/>
      <c r="H240" s="56"/>
      <c r="I240" s="9"/>
      <c r="J240" s="56"/>
      <c r="K240" s="56"/>
      <c r="L240" s="56"/>
      <c r="M240" s="56"/>
      <c r="N240" s="56"/>
      <c r="O240" s="56"/>
      <c r="P240" s="56"/>
      <c r="Q240" s="9"/>
      <c r="R240" s="9"/>
      <c r="S240" s="9"/>
      <c r="T240" s="9"/>
      <c r="U240" s="56"/>
      <c r="V240" s="9"/>
      <c r="W240" s="56"/>
      <c r="X240" s="56"/>
      <c r="Y240" s="56"/>
      <c r="Z240" s="56"/>
      <c r="AA240" s="9"/>
      <c r="AB240" s="9"/>
      <c r="AC240" s="9"/>
      <c r="AD240" s="9"/>
      <c r="AE240" s="81"/>
      <c r="AF240" s="81"/>
      <c r="AG240" s="81"/>
      <c r="AH240" s="81"/>
      <c r="AI240" s="56"/>
      <c r="AJ240" s="56"/>
      <c r="AK240" s="56"/>
    </row>
    <row r="241" spans="1:37" ht="15.75" customHeight="1" x14ac:dyDescent="0.25">
      <c r="A241" s="9"/>
      <c r="B241" s="9"/>
      <c r="C241" s="9"/>
      <c r="D241" s="9"/>
      <c r="E241" s="56"/>
      <c r="F241" s="56"/>
      <c r="G241" s="56"/>
      <c r="H241" s="56"/>
      <c r="I241" s="9"/>
      <c r="J241" s="56"/>
      <c r="K241" s="56"/>
      <c r="L241" s="56"/>
      <c r="M241" s="56"/>
      <c r="N241" s="56"/>
      <c r="O241" s="56"/>
      <c r="P241" s="56"/>
      <c r="Q241" s="9"/>
      <c r="R241" s="9"/>
      <c r="S241" s="9"/>
      <c r="T241" s="9"/>
      <c r="U241" s="56"/>
      <c r="V241" s="9"/>
      <c r="W241" s="56"/>
      <c r="X241" s="56"/>
      <c r="Y241" s="56"/>
      <c r="Z241" s="56"/>
      <c r="AA241" s="9"/>
      <c r="AB241" s="9"/>
      <c r="AC241" s="9"/>
      <c r="AD241" s="9"/>
      <c r="AE241" s="81"/>
      <c r="AF241" s="81"/>
      <c r="AG241" s="81"/>
      <c r="AH241" s="81"/>
      <c r="AI241" s="56"/>
      <c r="AJ241" s="56"/>
      <c r="AK241" s="56"/>
    </row>
    <row r="242" spans="1:37" ht="15.75" customHeight="1" x14ac:dyDescent="0.25">
      <c r="A242" s="9"/>
      <c r="B242" s="9"/>
      <c r="C242" s="9"/>
      <c r="D242" s="9"/>
      <c r="E242" s="56"/>
      <c r="F242" s="56"/>
      <c r="G242" s="56"/>
      <c r="H242" s="56"/>
      <c r="I242" s="9"/>
      <c r="J242" s="56"/>
      <c r="K242" s="56"/>
      <c r="L242" s="56"/>
      <c r="M242" s="56"/>
      <c r="N242" s="56"/>
      <c r="O242" s="56"/>
      <c r="P242" s="56"/>
      <c r="Q242" s="9"/>
      <c r="R242" s="9"/>
      <c r="S242" s="9"/>
      <c r="T242" s="9"/>
      <c r="U242" s="56"/>
      <c r="V242" s="9"/>
      <c r="W242" s="56"/>
      <c r="X242" s="56"/>
      <c r="Y242" s="56"/>
      <c r="Z242" s="56"/>
      <c r="AA242" s="9"/>
      <c r="AB242" s="9"/>
      <c r="AC242" s="9"/>
      <c r="AD242" s="9"/>
      <c r="AE242" s="81"/>
      <c r="AF242" s="81"/>
      <c r="AG242" s="81"/>
      <c r="AH242" s="81"/>
      <c r="AI242" s="56"/>
      <c r="AJ242" s="56"/>
      <c r="AK242" s="56"/>
    </row>
    <row r="243" spans="1:37" ht="15.75" customHeight="1" x14ac:dyDescent="0.25">
      <c r="A243" s="9"/>
      <c r="B243" s="9"/>
      <c r="C243" s="9"/>
      <c r="D243" s="9"/>
      <c r="E243" s="56"/>
      <c r="F243" s="56"/>
      <c r="G243" s="56"/>
      <c r="H243" s="56"/>
      <c r="I243" s="9"/>
      <c r="J243" s="56"/>
      <c r="K243" s="56"/>
      <c r="L243" s="56"/>
      <c r="M243" s="56"/>
      <c r="N243" s="56"/>
      <c r="O243" s="56"/>
      <c r="P243" s="56"/>
      <c r="Q243" s="9"/>
      <c r="R243" s="9"/>
      <c r="S243" s="9"/>
      <c r="T243" s="9"/>
      <c r="U243" s="56"/>
      <c r="V243" s="9"/>
      <c r="W243" s="56"/>
      <c r="X243" s="56"/>
      <c r="Y243" s="56"/>
      <c r="Z243" s="56"/>
      <c r="AA243" s="9"/>
      <c r="AB243" s="9"/>
      <c r="AC243" s="9"/>
      <c r="AD243" s="9"/>
      <c r="AE243" s="81"/>
      <c r="AF243" s="81"/>
      <c r="AG243" s="81"/>
      <c r="AH243" s="81"/>
      <c r="AI243" s="56"/>
      <c r="AJ243" s="56"/>
      <c r="AK243" s="56"/>
    </row>
    <row r="244" spans="1:37" ht="15.75" customHeight="1" x14ac:dyDescent="0.25">
      <c r="A244" s="9"/>
      <c r="B244" s="9"/>
      <c r="C244" s="9"/>
      <c r="D244" s="9"/>
      <c r="E244" s="56"/>
      <c r="F244" s="56"/>
      <c r="G244" s="56"/>
      <c r="H244" s="56"/>
      <c r="I244" s="9"/>
      <c r="J244" s="56"/>
      <c r="K244" s="56"/>
      <c r="L244" s="56"/>
      <c r="M244" s="56"/>
      <c r="N244" s="56"/>
      <c r="O244" s="56"/>
      <c r="P244" s="56"/>
      <c r="Q244" s="9"/>
      <c r="R244" s="9"/>
      <c r="S244" s="9"/>
      <c r="T244" s="9"/>
      <c r="U244" s="56"/>
      <c r="V244" s="9"/>
      <c r="W244" s="56"/>
      <c r="X244" s="56"/>
      <c r="Y244" s="56"/>
      <c r="Z244" s="56"/>
      <c r="AA244" s="9"/>
      <c r="AB244" s="9"/>
      <c r="AC244" s="9"/>
      <c r="AD244" s="9"/>
      <c r="AE244" s="81"/>
      <c r="AF244" s="81"/>
      <c r="AG244" s="81"/>
      <c r="AH244" s="81"/>
      <c r="AI244" s="56"/>
      <c r="AJ244" s="56"/>
      <c r="AK244" s="56"/>
    </row>
    <row r="245" spans="1:37" ht="15.75" customHeight="1" x14ac:dyDescent="0.25">
      <c r="A245" s="9"/>
      <c r="B245" s="9"/>
      <c r="C245" s="9"/>
      <c r="D245" s="9"/>
      <c r="E245" s="56"/>
      <c r="F245" s="56"/>
      <c r="G245" s="56"/>
      <c r="H245" s="56"/>
      <c r="I245" s="9"/>
      <c r="J245" s="56"/>
      <c r="K245" s="56"/>
      <c r="L245" s="56"/>
      <c r="M245" s="56"/>
      <c r="N245" s="56"/>
      <c r="O245" s="56"/>
      <c r="P245" s="56"/>
      <c r="Q245" s="9"/>
      <c r="R245" s="9"/>
      <c r="S245" s="9"/>
      <c r="T245" s="9"/>
      <c r="U245" s="56"/>
      <c r="V245" s="9"/>
      <c r="W245" s="56"/>
      <c r="X245" s="56"/>
      <c r="Y245" s="56"/>
      <c r="Z245" s="56"/>
      <c r="AA245" s="9"/>
      <c r="AB245" s="9"/>
      <c r="AC245" s="9"/>
      <c r="AD245" s="9"/>
      <c r="AE245" s="81"/>
      <c r="AF245" s="81"/>
      <c r="AG245" s="81"/>
      <c r="AH245" s="81"/>
      <c r="AI245" s="56"/>
      <c r="AJ245" s="56"/>
      <c r="AK245" s="56"/>
    </row>
    <row r="246" spans="1:37" ht="15.75" customHeight="1" x14ac:dyDescent="0.25">
      <c r="A246" s="9"/>
      <c r="B246" s="9"/>
      <c r="C246" s="9"/>
      <c r="D246" s="9"/>
      <c r="E246" s="56"/>
      <c r="F246" s="56"/>
      <c r="G246" s="56"/>
      <c r="H246" s="56"/>
      <c r="I246" s="9"/>
      <c r="J246" s="56"/>
      <c r="K246" s="56"/>
      <c r="L246" s="56"/>
      <c r="M246" s="56"/>
      <c r="N246" s="56"/>
      <c r="O246" s="56"/>
      <c r="P246" s="56"/>
      <c r="Q246" s="9"/>
      <c r="R246" s="9"/>
      <c r="S246" s="9"/>
      <c r="T246" s="9"/>
      <c r="U246" s="56"/>
      <c r="V246" s="9"/>
      <c r="W246" s="56"/>
      <c r="X246" s="56"/>
      <c r="Y246" s="56"/>
      <c r="Z246" s="56"/>
      <c r="AA246" s="9"/>
      <c r="AB246" s="9"/>
      <c r="AC246" s="9"/>
      <c r="AD246" s="9"/>
      <c r="AE246" s="81"/>
      <c r="AF246" s="81"/>
      <c r="AG246" s="81"/>
      <c r="AH246" s="81"/>
      <c r="AI246" s="56"/>
      <c r="AJ246" s="56"/>
      <c r="AK246" s="56"/>
    </row>
    <row r="247" spans="1:37" ht="15.75" customHeight="1" x14ac:dyDescent="0.25">
      <c r="A247" s="9"/>
      <c r="B247" s="9"/>
      <c r="C247" s="9"/>
      <c r="D247" s="9"/>
      <c r="E247" s="56"/>
      <c r="F247" s="56"/>
      <c r="G247" s="56"/>
      <c r="H247" s="56"/>
      <c r="I247" s="9"/>
      <c r="J247" s="56"/>
      <c r="K247" s="56"/>
      <c r="L247" s="56"/>
      <c r="M247" s="56"/>
      <c r="N247" s="56"/>
      <c r="O247" s="56"/>
      <c r="P247" s="56"/>
      <c r="Q247" s="9"/>
      <c r="R247" s="9"/>
      <c r="S247" s="9"/>
      <c r="T247" s="9"/>
      <c r="U247" s="56"/>
      <c r="V247" s="9"/>
      <c r="W247" s="56"/>
      <c r="X247" s="56"/>
      <c r="Y247" s="56"/>
      <c r="Z247" s="56"/>
      <c r="AA247" s="9"/>
      <c r="AB247" s="9"/>
      <c r="AC247" s="9"/>
      <c r="AD247" s="9"/>
      <c r="AE247" s="81"/>
      <c r="AF247" s="81"/>
      <c r="AG247" s="81"/>
      <c r="AH247" s="81"/>
      <c r="AI247" s="56"/>
      <c r="AJ247" s="56"/>
      <c r="AK247" s="56"/>
    </row>
    <row r="248" spans="1:37" ht="15.75" customHeight="1" x14ac:dyDescent="0.25">
      <c r="A248" s="9"/>
      <c r="B248" s="9"/>
      <c r="C248" s="9"/>
      <c r="D248" s="9"/>
      <c r="E248" s="56"/>
      <c r="F248" s="56"/>
      <c r="G248" s="56"/>
      <c r="H248" s="56"/>
      <c r="I248" s="9"/>
      <c r="J248" s="56"/>
      <c r="K248" s="56"/>
      <c r="L248" s="56"/>
      <c r="M248" s="56"/>
      <c r="N248" s="56"/>
      <c r="O248" s="56"/>
      <c r="P248" s="56"/>
      <c r="Q248" s="9"/>
      <c r="R248" s="9"/>
      <c r="S248" s="9"/>
      <c r="T248" s="9"/>
      <c r="U248" s="56"/>
      <c r="V248" s="9"/>
      <c r="W248" s="56"/>
      <c r="X248" s="56"/>
      <c r="Y248" s="56"/>
      <c r="Z248" s="56"/>
      <c r="AA248" s="9"/>
      <c r="AB248" s="9"/>
      <c r="AC248" s="9"/>
      <c r="AD248" s="9"/>
      <c r="AE248" s="81"/>
      <c r="AF248" s="81"/>
      <c r="AG248" s="81"/>
      <c r="AH248" s="81"/>
      <c r="AI248" s="56"/>
      <c r="AJ248" s="56"/>
      <c r="AK248" s="56"/>
    </row>
    <row r="249" spans="1:37" ht="15.75" customHeight="1" x14ac:dyDescent="0.25">
      <c r="A249" s="9"/>
      <c r="B249" s="9"/>
      <c r="C249" s="9"/>
      <c r="D249" s="9"/>
      <c r="E249" s="56"/>
      <c r="F249" s="56"/>
      <c r="G249" s="56"/>
      <c r="H249" s="56"/>
      <c r="I249" s="9"/>
      <c r="J249" s="56"/>
      <c r="K249" s="56"/>
      <c r="L249" s="56"/>
      <c r="M249" s="56"/>
      <c r="N249" s="56"/>
      <c r="O249" s="56"/>
      <c r="P249" s="56"/>
      <c r="Q249" s="9"/>
      <c r="R249" s="9"/>
      <c r="S249" s="9"/>
      <c r="T249" s="9"/>
      <c r="U249" s="56"/>
      <c r="V249" s="9"/>
      <c r="W249" s="56"/>
      <c r="X249" s="56"/>
      <c r="Y249" s="56"/>
      <c r="Z249" s="56"/>
      <c r="AA249" s="9"/>
      <c r="AB249" s="9"/>
      <c r="AC249" s="9"/>
      <c r="AD249" s="9"/>
      <c r="AE249" s="81"/>
      <c r="AF249" s="81"/>
      <c r="AG249" s="81"/>
      <c r="AH249" s="81"/>
      <c r="AI249" s="56"/>
      <c r="AJ249" s="56"/>
      <c r="AK249" s="56"/>
    </row>
    <row r="250" spans="1:37" ht="15.75" customHeight="1" x14ac:dyDescent="0.25">
      <c r="A250" s="9"/>
      <c r="B250" s="9"/>
      <c r="C250" s="9"/>
      <c r="D250" s="9"/>
      <c r="E250" s="56"/>
      <c r="F250" s="56"/>
      <c r="G250" s="56"/>
      <c r="H250" s="56"/>
      <c r="I250" s="9"/>
      <c r="J250" s="56"/>
      <c r="K250" s="56"/>
      <c r="L250" s="56"/>
      <c r="M250" s="56"/>
      <c r="N250" s="56"/>
      <c r="O250" s="56"/>
      <c r="P250" s="56"/>
      <c r="Q250" s="9"/>
      <c r="R250" s="9"/>
      <c r="S250" s="9"/>
      <c r="T250" s="9"/>
      <c r="U250" s="56"/>
      <c r="V250" s="9"/>
      <c r="W250" s="56"/>
      <c r="X250" s="56"/>
      <c r="Y250" s="56"/>
      <c r="Z250" s="56"/>
      <c r="AA250" s="9"/>
      <c r="AB250" s="9"/>
      <c r="AC250" s="9"/>
      <c r="AD250" s="9"/>
      <c r="AE250" s="81"/>
      <c r="AF250" s="81"/>
      <c r="AG250" s="81"/>
      <c r="AH250" s="81"/>
      <c r="AI250" s="56"/>
      <c r="AJ250" s="56"/>
      <c r="AK250" s="56"/>
    </row>
    <row r="251" spans="1:37" ht="15.75" customHeight="1" x14ac:dyDescent="0.25">
      <c r="A251" s="9"/>
      <c r="B251" s="9"/>
      <c r="C251" s="9"/>
      <c r="D251" s="9"/>
      <c r="E251" s="56"/>
      <c r="F251" s="56"/>
      <c r="G251" s="56"/>
      <c r="H251" s="56"/>
      <c r="I251" s="9"/>
      <c r="J251" s="56"/>
      <c r="K251" s="56"/>
      <c r="L251" s="56"/>
      <c r="M251" s="56"/>
      <c r="N251" s="56"/>
      <c r="O251" s="56"/>
      <c r="P251" s="56"/>
      <c r="Q251" s="9"/>
      <c r="R251" s="9"/>
      <c r="S251" s="9"/>
      <c r="T251" s="9"/>
      <c r="U251" s="56"/>
      <c r="V251" s="9"/>
      <c r="W251" s="56"/>
      <c r="X251" s="56"/>
      <c r="Y251" s="56"/>
      <c r="Z251" s="56"/>
      <c r="AA251" s="9"/>
      <c r="AB251" s="9"/>
      <c r="AC251" s="9"/>
      <c r="AD251" s="9"/>
      <c r="AE251" s="81"/>
      <c r="AF251" s="81"/>
      <c r="AG251" s="81"/>
      <c r="AH251" s="81"/>
      <c r="AI251" s="56"/>
      <c r="AJ251" s="56"/>
      <c r="AK251" s="56"/>
    </row>
    <row r="252" spans="1:37" ht="15.75" customHeight="1" x14ac:dyDescent="0.25">
      <c r="A252" s="9"/>
      <c r="B252" s="9"/>
      <c r="C252" s="9"/>
      <c r="D252" s="9"/>
      <c r="E252" s="56"/>
      <c r="F252" s="56"/>
      <c r="G252" s="56"/>
      <c r="H252" s="56"/>
      <c r="I252" s="9"/>
      <c r="J252" s="56"/>
      <c r="K252" s="56"/>
      <c r="L252" s="56"/>
      <c r="M252" s="56"/>
      <c r="N252" s="56"/>
      <c r="O252" s="56"/>
      <c r="P252" s="56"/>
      <c r="Q252" s="9"/>
      <c r="R252" s="9"/>
      <c r="S252" s="9"/>
      <c r="T252" s="9"/>
      <c r="U252" s="56"/>
      <c r="V252" s="9"/>
      <c r="W252" s="56"/>
      <c r="X252" s="56"/>
      <c r="Y252" s="56"/>
      <c r="Z252" s="56"/>
      <c r="AA252" s="9"/>
      <c r="AB252" s="9"/>
      <c r="AC252" s="9"/>
      <c r="AD252" s="9"/>
      <c r="AE252" s="81"/>
      <c r="AF252" s="81"/>
      <c r="AG252" s="81"/>
      <c r="AH252" s="81"/>
      <c r="AI252" s="56"/>
      <c r="AJ252" s="56"/>
      <c r="AK252" s="56"/>
    </row>
    <row r="253" spans="1:37" ht="15.75" customHeight="1" x14ac:dyDescent="0.25">
      <c r="A253" s="9"/>
      <c r="B253" s="9"/>
      <c r="C253" s="9"/>
      <c r="D253" s="9"/>
      <c r="E253" s="56"/>
      <c r="F253" s="56"/>
      <c r="G253" s="56"/>
      <c r="H253" s="56"/>
      <c r="I253" s="9"/>
      <c r="J253" s="56"/>
      <c r="K253" s="56"/>
      <c r="L253" s="56"/>
      <c r="M253" s="56"/>
      <c r="N253" s="56"/>
      <c r="O253" s="56"/>
      <c r="P253" s="56"/>
      <c r="Q253" s="9"/>
      <c r="R253" s="9"/>
      <c r="S253" s="9"/>
      <c r="T253" s="9"/>
      <c r="U253" s="56"/>
      <c r="V253" s="9"/>
      <c r="W253" s="56"/>
      <c r="X253" s="56"/>
      <c r="Y253" s="56"/>
      <c r="Z253" s="56"/>
      <c r="AA253" s="9"/>
      <c r="AB253" s="9"/>
      <c r="AC253" s="9"/>
      <c r="AD253" s="9"/>
      <c r="AE253" s="81"/>
      <c r="AF253" s="81"/>
      <c r="AG253" s="81"/>
      <c r="AH253" s="81"/>
      <c r="AI253" s="56"/>
      <c r="AJ253" s="56"/>
      <c r="AK253" s="56"/>
    </row>
    <row r="254" spans="1:37" ht="15.75" customHeight="1" x14ac:dyDescent="0.25">
      <c r="A254" s="9"/>
      <c r="B254" s="9"/>
      <c r="C254" s="9"/>
      <c r="D254" s="9"/>
      <c r="E254" s="56"/>
      <c r="F254" s="56"/>
      <c r="G254" s="56"/>
      <c r="H254" s="56"/>
      <c r="I254" s="9"/>
      <c r="J254" s="56"/>
      <c r="K254" s="56"/>
      <c r="L254" s="56"/>
      <c r="M254" s="56"/>
      <c r="N254" s="56"/>
      <c r="O254" s="56"/>
      <c r="P254" s="56"/>
      <c r="Q254" s="9"/>
      <c r="R254" s="9"/>
      <c r="S254" s="9"/>
      <c r="T254" s="9"/>
      <c r="U254" s="56"/>
      <c r="V254" s="9"/>
      <c r="W254" s="56"/>
      <c r="X254" s="56"/>
      <c r="Y254" s="56"/>
      <c r="Z254" s="56"/>
      <c r="AA254" s="9"/>
      <c r="AB254" s="9"/>
      <c r="AC254" s="9"/>
      <c r="AD254" s="9"/>
      <c r="AE254" s="81"/>
      <c r="AF254" s="81"/>
      <c r="AG254" s="81"/>
      <c r="AH254" s="81"/>
      <c r="AI254" s="56"/>
      <c r="AJ254" s="56"/>
      <c r="AK254" s="56"/>
    </row>
    <row r="255" spans="1:37" ht="15.75" customHeight="1" x14ac:dyDescent="0.25">
      <c r="A255" s="9"/>
      <c r="B255" s="9"/>
      <c r="C255" s="9"/>
      <c r="D255" s="9"/>
      <c r="E255" s="56"/>
      <c r="F255" s="56"/>
      <c r="G255" s="56"/>
      <c r="H255" s="56"/>
      <c r="I255" s="9"/>
      <c r="J255" s="56"/>
      <c r="K255" s="56"/>
      <c r="L255" s="56"/>
      <c r="M255" s="56"/>
      <c r="N255" s="56"/>
      <c r="O255" s="56"/>
      <c r="P255" s="56"/>
      <c r="Q255" s="9"/>
      <c r="R255" s="9"/>
      <c r="S255" s="9"/>
      <c r="T255" s="9"/>
      <c r="U255" s="56"/>
      <c r="V255" s="9"/>
      <c r="W255" s="56"/>
      <c r="X255" s="56"/>
      <c r="Y255" s="56"/>
      <c r="Z255" s="56"/>
      <c r="AA255" s="9"/>
      <c r="AB255" s="9"/>
      <c r="AC255" s="9"/>
      <c r="AD255" s="9"/>
      <c r="AE255" s="81"/>
      <c r="AF255" s="81"/>
      <c r="AG255" s="81"/>
      <c r="AH255" s="81"/>
      <c r="AI255" s="56"/>
      <c r="AJ255" s="56"/>
      <c r="AK255" s="56"/>
    </row>
    <row r="256" spans="1:37" ht="15.75" customHeight="1" x14ac:dyDescent="0.25">
      <c r="A256" s="9"/>
      <c r="B256" s="9"/>
      <c r="C256" s="9"/>
      <c r="D256" s="9"/>
      <c r="E256" s="56"/>
      <c r="F256" s="56"/>
      <c r="G256" s="56"/>
      <c r="H256" s="56"/>
      <c r="I256" s="9"/>
      <c r="J256" s="56"/>
      <c r="K256" s="56"/>
      <c r="L256" s="56"/>
      <c r="M256" s="56"/>
      <c r="N256" s="56"/>
      <c r="O256" s="56"/>
      <c r="P256" s="56"/>
      <c r="Q256" s="9"/>
      <c r="R256" s="9"/>
      <c r="S256" s="9"/>
      <c r="T256" s="9"/>
      <c r="U256" s="56"/>
      <c r="V256" s="9"/>
      <c r="W256" s="56"/>
      <c r="X256" s="56"/>
      <c r="Y256" s="56"/>
      <c r="Z256" s="56"/>
      <c r="AA256" s="9"/>
      <c r="AB256" s="9"/>
      <c r="AC256" s="9"/>
      <c r="AD256" s="9"/>
      <c r="AE256" s="81"/>
      <c r="AF256" s="81"/>
      <c r="AG256" s="81"/>
      <c r="AH256" s="81"/>
      <c r="AI256" s="56"/>
      <c r="AJ256" s="56"/>
      <c r="AK256" s="56"/>
    </row>
    <row r="257" spans="1:37" ht="15.7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81"/>
      <c r="AF257" s="81"/>
      <c r="AG257" s="81"/>
      <c r="AH257" s="81"/>
      <c r="AI257" s="9"/>
      <c r="AJ257" s="9"/>
      <c r="AK257" s="9"/>
    </row>
    <row r="258" spans="1:37" ht="15.75" customHeight="1" x14ac:dyDescent="0.25"/>
    <row r="259" spans="1:37" ht="15.75" customHeight="1" x14ac:dyDescent="0.25"/>
    <row r="260" spans="1:37" ht="15.75" customHeight="1" x14ac:dyDescent="0.25"/>
    <row r="261" spans="1:37" ht="15.75" customHeight="1" x14ac:dyDescent="0.25"/>
    <row r="262" spans="1:37" ht="15.75" customHeight="1" x14ac:dyDescent="0.25"/>
    <row r="263" spans="1:37" ht="15.75" customHeight="1" x14ac:dyDescent="0.25"/>
    <row r="264" spans="1:37" ht="15.75" customHeight="1" x14ac:dyDescent="0.25"/>
    <row r="265" spans="1:37" ht="15.75" customHeight="1" x14ac:dyDescent="0.25"/>
    <row r="266" spans="1:37" ht="15.75" customHeight="1" x14ac:dyDescent="0.25"/>
    <row r="267" spans="1:37" ht="15.75" customHeight="1" x14ac:dyDescent="0.25"/>
    <row r="268" spans="1:37" ht="15.75" customHeight="1" x14ac:dyDescent="0.25"/>
    <row r="269" spans="1:37" ht="15.75" customHeight="1" x14ac:dyDescent="0.25"/>
    <row r="270" spans="1:37" ht="15.75" customHeight="1" x14ac:dyDescent="0.25"/>
    <row r="271" spans="1:37" ht="15.75" customHeight="1" x14ac:dyDescent="0.25"/>
    <row r="272" spans="1:37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J1:AJ1000">
    <cfRule type="cellIs" dxfId="0" priority="1" operator="lessThan">
      <formula>0</formula>
    </cfRule>
  </conditionalFormatting>
  <printOptions horizontalCentered="1" gridLines="1"/>
  <pageMargins left="0.25" right="0.25" top="0.75" bottom="0.75" header="0" footer="0"/>
  <pageSetup paperSize="9" fitToHeight="0" orientation="portrait"/>
  <headerFooter>
    <oddHeader>&amp;L&amp;D&amp;CLIST OF STUDENTS PAYMENT STATUS&amp;R&amp;T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xSplit="1" ySplit="1" topLeftCell="B36" activePane="bottomRight" state="frozen"/>
      <selection pane="topRight" activeCell="B1" sqref="B1"/>
      <selection pane="bottomLeft" activeCell="A2" sqref="A2"/>
      <selection pane="bottomRight" activeCell="C60" sqref="C60"/>
    </sheetView>
  </sheetViews>
  <sheetFormatPr defaultColWidth="14.42578125" defaultRowHeight="15" customHeight="1" x14ac:dyDescent="0.25"/>
  <cols>
    <col min="1" max="1" width="17" customWidth="1"/>
    <col min="2" max="2" width="14" customWidth="1"/>
    <col min="3" max="3" width="61.85546875" customWidth="1"/>
    <col min="4" max="4" width="16.140625" customWidth="1"/>
    <col min="5" max="5" width="29.85546875" customWidth="1"/>
    <col min="6" max="6" width="12.5703125" customWidth="1"/>
    <col min="7" max="7" width="9" customWidth="1"/>
    <col min="8" max="8" width="17" customWidth="1"/>
  </cols>
  <sheetData>
    <row r="1" spans="1:26" ht="15.75" x14ac:dyDescent="0.25">
      <c r="A1" s="82" t="s">
        <v>247</v>
      </c>
      <c r="B1" s="82" t="s">
        <v>248</v>
      </c>
      <c r="C1" s="82" t="s">
        <v>249</v>
      </c>
      <c r="D1" s="83" t="s">
        <v>250</v>
      </c>
      <c r="E1" s="82" t="s">
        <v>251</v>
      </c>
      <c r="F1" s="82" t="s">
        <v>252</v>
      </c>
      <c r="G1" s="63"/>
      <c r="H1" s="84">
        <f>SUM(D2:D978)</f>
        <v>1432390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x14ac:dyDescent="0.25">
      <c r="A2" s="85" t="s">
        <v>532</v>
      </c>
      <c r="B2" s="85" t="s">
        <v>533</v>
      </c>
      <c r="C2" s="85" t="s">
        <v>534</v>
      </c>
      <c r="D2" s="86">
        <v>25000</v>
      </c>
      <c r="E2" s="87" t="s">
        <v>535</v>
      </c>
      <c r="F2" s="87" t="s">
        <v>257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85" t="s">
        <v>536</v>
      </c>
      <c r="B3" s="85" t="s">
        <v>537</v>
      </c>
      <c r="C3" s="85" t="s">
        <v>538</v>
      </c>
      <c r="D3" s="86">
        <v>21500</v>
      </c>
      <c r="E3" s="87" t="s">
        <v>539</v>
      </c>
      <c r="F3" s="87" t="s">
        <v>257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85" t="s">
        <v>540</v>
      </c>
      <c r="B4" s="85" t="s">
        <v>541</v>
      </c>
      <c r="C4" s="85" t="s">
        <v>542</v>
      </c>
      <c r="D4" s="86">
        <v>30000</v>
      </c>
      <c r="E4" s="87" t="s">
        <v>539</v>
      </c>
      <c r="F4" s="87" t="s">
        <v>257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85" t="s">
        <v>543</v>
      </c>
      <c r="B5" s="85" t="s">
        <v>544</v>
      </c>
      <c r="C5" s="85" t="s">
        <v>545</v>
      </c>
      <c r="D5" s="86">
        <v>23000</v>
      </c>
      <c r="E5" s="87" t="s">
        <v>546</v>
      </c>
      <c r="F5" s="87" t="s">
        <v>257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85" t="s">
        <v>547</v>
      </c>
      <c r="B6" s="85" t="s">
        <v>548</v>
      </c>
      <c r="C6" s="85" t="s">
        <v>549</v>
      </c>
      <c r="D6" s="86">
        <v>10000</v>
      </c>
      <c r="E6" s="87" t="s">
        <v>550</v>
      </c>
      <c r="F6" s="87" t="s">
        <v>257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85" t="s">
        <v>547</v>
      </c>
      <c r="B7" s="85" t="s">
        <v>551</v>
      </c>
      <c r="C7" s="85" t="s">
        <v>552</v>
      </c>
      <c r="D7" s="86">
        <v>50000</v>
      </c>
      <c r="E7" s="87" t="s">
        <v>553</v>
      </c>
      <c r="F7" s="87" t="s">
        <v>257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85" t="s">
        <v>554</v>
      </c>
      <c r="B8" s="85" t="s">
        <v>555</v>
      </c>
      <c r="C8" s="85" t="s">
        <v>316</v>
      </c>
      <c r="D8" s="86">
        <v>20000</v>
      </c>
      <c r="E8" s="87" t="s">
        <v>556</v>
      </c>
      <c r="F8" s="87" t="s">
        <v>257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85" t="s">
        <v>554</v>
      </c>
      <c r="B9" s="85" t="s">
        <v>557</v>
      </c>
      <c r="C9" s="85" t="s">
        <v>558</v>
      </c>
      <c r="D9" s="86">
        <v>30000</v>
      </c>
      <c r="E9" s="87" t="s">
        <v>559</v>
      </c>
      <c r="F9" s="87" t="s">
        <v>257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85" t="s">
        <v>560</v>
      </c>
      <c r="B10" s="85" t="s">
        <v>561</v>
      </c>
      <c r="C10" s="85" t="s">
        <v>562</v>
      </c>
      <c r="D10" s="86">
        <v>20000</v>
      </c>
      <c r="E10" s="87" t="s">
        <v>563</v>
      </c>
      <c r="F10" s="87" t="s">
        <v>257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85" t="s">
        <v>560</v>
      </c>
      <c r="B11" s="85" t="s">
        <v>564</v>
      </c>
      <c r="C11" s="85" t="s">
        <v>565</v>
      </c>
      <c r="D11" s="86">
        <v>20000</v>
      </c>
      <c r="E11" s="87" t="s">
        <v>566</v>
      </c>
      <c r="F11" s="87" t="s">
        <v>257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85" t="s">
        <v>560</v>
      </c>
      <c r="B12" s="85" t="s">
        <v>567</v>
      </c>
      <c r="C12" s="85" t="s">
        <v>568</v>
      </c>
      <c r="D12" s="86">
        <v>22000</v>
      </c>
      <c r="E12" s="87" t="s">
        <v>569</v>
      </c>
      <c r="F12" s="87" t="s">
        <v>257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85" t="s">
        <v>560</v>
      </c>
      <c r="B13" s="85" t="s">
        <v>570</v>
      </c>
      <c r="C13" s="85" t="s">
        <v>571</v>
      </c>
      <c r="D13" s="86">
        <v>20500</v>
      </c>
      <c r="E13" s="87" t="s">
        <v>572</v>
      </c>
      <c r="F13" s="87" t="s">
        <v>257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85" t="s">
        <v>560</v>
      </c>
      <c r="B14" s="85" t="s">
        <v>573</v>
      </c>
      <c r="C14" s="85" t="s">
        <v>574</v>
      </c>
      <c r="D14" s="86">
        <v>15000</v>
      </c>
      <c r="E14" s="87" t="s">
        <v>575</v>
      </c>
      <c r="F14" s="87" t="s">
        <v>257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85" t="s">
        <v>560</v>
      </c>
      <c r="B15" s="85" t="s">
        <v>576</v>
      </c>
      <c r="C15" s="85" t="s">
        <v>366</v>
      </c>
      <c r="D15" s="86">
        <v>5000</v>
      </c>
      <c r="E15" s="87" t="s">
        <v>575</v>
      </c>
      <c r="F15" s="87" t="s">
        <v>257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85" t="s">
        <v>577</v>
      </c>
      <c r="B16" s="85" t="s">
        <v>578</v>
      </c>
      <c r="C16" s="85" t="s">
        <v>443</v>
      </c>
      <c r="D16" s="86">
        <v>10000</v>
      </c>
      <c r="E16" s="87" t="s">
        <v>579</v>
      </c>
      <c r="F16" s="87" t="s">
        <v>257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85" t="s">
        <v>577</v>
      </c>
      <c r="B17" s="85" t="s">
        <v>580</v>
      </c>
      <c r="C17" s="85" t="s">
        <v>455</v>
      </c>
      <c r="D17" s="86">
        <v>18170</v>
      </c>
      <c r="E17" s="87" t="s">
        <v>581</v>
      </c>
      <c r="F17" s="87" t="s">
        <v>257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85" t="s">
        <v>582</v>
      </c>
      <c r="B18" s="85" t="s">
        <v>583</v>
      </c>
      <c r="C18" s="85" t="s">
        <v>584</v>
      </c>
      <c r="D18" s="86">
        <v>1500</v>
      </c>
      <c r="E18" s="87" t="s">
        <v>585</v>
      </c>
      <c r="F18" s="87" t="s">
        <v>586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85" t="s">
        <v>582</v>
      </c>
      <c r="B19" s="85" t="s">
        <v>587</v>
      </c>
      <c r="C19" s="85" t="s">
        <v>588</v>
      </c>
      <c r="D19" s="86">
        <v>19500</v>
      </c>
      <c r="E19" s="87" t="s">
        <v>589</v>
      </c>
      <c r="F19" s="87" t="s">
        <v>257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85" t="s">
        <v>590</v>
      </c>
      <c r="B20" s="85" t="s">
        <v>591</v>
      </c>
      <c r="C20" s="85" t="s">
        <v>309</v>
      </c>
      <c r="D20" s="86">
        <v>30380</v>
      </c>
      <c r="E20" s="87" t="s">
        <v>592</v>
      </c>
      <c r="F20" s="87" t="s">
        <v>257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85" t="s">
        <v>590</v>
      </c>
      <c r="B21" s="85" t="s">
        <v>593</v>
      </c>
      <c r="C21" s="85" t="s">
        <v>594</v>
      </c>
      <c r="D21" s="86">
        <v>30000</v>
      </c>
      <c r="E21" s="87" t="s">
        <v>595</v>
      </c>
      <c r="F21" s="87" t="s">
        <v>257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85" t="s">
        <v>596</v>
      </c>
      <c r="B22" s="85" t="s">
        <v>597</v>
      </c>
      <c r="C22" s="85" t="s">
        <v>490</v>
      </c>
      <c r="D22" s="86">
        <v>14000</v>
      </c>
      <c r="E22" s="87" t="s">
        <v>598</v>
      </c>
      <c r="F22" s="87" t="s">
        <v>257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85" t="s">
        <v>596</v>
      </c>
      <c r="B23" s="85" t="s">
        <v>599</v>
      </c>
      <c r="C23" s="85" t="s">
        <v>600</v>
      </c>
      <c r="D23" s="86">
        <v>19410</v>
      </c>
      <c r="E23" s="87" t="s">
        <v>601</v>
      </c>
      <c r="F23" s="87" t="s">
        <v>257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85" t="s">
        <v>602</v>
      </c>
      <c r="B24" s="85" t="s">
        <v>603</v>
      </c>
      <c r="C24" s="85" t="s">
        <v>604</v>
      </c>
      <c r="D24" s="86">
        <v>10000</v>
      </c>
      <c r="E24" s="87" t="s">
        <v>605</v>
      </c>
      <c r="F24" s="87" t="s">
        <v>257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85" t="s">
        <v>606</v>
      </c>
      <c r="B25" s="85" t="s">
        <v>607</v>
      </c>
      <c r="C25" s="85" t="s">
        <v>371</v>
      </c>
      <c r="D25" s="86">
        <v>15000</v>
      </c>
      <c r="E25" s="87" t="s">
        <v>608</v>
      </c>
      <c r="F25" s="87" t="s">
        <v>257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85" t="s">
        <v>606</v>
      </c>
      <c r="B26" s="85" t="s">
        <v>609</v>
      </c>
      <c r="C26" s="85" t="s">
        <v>610</v>
      </c>
      <c r="D26" s="86">
        <v>15000</v>
      </c>
      <c r="E26" s="87" t="s">
        <v>611</v>
      </c>
      <c r="F26" s="87" t="s">
        <v>257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85" t="s">
        <v>612</v>
      </c>
      <c r="B27" s="85" t="s">
        <v>613</v>
      </c>
      <c r="C27" s="85" t="s">
        <v>614</v>
      </c>
      <c r="D27" s="86">
        <v>12990</v>
      </c>
      <c r="E27" s="87" t="s">
        <v>615</v>
      </c>
      <c r="F27" s="87" t="s">
        <v>257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85" t="s">
        <v>612</v>
      </c>
      <c r="B28" s="85" t="s">
        <v>616</v>
      </c>
      <c r="C28" s="85" t="s">
        <v>617</v>
      </c>
      <c r="D28" s="86">
        <v>20000</v>
      </c>
      <c r="E28" s="87" t="s">
        <v>618</v>
      </c>
      <c r="F28" s="87" t="s">
        <v>257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85" t="s">
        <v>619</v>
      </c>
      <c r="B29" s="85" t="s">
        <v>620</v>
      </c>
      <c r="C29" s="85" t="s">
        <v>268</v>
      </c>
      <c r="D29" s="86">
        <v>45000</v>
      </c>
      <c r="E29" s="87" t="s">
        <v>621</v>
      </c>
      <c r="F29" s="87" t="s">
        <v>257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85" t="s">
        <v>622</v>
      </c>
      <c r="B30" s="85" t="s">
        <v>623</v>
      </c>
      <c r="C30" s="85" t="s">
        <v>624</v>
      </c>
      <c r="D30" s="86">
        <v>30000</v>
      </c>
      <c r="E30" s="87" t="s">
        <v>625</v>
      </c>
      <c r="F30" s="87" t="s">
        <v>257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85" t="s">
        <v>622</v>
      </c>
      <c r="B31" s="85" t="s">
        <v>626</v>
      </c>
      <c r="C31" s="85" t="s">
        <v>312</v>
      </c>
      <c r="D31" s="86">
        <v>44000</v>
      </c>
      <c r="E31" s="87" t="s">
        <v>627</v>
      </c>
      <c r="F31" s="87" t="s">
        <v>257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85" t="s">
        <v>628</v>
      </c>
      <c r="B32" s="85" t="s">
        <v>629</v>
      </c>
      <c r="C32" s="85" t="s">
        <v>630</v>
      </c>
      <c r="D32" s="86">
        <v>15000</v>
      </c>
      <c r="E32" s="87" t="s">
        <v>816</v>
      </c>
      <c r="F32" s="87" t="s">
        <v>257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85" t="s">
        <v>631</v>
      </c>
      <c r="B33" s="85" t="s">
        <v>632</v>
      </c>
      <c r="C33" s="85" t="s">
        <v>633</v>
      </c>
      <c r="D33" s="86">
        <v>10000</v>
      </c>
      <c r="E33" s="87" t="s">
        <v>382</v>
      </c>
      <c r="F33" s="87" t="s">
        <v>257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85" t="s">
        <v>634</v>
      </c>
      <c r="B34" s="85" t="s">
        <v>635</v>
      </c>
      <c r="C34" s="85" t="s">
        <v>354</v>
      </c>
      <c r="D34" s="86">
        <v>20000</v>
      </c>
      <c r="E34" s="87" t="s">
        <v>636</v>
      </c>
      <c r="F34" s="87" t="s">
        <v>257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85" t="s">
        <v>634</v>
      </c>
      <c r="B35" s="85" t="s">
        <v>637</v>
      </c>
      <c r="C35" s="85" t="s">
        <v>354</v>
      </c>
      <c r="D35" s="86">
        <v>10000</v>
      </c>
      <c r="E35" s="87" t="s">
        <v>636</v>
      </c>
      <c r="F35" s="87" t="s">
        <v>257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85" t="s">
        <v>638</v>
      </c>
      <c r="B36" s="85" t="s">
        <v>639</v>
      </c>
      <c r="C36" s="85" t="s">
        <v>640</v>
      </c>
      <c r="D36" s="86">
        <v>2500</v>
      </c>
      <c r="E36" s="87" t="s">
        <v>535</v>
      </c>
      <c r="F36" s="87" t="s">
        <v>257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85" t="s">
        <v>641</v>
      </c>
      <c r="B37" s="85" t="s">
        <v>642</v>
      </c>
      <c r="C37" s="85" t="s">
        <v>643</v>
      </c>
      <c r="D37" s="86">
        <v>20000</v>
      </c>
      <c r="E37" s="87" t="s">
        <v>644</v>
      </c>
      <c r="F37" s="87" t="s">
        <v>257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85" t="s">
        <v>645</v>
      </c>
      <c r="B38" s="85" t="s">
        <v>646</v>
      </c>
      <c r="C38" s="85" t="s">
        <v>327</v>
      </c>
      <c r="D38" s="86">
        <v>30000</v>
      </c>
      <c r="E38" s="87" t="s">
        <v>647</v>
      </c>
      <c r="F38" s="87" t="s">
        <v>257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85" t="s">
        <v>645</v>
      </c>
      <c r="B39" s="85" t="s">
        <v>648</v>
      </c>
      <c r="C39" s="85" t="s">
        <v>481</v>
      </c>
      <c r="D39" s="86">
        <v>11500</v>
      </c>
      <c r="E39" s="87" t="s">
        <v>605</v>
      </c>
      <c r="F39" s="87" t="s">
        <v>257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85" t="s">
        <v>649</v>
      </c>
      <c r="B40" s="85" t="s">
        <v>650</v>
      </c>
      <c r="C40" s="85" t="s">
        <v>399</v>
      </c>
      <c r="D40" s="86">
        <v>37500</v>
      </c>
      <c r="E40" s="87" t="s">
        <v>651</v>
      </c>
      <c r="F40" s="87" t="s">
        <v>257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85" t="s">
        <v>652</v>
      </c>
      <c r="B41" s="85" t="s">
        <v>653</v>
      </c>
      <c r="C41" s="85" t="s">
        <v>654</v>
      </c>
      <c r="D41" s="86">
        <v>20000</v>
      </c>
      <c r="E41" s="87" t="s">
        <v>575</v>
      </c>
      <c r="F41" s="87" t="s">
        <v>257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85" t="s">
        <v>655</v>
      </c>
      <c r="B42" s="85" t="s">
        <v>656</v>
      </c>
      <c r="C42" s="85" t="s">
        <v>657</v>
      </c>
      <c r="D42" s="86">
        <v>11500</v>
      </c>
      <c r="E42" s="87" t="s">
        <v>550</v>
      </c>
      <c r="F42" s="87" t="s">
        <v>257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85" t="s">
        <v>655</v>
      </c>
      <c r="B43" s="85" t="s">
        <v>658</v>
      </c>
      <c r="C43" s="85" t="s">
        <v>659</v>
      </c>
      <c r="D43" s="86">
        <v>36500</v>
      </c>
      <c r="E43" s="87" t="s">
        <v>660</v>
      </c>
      <c r="F43" s="87" t="s">
        <v>257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85" t="s">
        <v>661</v>
      </c>
      <c r="B44" s="85" t="s">
        <v>662</v>
      </c>
      <c r="C44" s="85" t="s">
        <v>812</v>
      </c>
      <c r="D44" s="86">
        <v>5500</v>
      </c>
      <c r="E44" s="87" t="s">
        <v>813</v>
      </c>
      <c r="F44" s="87" t="s">
        <v>257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85" t="s">
        <v>661</v>
      </c>
      <c r="B45" s="85" t="s">
        <v>663</v>
      </c>
      <c r="C45" s="85" t="s">
        <v>451</v>
      </c>
      <c r="D45" s="86">
        <v>16000</v>
      </c>
      <c r="E45" s="87" t="s">
        <v>627</v>
      </c>
      <c r="F45" s="87" t="s">
        <v>257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85" t="s">
        <v>664</v>
      </c>
      <c r="B46" s="85" t="s">
        <v>665</v>
      </c>
      <c r="C46" s="85" t="s">
        <v>666</v>
      </c>
      <c r="D46" s="86">
        <v>18500</v>
      </c>
      <c r="E46" s="87" t="s">
        <v>556</v>
      </c>
      <c r="F46" s="87" t="s">
        <v>257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85" t="s">
        <v>664</v>
      </c>
      <c r="B47" s="85" t="s">
        <v>667</v>
      </c>
      <c r="C47" s="85" t="s">
        <v>358</v>
      </c>
      <c r="D47" s="86">
        <v>20000</v>
      </c>
      <c r="E47" s="87" t="s">
        <v>592</v>
      </c>
      <c r="F47" s="87" t="s">
        <v>257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88" t="s">
        <v>668</v>
      </c>
      <c r="B48" s="85" t="s">
        <v>669</v>
      </c>
      <c r="C48" s="88" t="s">
        <v>670</v>
      </c>
      <c r="D48" s="86">
        <v>15000</v>
      </c>
      <c r="E48" s="87" t="s">
        <v>575</v>
      </c>
      <c r="F48" s="87" t="s">
        <v>257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88" t="s">
        <v>668</v>
      </c>
      <c r="B49" s="88" t="s">
        <v>671</v>
      </c>
      <c r="C49" s="88" t="s">
        <v>384</v>
      </c>
      <c r="D49" s="89">
        <v>36500</v>
      </c>
      <c r="E49" s="87" t="s">
        <v>660</v>
      </c>
      <c r="F49" s="87" t="s">
        <v>257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88" t="s">
        <v>668</v>
      </c>
      <c r="B50" s="88" t="s">
        <v>672</v>
      </c>
      <c r="C50" s="88" t="s">
        <v>673</v>
      </c>
      <c r="D50" s="89">
        <v>5000</v>
      </c>
      <c r="E50" s="87" t="s">
        <v>813</v>
      </c>
      <c r="F50" s="87" t="s">
        <v>257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88" t="s">
        <v>668</v>
      </c>
      <c r="B51" s="90" t="s">
        <v>674</v>
      </c>
      <c r="C51" s="91" t="s">
        <v>675</v>
      </c>
      <c r="D51" s="92">
        <v>20500</v>
      </c>
      <c r="E51" s="90" t="s">
        <v>569</v>
      </c>
      <c r="F51" s="88" t="s">
        <v>257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85" t="s">
        <v>676</v>
      </c>
      <c r="B52" s="85" t="s">
        <v>677</v>
      </c>
      <c r="C52" s="85" t="s">
        <v>678</v>
      </c>
      <c r="D52" s="86">
        <v>20000</v>
      </c>
      <c r="E52" s="87" t="s">
        <v>553</v>
      </c>
      <c r="F52" s="87" t="s">
        <v>257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88" t="s">
        <v>679</v>
      </c>
      <c r="B53" s="90" t="s">
        <v>680</v>
      </c>
      <c r="C53" s="91" t="s">
        <v>468</v>
      </c>
      <c r="D53" s="92">
        <v>12000</v>
      </c>
      <c r="E53" s="90" t="s">
        <v>563</v>
      </c>
      <c r="F53" s="88" t="s">
        <v>257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88" t="s">
        <v>679</v>
      </c>
      <c r="B54" s="88" t="s">
        <v>681</v>
      </c>
      <c r="C54" s="88" t="s">
        <v>682</v>
      </c>
      <c r="D54" s="89">
        <v>10000</v>
      </c>
      <c r="E54" s="88" t="s">
        <v>546</v>
      </c>
      <c r="F54" s="88" t="s">
        <v>257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88" t="s">
        <v>683</v>
      </c>
      <c r="B55" s="88" t="s">
        <v>684</v>
      </c>
      <c r="C55" s="88" t="s">
        <v>685</v>
      </c>
      <c r="D55" s="89">
        <v>20000</v>
      </c>
      <c r="E55" s="88" t="s">
        <v>621</v>
      </c>
      <c r="F55" s="88" t="s">
        <v>257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88" t="s">
        <v>683</v>
      </c>
      <c r="B56" s="88" t="s">
        <v>686</v>
      </c>
      <c r="C56" s="88" t="s">
        <v>687</v>
      </c>
      <c r="D56" s="89">
        <v>6500</v>
      </c>
      <c r="E56" s="88" t="s">
        <v>608</v>
      </c>
      <c r="F56" s="88" t="s">
        <v>257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88" t="s">
        <v>683</v>
      </c>
      <c r="B57" s="88" t="s">
        <v>688</v>
      </c>
      <c r="C57" s="88" t="s">
        <v>443</v>
      </c>
      <c r="D57" s="89">
        <v>10500</v>
      </c>
      <c r="E57" s="88" t="s">
        <v>579</v>
      </c>
      <c r="F57" s="88" t="s">
        <v>257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88" t="s">
        <v>689</v>
      </c>
      <c r="B58" s="88" t="s">
        <v>690</v>
      </c>
      <c r="C58" s="88" t="s">
        <v>691</v>
      </c>
      <c r="D58" s="89">
        <v>10000</v>
      </c>
      <c r="E58" s="88" t="s">
        <v>595</v>
      </c>
      <c r="F58" s="88" t="s">
        <v>257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88" t="s">
        <v>692</v>
      </c>
      <c r="B59" s="88" t="s">
        <v>693</v>
      </c>
      <c r="C59" s="88" t="s">
        <v>451</v>
      </c>
      <c r="D59" s="89">
        <v>15000</v>
      </c>
      <c r="E59" s="88" t="s">
        <v>627</v>
      </c>
      <c r="F59" s="88" t="s">
        <v>257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88" t="s">
        <v>694</v>
      </c>
      <c r="B60" s="88" t="s">
        <v>695</v>
      </c>
      <c r="C60" s="88" t="s">
        <v>696</v>
      </c>
      <c r="D60" s="89">
        <v>9500</v>
      </c>
      <c r="E60" s="88" t="s">
        <v>382</v>
      </c>
      <c r="F60" s="88" t="s">
        <v>257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88" t="s">
        <v>697</v>
      </c>
      <c r="B61" s="85" t="s">
        <v>677</v>
      </c>
      <c r="C61" s="85" t="s">
        <v>678</v>
      </c>
      <c r="D61" s="86">
        <v>22500</v>
      </c>
      <c r="E61" s="87" t="s">
        <v>553</v>
      </c>
      <c r="F61" s="87" t="s">
        <v>257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88" t="s">
        <v>697</v>
      </c>
      <c r="B62" s="88" t="s">
        <v>698</v>
      </c>
      <c r="C62" s="88" t="s">
        <v>435</v>
      </c>
      <c r="D62" s="89">
        <v>20000</v>
      </c>
      <c r="E62" s="88" t="s">
        <v>816</v>
      </c>
      <c r="F62" s="88" t="s">
        <v>257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88" t="s">
        <v>699</v>
      </c>
      <c r="B63" s="88" t="s">
        <v>700</v>
      </c>
      <c r="C63" s="88" t="s">
        <v>701</v>
      </c>
      <c r="D63" s="89">
        <v>30000</v>
      </c>
      <c r="E63" s="88" t="s">
        <v>618</v>
      </c>
      <c r="F63" s="88" t="s">
        <v>257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88" t="s">
        <v>697</v>
      </c>
      <c r="B64" s="88" t="s">
        <v>702</v>
      </c>
      <c r="C64" s="88" t="s">
        <v>703</v>
      </c>
      <c r="D64" s="89">
        <v>10000</v>
      </c>
      <c r="E64" s="88" t="s">
        <v>621</v>
      </c>
      <c r="F64" s="88" t="s">
        <v>257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88" t="s">
        <v>704</v>
      </c>
      <c r="B65" s="88" t="s">
        <v>705</v>
      </c>
      <c r="C65" s="88" t="s">
        <v>703</v>
      </c>
      <c r="D65" s="89">
        <v>2750</v>
      </c>
      <c r="E65" s="88" t="s">
        <v>621</v>
      </c>
      <c r="F65" s="88" t="s">
        <v>257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88" t="s">
        <v>706</v>
      </c>
      <c r="B66" s="88" t="s">
        <v>707</v>
      </c>
      <c r="C66" s="88" t="s">
        <v>610</v>
      </c>
      <c r="D66" s="89">
        <v>10500</v>
      </c>
      <c r="E66" s="88" t="s">
        <v>611</v>
      </c>
      <c r="F66" s="88" t="s">
        <v>257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88" t="s">
        <v>708</v>
      </c>
      <c r="B67" s="88" t="s">
        <v>709</v>
      </c>
      <c r="C67" s="88" t="s">
        <v>327</v>
      </c>
      <c r="D67" s="89">
        <v>20000</v>
      </c>
      <c r="E67" s="88" t="s">
        <v>647</v>
      </c>
      <c r="F67" s="88" t="s">
        <v>257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88" t="s">
        <v>710</v>
      </c>
      <c r="B68" s="88" t="s">
        <v>711</v>
      </c>
      <c r="C68" s="88" t="s">
        <v>712</v>
      </c>
      <c r="D68" s="89">
        <v>35000</v>
      </c>
      <c r="E68" s="88" t="s">
        <v>563</v>
      </c>
      <c r="F68" s="88" t="s">
        <v>257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88" t="s">
        <v>713</v>
      </c>
      <c r="B69" s="88" t="s">
        <v>714</v>
      </c>
      <c r="C69" s="88" t="s">
        <v>354</v>
      </c>
      <c r="D69" s="89">
        <v>20000</v>
      </c>
      <c r="E69" s="88" t="s">
        <v>636</v>
      </c>
      <c r="F69" s="88" t="s">
        <v>257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 t="s">
        <v>715</v>
      </c>
      <c r="B70" s="5" t="s">
        <v>716</v>
      </c>
      <c r="C70" s="5" t="s">
        <v>717</v>
      </c>
      <c r="D70" s="89">
        <v>14000</v>
      </c>
      <c r="E70" s="88" t="s">
        <v>598</v>
      </c>
      <c r="F70" s="88" t="s">
        <v>257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88" t="s">
        <v>718</v>
      </c>
      <c r="B71" s="88" t="s">
        <v>719</v>
      </c>
      <c r="C71" s="88" t="s">
        <v>720</v>
      </c>
      <c r="D71" s="89">
        <v>22700</v>
      </c>
      <c r="E71" s="88" t="s">
        <v>721</v>
      </c>
      <c r="F71" s="88" t="s">
        <v>257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88" t="s">
        <v>718</v>
      </c>
      <c r="B72" s="88" t="s">
        <v>722</v>
      </c>
      <c r="C72" s="88" t="s">
        <v>312</v>
      </c>
      <c r="D72" s="89">
        <v>15000</v>
      </c>
      <c r="E72" s="88" t="s">
        <v>627</v>
      </c>
      <c r="F72" s="88" t="s">
        <v>257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88" t="s">
        <v>718</v>
      </c>
      <c r="B73" s="88" t="s">
        <v>723</v>
      </c>
      <c r="C73" s="88" t="s">
        <v>724</v>
      </c>
      <c r="D73" s="89">
        <v>12990</v>
      </c>
      <c r="E73" s="88" t="s">
        <v>615</v>
      </c>
      <c r="F73" s="88" t="s">
        <v>257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88" t="s">
        <v>725</v>
      </c>
      <c r="B74" s="88" t="s">
        <v>726</v>
      </c>
      <c r="C74" s="88" t="s">
        <v>810</v>
      </c>
      <c r="D74" s="89">
        <v>5000</v>
      </c>
      <c r="E74" s="88" t="s">
        <v>813</v>
      </c>
      <c r="F74" s="88" t="s">
        <v>257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88" t="s">
        <v>725</v>
      </c>
      <c r="B75" s="88" t="s">
        <v>727</v>
      </c>
      <c r="C75" s="88" t="s">
        <v>728</v>
      </c>
      <c r="D75" s="89">
        <v>9000</v>
      </c>
      <c r="E75" s="88" t="s">
        <v>618</v>
      </c>
      <c r="F75" s="88" t="s">
        <v>257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88" t="s">
        <v>729</v>
      </c>
      <c r="B76" s="88" t="s">
        <v>730</v>
      </c>
      <c r="C76" s="88" t="s">
        <v>731</v>
      </c>
      <c r="D76" s="89">
        <v>15000</v>
      </c>
      <c r="E76" s="88" t="s">
        <v>575</v>
      </c>
      <c r="F76" s="88" t="s">
        <v>257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88" t="s">
        <v>732</v>
      </c>
      <c r="B77" s="88" t="s">
        <v>733</v>
      </c>
      <c r="C77" s="88" t="s">
        <v>312</v>
      </c>
      <c r="D77" s="89">
        <v>6000</v>
      </c>
      <c r="E77" s="88" t="s">
        <v>627</v>
      </c>
      <c r="F77" s="88" t="s">
        <v>257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88" t="s">
        <v>732</v>
      </c>
      <c r="B78" s="88" t="s">
        <v>734</v>
      </c>
      <c r="C78" s="88" t="s">
        <v>393</v>
      </c>
      <c r="D78" s="89">
        <v>30000</v>
      </c>
      <c r="E78" s="88" t="s">
        <v>539</v>
      </c>
      <c r="F78" s="88" t="s">
        <v>257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88" t="s">
        <v>735</v>
      </c>
      <c r="B79" s="88" t="s">
        <v>736</v>
      </c>
      <c r="C79" s="88" t="s">
        <v>358</v>
      </c>
      <c r="D79" s="89">
        <v>10000</v>
      </c>
      <c r="E79" s="88" t="s">
        <v>592</v>
      </c>
      <c r="F79" s="88" t="s">
        <v>257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88"/>
      <c r="B80" s="88"/>
      <c r="C80" s="88"/>
      <c r="D80" s="89"/>
      <c r="E80" s="88"/>
      <c r="F80" s="88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88"/>
      <c r="B81" s="88"/>
      <c r="C81" s="88"/>
      <c r="D81" s="89"/>
      <c r="E81" s="88"/>
      <c r="F81" s="88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88"/>
      <c r="B82" s="88"/>
      <c r="C82" s="88"/>
      <c r="D82" s="89"/>
      <c r="E82" s="88"/>
      <c r="F82" s="88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88"/>
      <c r="B83" s="88"/>
      <c r="C83" s="88"/>
      <c r="D83" s="89"/>
      <c r="E83" s="88"/>
      <c r="F83" s="88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88"/>
      <c r="B84" s="88"/>
      <c r="C84" s="88"/>
      <c r="D84" s="89"/>
      <c r="E84" s="88"/>
      <c r="F84" s="88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88"/>
      <c r="B85" s="88"/>
      <c r="C85" s="88"/>
      <c r="D85" s="89"/>
      <c r="E85" s="88"/>
      <c r="F85" s="88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88"/>
      <c r="B86" s="88"/>
      <c r="C86" s="88"/>
      <c r="D86" s="89"/>
      <c r="E86" s="88"/>
      <c r="F86" s="88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88"/>
      <c r="B87" s="88"/>
      <c r="C87" s="88"/>
      <c r="D87" s="89"/>
      <c r="E87" s="88"/>
      <c r="F87" s="88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88"/>
      <c r="B88" s="88"/>
      <c r="C88" s="88"/>
      <c r="D88" s="89"/>
      <c r="E88" s="88"/>
      <c r="F88" s="88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88"/>
      <c r="B89" s="88"/>
      <c r="C89" s="88"/>
      <c r="D89" s="89"/>
      <c r="E89" s="88"/>
      <c r="F89" s="88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88"/>
      <c r="B90" s="88"/>
      <c r="C90" s="88"/>
      <c r="D90" s="89"/>
      <c r="E90" s="88"/>
      <c r="F90" s="88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88"/>
      <c r="B91" s="88"/>
      <c r="C91" s="88"/>
      <c r="D91" s="89"/>
      <c r="E91" s="88"/>
      <c r="F91" s="88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88"/>
      <c r="B92" s="88"/>
      <c r="C92" s="88"/>
      <c r="D92" s="89"/>
      <c r="E92" s="88"/>
      <c r="F92" s="88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88"/>
      <c r="B93" s="88"/>
      <c r="C93" s="88"/>
      <c r="D93" s="89"/>
      <c r="E93" s="88"/>
      <c r="F93" s="88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88"/>
      <c r="B94" s="88"/>
      <c r="C94" s="88"/>
      <c r="D94" s="89"/>
      <c r="E94" s="88"/>
      <c r="F94" s="88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88"/>
      <c r="B95" s="88"/>
      <c r="C95" s="88"/>
      <c r="D95" s="89"/>
      <c r="E95" s="88"/>
      <c r="F95" s="88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88"/>
      <c r="B96" s="88"/>
      <c r="C96" s="88"/>
      <c r="D96" s="89"/>
      <c r="E96" s="88"/>
      <c r="F96" s="88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88"/>
      <c r="B97" s="88"/>
      <c r="C97" s="88"/>
      <c r="D97" s="89"/>
      <c r="E97" s="88"/>
      <c r="F97" s="88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88"/>
      <c r="B98" s="88"/>
      <c r="C98" s="88"/>
      <c r="D98" s="89"/>
      <c r="E98" s="88"/>
      <c r="F98" s="88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88"/>
      <c r="B99" s="88"/>
      <c r="C99" s="88"/>
      <c r="D99" s="89"/>
      <c r="E99" s="88"/>
      <c r="F99" s="88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88"/>
      <c r="B100" s="88"/>
      <c r="C100" s="88"/>
      <c r="D100" s="89"/>
      <c r="E100" s="88"/>
      <c r="F100" s="8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88"/>
      <c r="B101" s="88"/>
      <c r="C101" s="88"/>
      <c r="D101" s="89"/>
      <c r="E101" s="88"/>
      <c r="F101" s="8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88"/>
      <c r="B102" s="88"/>
      <c r="C102" s="88"/>
      <c r="D102" s="89"/>
      <c r="E102" s="88"/>
      <c r="F102" s="88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88"/>
      <c r="B103" s="88"/>
      <c r="C103" s="88"/>
      <c r="D103" s="89"/>
      <c r="E103" s="88"/>
      <c r="F103" s="8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88"/>
      <c r="B104" s="88"/>
      <c r="C104" s="88"/>
      <c r="D104" s="89"/>
      <c r="E104" s="88"/>
      <c r="F104" s="8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88"/>
      <c r="B105" s="88"/>
      <c r="C105" s="88"/>
      <c r="D105" s="89"/>
      <c r="E105" s="88"/>
      <c r="F105" s="8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88"/>
      <c r="B106" s="88"/>
      <c r="C106" s="88"/>
      <c r="D106" s="89"/>
      <c r="E106" s="88"/>
      <c r="F106" s="88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88"/>
      <c r="B107" s="88"/>
      <c r="C107" s="88"/>
      <c r="D107" s="89"/>
      <c r="E107" s="88"/>
      <c r="F107" s="8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88"/>
      <c r="B108" s="88"/>
      <c r="C108" s="88"/>
      <c r="D108" s="89"/>
      <c r="E108" s="88"/>
      <c r="F108" s="88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88"/>
      <c r="B109" s="88"/>
      <c r="C109" s="88"/>
      <c r="D109" s="89"/>
      <c r="E109" s="88"/>
      <c r="F109" s="88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88"/>
      <c r="B110" s="88"/>
      <c r="C110" s="88"/>
      <c r="D110" s="89"/>
      <c r="E110" s="88"/>
      <c r="F110" s="88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88"/>
      <c r="B111" s="88"/>
      <c r="C111" s="88"/>
      <c r="D111" s="89"/>
      <c r="E111" s="88"/>
      <c r="F111" s="88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88"/>
      <c r="B112" s="88"/>
      <c r="C112" s="88"/>
      <c r="D112" s="89"/>
      <c r="E112" s="88"/>
      <c r="F112" s="88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88"/>
      <c r="B113" s="88"/>
      <c r="C113" s="88"/>
      <c r="D113" s="89"/>
      <c r="E113" s="88"/>
      <c r="F113" s="88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88"/>
      <c r="B114" s="88"/>
      <c r="C114" s="88"/>
      <c r="D114" s="89"/>
      <c r="E114" s="88"/>
      <c r="F114" s="88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88"/>
      <c r="B115" s="88"/>
      <c r="C115" s="88"/>
      <c r="D115" s="89"/>
      <c r="E115" s="88"/>
      <c r="F115" s="88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88"/>
      <c r="B116" s="88"/>
      <c r="C116" s="88"/>
      <c r="D116" s="89"/>
      <c r="E116" s="88"/>
      <c r="F116" s="88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88"/>
      <c r="B117" s="88"/>
      <c r="C117" s="88"/>
      <c r="D117" s="89"/>
      <c r="E117" s="88"/>
      <c r="F117" s="88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88"/>
      <c r="B118" s="88"/>
      <c r="C118" s="88"/>
      <c r="D118" s="89"/>
      <c r="E118" s="88"/>
      <c r="F118" s="88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88"/>
      <c r="B119" s="88"/>
      <c r="C119" s="88"/>
      <c r="D119" s="89"/>
      <c r="E119" s="88"/>
      <c r="F119" s="88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88"/>
      <c r="B120" s="88"/>
      <c r="C120" s="88"/>
      <c r="D120" s="89"/>
      <c r="E120" s="88"/>
      <c r="F120" s="88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88"/>
      <c r="B121" s="88"/>
      <c r="C121" s="88"/>
      <c r="D121" s="89"/>
      <c r="E121" s="88"/>
      <c r="F121" s="88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88"/>
      <c r="B122" s="88"/>
      <c r="C122" s="88"/>
      <c r="D122" s="89"/>
      <c r="E122" s="88"/>
      <c r="F122" s="88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88"/>
      <c r="B123" s="88"/>
      <c r="C123" s="88"/>
      <c r="D123" s="89"/>
      <c r="E123" s="88"/>
      <c r="F123" s="88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88"/>
      <c r="B124" s="88"/>
      <c r="C124" s="88"/>
      <c r="D124" s="89"/>
      <c r="E124" s="88"/>
      <c r="F124" s="88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88"/>
      <c r="B125" s="88"/>
      <c r="C125" s="88"/>
      <c r="D125" s="89"/>
      <c r="E125" s="88"/>
      <c r="F125" s="8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88"/>
      <c r="B126" s="88"/>
      <c r="C126" s="88"/>
      <c r="D126" s="89"/>
      <c r="E126" s="88"/>
      <c r="F126" s="88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88"/>
      <c r="B127" s="88"/>
      <c r="C127" s="88"/>
      <c r="D127" s="89"/>
      <c r="E127" s="88"/>
      <c r="F127" s="88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88"/>
      <c r="B128" s="88"/>
      <c r="C128" s="88"/>
      <c r="D128" s="89"/>
      <c r="E128" s="88"/>
      <c r="F128" s="88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88"/>
      <c r="B129" s="88"/>
      <c r="C129" s="88"/>
      <c r="D129" s="89"/>
      <c r="E129" s="88"/>
      <c r="F129" s="88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88"/>
      <c r="B130" s="88"/>
      <c r="C130" s="88"/>
      <c r="D130" s="89"/>
      <c r="E130" s="88"/>
      <c r="F130" s="88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88"/>
      <c r="B131" s="88"/>
      <c r="C131" s="88"/>
      <c r="D131" s="89"/>
      <c r="E131" s="88"/>
      <c r="F131" s="88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88"/>
      <c r="B132" s="88"/>
      <c r="C132" s="88"/>
      <c r="D132" s="89"/>
      <c r="E132" s="88"/>
      <c r="F132" s="88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88"/>
      <c r="B133" s="88"/>
      <c r="C133" s="88"/>
      <c r="D133" s="89"/>
      <c r="E133" s="88"/>
      <c r="F133" s="88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88"/>
      <c r="B134" s="88"/>
      <c r="C134" s="88"/>
      <c r="D134" s="89"/>
      <c r="E134" s="88"/>
      <c r="F134" s="88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88"/>
      <c r="B135" s="88"/>
      <c r="C135" s="88"/>
      <c r="D135" s="89"/>
      <c r="E135" s="88"/>
      <c r="F135" s="88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88"/>
      <c r="B136" s="88"/>
      <c r="C136" s="88"/>
      <c r="D136" s="89"/>
      <c r="E136" s="88"/>
      <c r="F136" s="88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88"/>
      <c r="B137" s="88"/>
      <c r="C137" s="88"/>
      <c r="D137" s="89"/>
      <c r="E137" s="88"/>
      <c r="F137" s="8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88"/>
      <c r="B138" s="88"/>
      <c r="C138" s="88"/>
      <c r="D138" s="89"/>
      <c r="E138" s="88"/>
      <c r="F138" s="88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88"/>
      <c r="B139" s="88"/>
      <c r="C139" s="88"/>
      <c r="D139" s="89"/>
      <c r="E139" s="88"/>
      <c r="F139" s="88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88"/>
      <c r="B140" s="88"/>
      <c r="C140" s="88"/>
      <c r="D140" s="89"/>
      <c r="E140" s="88"/>
      <c r="F140" s="88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88"/>
      <c r="B141" s="88"/>
      <c r="C141" s="88"/>
      <c r="D141" s="89"/>
      <c r="E141" s="88"/>
      <c r="F141" s="88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88"/>
      <c r="B142" s="88"/>
      <c r="C142" s="88"/>
      <c r="D142" s="89"/>
      <c r="E142" s="88"/>
      <c r="F142" s="88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88"/>
      <c r="B143" s="88"/>
      <c r="C143" s="88"/>
      <c r="D143" s="89"/>
      <c r="E143" s="88"/>
      <c r="F143" s="88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88"/>
      <c r="B144" s="88"/>
      <c r="C144" s="88"/>
      <c r="D144" s="89"/>
      <c r="E144" s="88"/>
      <c r="F144" s="88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88"/>
      <c r="B145" s="88"/>
      <c r="C145" s="88"/>
      <c r="D145" s="89"/>
      <c r="E145" s="88"/>
      <c r="F145" s="88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88"/>
      <c r="B146" s="88"/>
      <c r="C146" s="88"/>
      <c r="D146" s="89"/>
      <c r="E146" s="88"/>
      <c r="F146" s="88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88"/>
      <c r="B147" s="88"/>
      <c r="C147" s="88"/>
      <c r="D147" s="89"/>
      <c r="E147" s="88"/>
      <c r="F147" s="88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88"/>
      <c r="B148" s="88"/>
      <c r="C148" s="88"/>
      <c r="D148" s="89"/>
      <c r="E148" s="88"/>
      <c r="F148" s="88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88"/>
      <c r="B149" s="88"/>
      <c r="C149" s="88"/>
      <c r="D149" s="89"/>
      <c r="E149" s="88"/>
      <c r="F149" s="88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88"/>
      <c r="B150" s="88"/>
      <c r="C150" s="88"/>
      <c r="D150" s="89"/>
      <c r="E150" s="88"/>
      <c r="F150" s="88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88"/>
      <c r="B151" s="88"/>
      <c r="C151" s="88"/>
      <c r="D151" s="89"/>
      <c r="E151" s="88"/>
      <c r="F151" s="88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88"/>
      <c r="B152" s="88"/>
      <c r="C152" s="88"/>
      <c r="D152" s="89"/>
      <c r="E152" s="88"/>
      <c r="F152" s="88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88"/>
      <c r="B153" s="88"/>
      <c r="C153" s="88"/>
      <c r="D153" s="89"/>
      <c r="E153" s="88"/>
      <c r="F153" s="88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88"/>
      <c r="B154" s="88"/>
      <c r="C154" s="88"/>
      <c r="D154" s="89"/>
      <c r="E154" s="88"/>
      <c r="F154" s="88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88"/>
      <c r="B155" s="88"/>
      <c r="C155" s="88"/>
      <c r="D155" s="89"/>
      <c r="E155" s="88"/>
      <c r="F155" s="88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88"/>
      <c r="B156" s="88"/>
      <c r="C156" s="88"/>
      <c r="D156" s="89"/>
      <c r="E156" s="88"/>
      <c r="F156" s="88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88"/>
      <c r="B157" s="88"/>
      <c r="C157" s="88"/>
      <c r="D157" s="89"/>
      <c r="E157" s="88"/>
      <c r="F157" s="88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88"/>
      <c r="B158" s="88"/>
      <c r="C158" s="88"/>
      <c r="D158" s="89"/>
      <c r="E158" s="88"/>
      <c r="F158" s="88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88"/>
      <c r="B159" s="88"/>
      <c r="C159" s="88"/>
      <c r="D159" s="89"/>
      <c r="E159" s="88"/>
      <c r="F159" s="88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88"/>
      <c r="B160" s="88"/>
      <c r="C160" s="88"/>
      <c r="D160" s="89"/>
      <c r="E160" s="88"/>
      <c r="F160" s="88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88"/>
      <c r="B161" s="88"/>
      <c r="C161" s="88"/>
      <c r="D161" s="89"/>
      <c r="E161" s="88"/>
      <c r="F161" s="88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88"/>
      <c r="B162" s="88"/>
      <c r="C162" s="88"/>
      <c r="D162" s="89"/>
      <c r="E162" s="88"/>
      <c r="F162" s="88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88"/>
      <c r="B163" s="88"/>
      <c r="C163" s="88"/>
      <c r="D163" s="89"/>
      <c r="E163" s="88"/>
      <c r="F163" s="88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88"/>
      <c r="B164" s="88"/>
      <c r="C164" s="88"/>
      <c r="D164" s="89"/>
      <c r="E164" s="88"/>
      <c r="F164" s="88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88"/>
      <c r="B165" s="88"/>
      <c r="C165" s="88"/>
      <c r="D165" s="89"/>
      <c r="E165" s="88"/>
      <c r="F165" s="88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88"/>
      <c r="B166" s="88"/>
      <c r="C166" s="88"/>
      <c r="D166" s="89"/>
      <c r="E166" s="88"/>
      <c r="F166" s="88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88"/>
      <c r="B167" s="88"/>
      <c r="C167" s="88"/>
      <c r="D167" s="89"/>
      <c r="E167" s="88"/>
      <c r="F167" s="88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88"/>
      <c r="B168" s="88"/>
      <c r="C168" s="88"/>
      <c r="D168" s="89"/>
      <c r="E168" s="88"/>
      <c r="F168" s="88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88"/>
      <c r="B169" s="88"/>
      <c r="C169" s="88"/>
      <c r="D169" s="89"/>
      <c r="E169" s="88"/>
      <c r="F169" s="88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88"/>
      <c r="B170" s="88"/>
      <c r="C170" s="88"/>
      <c r="D170" s="89"/>
      <c r="E170" s="88"/>
      <c r="F170" s="88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88"/>
      <c r="B171" s="88"/>
      <c r="C171" s="88"/>
      <c r="D171" s="89"/>
      <c r="E171" s="88"/>
      <c r="F171" s="88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88"/>
      <c r="B172" s="88"/>
      <c r="C172" s="88"/>
      <c r="D172" s="89"/>
      <c r="E172" s="88"/>
      <c r="F172" s="88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88"/>
      <c r="B173" s="88"/>
      <c r="C173" s="88"/>
      <c r="D173" s="89"/>
      <c r="E173" s="88"/>
      <c r="F173" s="88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88"/>
      <c r="B174" s="88"/>
      <c r="C174" s="88"/>
      <c r="D174" s="89"/>
      <c r="E174" s="88"/>
      <c r="F174" s="88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88"/>
      <c r="B175" s="88"/>
      <c r="C175" s="88"/>
      <c r="D175" s="89"/>
      <c r="E175" s="88"/>
      <c r="F175" s="88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88"/>
      <c r="B176" s="88"/>
      <c r="C176" s="88"/>
      <c r="D176" s="89"/>
      <c r="E176" s="88"/>
      <c r="F176" s="88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88"/>
      <c r="B177" s="88"/>
      <c r="C177" s="88"/>
      <c r="D177" s="89"/>
      <c r="E177" s="88"/>
      <c r="F177" s="88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88"/>
      <c r="B178" s="88"/>
      <c r="C178" s="88"/>
      <c r="D178" s="89"/>
      <c r="E178" s="88"/>
      <c r="F178" s="88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88"/>
      <c r="B179" s="88"/>
      <c r="C179" s="88"/>
      <c r="D179" s="89"/>
      <c r="E179" s="88"/>
      <c r="F179" s="88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88"/>
      <c r="B180" s="88"/>
      <c r="C180" s="88"/>
      <c r="D180" s="89"/>
      <c r="E180" s="88"/>
      <c r="F180" s="88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88"/>
      <c r="B181" s="88"/>
      <c r="C181" s="88"/>
      <c r="D181" s="89"/>
      <c r="E181" s="88"/>
      <c r="F181" s="88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88"/>
      <c r="B182" s="88"/>
      <c r="C182" s="88"/>
      <c r="D182" s="89"/>
      <c r="E182" s="88"/>
      <c r="F182" s="88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88"/>
      <c r="B183" s="88"/>
      <c r="C183" s="88"/>
      <c r="D183" s="89"/>
      <c r="E183" s="88"/>
      <c r="F183" s="88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88"/>
      <c r="B184" s="88"/>
      <c r="C184" s="88"/>
      <c r="D184" s="89"/>
      <c r="E184" s="88"/>
      <c r="F184" s="88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88"/>
      <c r="B185" s="88"/>
      <c r="C185" s="88"/>
      <c r="D185" s="89"/>
      <c r="E185" s="88"/>
      <c r="F185" s="88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88"/>
      <c r="B186" s="88"/>
      <c r="C186" s="88"/>
      <c r="D186" s="89"/>
      <c r="E186" s="88"/>
      <c r="F186" s="88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88"/>
      <c r="B187" s="88"/>
      <c r="C187" s="88"/>
      <c r="D187" s="89"/>
      <c r="E187" s="88"/>
      <c r="F187" s="88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88"/>
      <c r="B188" s="88"/>
      <c r="C188" s="88"/>
      <c r="D188" s="89"/>
      <c r="E188" s="88"/>
      <c r="F188" s="88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88"/>
      <c r="B189" s="88"/>
      <c r="C189" s="88"/>
      <c r="D189" s="89"/>
      <c r="E189" s="88"/>
      <c r="F189" s="88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88"/>
      <c r="B190" s="88"/>
      <c r="C190" s="88"/>
      <c r="D190" s="89"/>
      <c r="E190" s="88"/>
      <c r="F190" s="88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88"/>
      <c r="B191" s="88"/>
      <c r="C191" s="88"/>
      <c r="D191" s="89"/>
      <c r="E191" s="88"/>
      <c r="F191" s="88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88"/>
      <c r="B192" s="88"/>
      <c r="C192" s="88"/>
      <c r="D192" s="89"/>
      <c r="E192" s="88"/>
      <c r="F192" s="88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88"/>
      <c r="B193" s="88"/>
      <c r="C193" s="88"/>
      <c r="D193" s="89"/>
      <c r="E193" s="88"/>
      <c r="F193" s="88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88"/>
      <c r="B194" s="88"/>
      <c r="C194" s="88"/>
      <c r="D194" s="89"/>
      <c r="E194" s="88"/>
      <c r="F194" s="88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88"/>
      <c r="B195" s="88"/>
      <c r="C195" s="88"/>
      <c r="D195" s="89"/>
      <c r="E195" s="88"/>
      <c r="F195" s="88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88"/>
      <c r="B196" s="88"/>
      <c r="C196" s="88"/>
      <c r="D196" s="89"/>
      <c r="E196" s="88"/>
      <c r="F196" s="88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88"/>
      <c r="B197" s="88"/>
      <c r="C197" s="88"/>
      <c r="D197" s="89"/>
      <c r="E197" s="88"/>
      <c r="F197" s="88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88"/>
      <c r="B198" s="88"/>
      <c r="C198" s="88"/>
      <c r="D198" s="89"/>
      <c r="E198" s="88"/>
      <c r="F198" s="88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88"/>
      <c r="B199" s="88"/>
      <c r="C199" s="88"/>
      <c r="D199" s="89"/>
      <c r="E199" s="88"/>
      <c r="F199" s="88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88"/>
      <c r="B200" s="88"/>
      <c r="C200" s="88"/>
      <c r="D200" s="89"/>
      <c r="E200" s="88"/>
      <c r="F200" s="88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88"/>
      <c r="B201" s="88"/>
      <c r="C201" s="88"/>
      <c r="D201" s="89"/>
      <c r="E201" s="88"/>
      <c r="F201" s="88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88"/>
      <c r="B202" s="88"/>
      <c r="C202" s="88"/>
      <c r="D202" s="89"/>
      <c r="E202" s="88"/>
      <c r="F202" s="88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88"/>
      <c r="B203" s="88"/>
      <c r="C203" s="88"/>
      <c r="D203" s="89"/>
      <c r="E203" s="88"/>
      <c r="F203" s="88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88"/>
      <c r="B204" s="88"/>
      <c r="C204" s="88"/>
      <c r="D204" s="89"/>
      <c r="E204" s="88"/>
      <c r="F204" s="88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88"/>
      <c r="B205" s="88"/>
      <c r="C205" s="88"/>
      <c r="D205" s="89"/>
      <c r="E205" s="88"/>
      <c r="F205" s="88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88"/>
      <c r="B206" s="88"/>
      <c r="C206" s="88"/>
      <c r="D206" s="89"/>
      <c r="E206" s="88"/>
      <c r="F206" s="88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88"/>
      <c r="B207" s="88"/>
      <c r="C207" s="88"/>
      <c r="D207" s="89"/>
      <c r="E207" s="88"/>
      <c r="F207" s="88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88"/>
      <c r="B208" s="88"/>
      <c r="C208" s="88"/>
      <c r="D208" s="89"/>
      <c r="E208" s="88"/>
      <c r="F208" s="88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88"/>
      <c r="B209" s="88"/>
      <c r="C209" s="88"/>
      <c r="D209" s="89"/>
      <c r="E209" s="88"/>
      <c r="F209" s="88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88"/>
      <c r="B210" s="88"/>
      <c r="C210" s="88"/>
      <c r="D210" s="89"/>
      <c r="E210" s="88"/>
      <c r="F210" s="88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88"/>
      <c r="B211" s="88"/>
      <c r="C211" s="88"/>
      <c r="D211" s="89"/>
      <c r="E211" s="88"/>
      <c r="F211" s="88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88"/>
      <c r="B212" s="88"/>
      <c r="C212" s="88"/>
      <c r="D212" s="89"/>
      <c r="E212" s="88"/>
      <c r="F212" s="88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88"/>
      <c r="B213" s="88"/>
      <c r="C213" s="88"/>
      <c r="D213" s="89"/>
      <c r="E213" s="88"/>
      <c r="F213" s="88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88"/>
      <c r="B214" s="88"/>
      <c r="C214" s="88"/>
      <c r="D214" s="89"/>
      <c r="E214" s="88"/>
      <c r="F214" s="88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88"/>
      <c r="B215" s="88"/>
      <c r="C215" s="88"/>
      <c r="D215" s="89"/>
      <c r="E215" s="88"/>
      <c r="F215" s="88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88"/>
      <c r="B216" s="88"/>
      <c r="C216" s="88"/>
      <c r="D216" s="89"/>
      <c r="E216" s="88"/>
      <c r="F216" s="88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88"/>
      <c r="B217" s="88"/>
      <c r="C217" s="88"/>
      <c r="D217" s="89"/>
      <c r="E217" s="88"/>
      <c r="F217" s="88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88"/>
      <c r="B218" s="88"/>
      <c r="C218" s="88"/>
      <c r="D218" s="89"/>
      <c r="E218" s="88"/>
      <c r="F218" s="88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88"/>
      <c r="B219" s="88"/>
      <c r="C219" s="88"/>
      <c r="D219" s="89"/>
      <c r="E219" s="88"/>
      <c r="F219" s="88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88"/>
      <c r="B220" s="88"/>
      <c r="C220" s="88"/>
      <c r="D220" s="89"/>
      <c r="E220" s="88"/>
      <c r="F220" s="88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88"/>
      <c r="B221" s="88"/>
      <c r="C221" s="88"/>
      <c r="D221" s="89"/>
      <c r="E221" s="88"/>
      <c r="F221" s="88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88"/>
      <c r="B222" s="88"/>
      <c r="C222" s="88"/>
      <c r="D222" s="89"/>
      <c r="E222" s="88"/>
      <c r="F222" s="88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88"/>
      <c r="B223" s="88"/>
      <c r="C223" s="88"/>
      <c r="D223" s="89"/>
      <c r="E223" s="88"/>
      <c r="F223" s="88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88"/>
      <c r="B224" s="88"/>
      <c r="C224" s="88"/>
      <c r="D224" s="89"/>
      <c r="E224" s="88"/>
      <c r="F224" s="88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88"/>
      <c r="B225" s="88"/>
      <c r="C225" s="88"/>
      <c r="D225" s="89"/>
      <c r="E225" s="88"/>
      <c r="F225" s="88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88"/>
      <c r="B226" s="88"/>
      <c r="C226" s="88"/>
      <c r="D226" s="89"/>
      <c r="E226" s="88"/>
      <c r="F226" s="88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88"/>
      <c r="B227" s="88"/>
      <c r="C227" s="88"/>
      <c r="D227" s="89"/>
      <c r="E227" s="88"/>
      <c r="F227" s="88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88"/>
      <c r="B228" s="88"/>
      <c r="C228" s="88"/>
      <c r="D228" s="89"/>
      <c r="E228" s="88"/>
      <c r="F228" s="88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88"/>
      <c r="B229" s="88"/>
      <c r="C229" s="88"/>
      <c r="D229" s="89"/>
      <c r="E229" s="88"/>
      <c r="F229" s="88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88"/>
      <c r="B230" s="88"/>
      <c r="C230" s="88"/>
      <c r="D230" s="89"/>
      <c r="E230" s="88"/>
      <c r="F230" s="88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88"/>
      <c r="B231" s="88"/>
      <c r="C231" s="88"/>
      <c r="D231" s="89"/>
      <c r="E231" s="88"/>
      <c r="F231" s="88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88"/>
      <c r="B232" s="88"/>
      <c r="C232" s="88"/>
      <c r="D232" s="89"/>
      <c r="E232" s="88"/>
      <c r="F232" s="88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88"/>
      <c r="B233" s="88"/>
      <c r="C233" s="88"/>
      <c r="D233" s="89"/>
      <c r="E233" s="88"/>
      <c r="F233" s="88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88"/>
      <c r="B234" s="88"/>
      <c r="C234" s="88"/>
      <c r="D234" s="89"/>
      <c r="E234" s="88"/>
      <c r="F234" s="88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88"/>
      <c r="B235" s="88"/>
      <c r="C235" s="88"/>
      <c r="D235" s="89"/>
      <c r="E235" s="88"/>
      <c r="F235" s="88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88"/>
      <c r="B236" s="88"/>
      <c r="C236" s="88"/>
      <c r="D236" s="89"/>
      <c r="E236" s="88"/>
      <c r="F236" s="88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88"/>
      <c r="B237" s="88"/>
      <c r="C237" s="88"/>
      <c r="D237" s="89"/>
      <c r="E237" s="88"/>
      <c r="F237" s="88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88"/>
      <c r="B238" s="88"/>
      <c r="C238" s="88"/>
      <c r="D238" s="89"/>
      <c r="E238" s="88"/>
      <c r="F238" s="88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88"/>
      <c r="B239" s="88"/>
      <c r="C239" s="88"/>
      <c r="D239" s="89"/>
      <c r="E239" s="88"/>
      <c r="F239" s="88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88"/>
      <c r="B240" s="88"/>
      <c r="C240" s="88"/>
      <c r="D240" s="89"/>
      <c r="E240" s="88"/>
      <c r="F240" s="88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88"/>
      <c r="B241" s="88"/>
      <c r="C241" s="88"/>
      <c r="D241" s="89"/>
      <c r="E241" s="88"/>
      <c r="F241" s="88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88"/>
      <c r="B242" s="88"/>
      <c r="C242" s="88"/>
      <c r="D242" s="89"/>
      <c r="E242" s="88"/>
      <c r="F242" s="88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88"/>
      <c r="B243" s="88"/>
      <c r="C243" s="88"/>
      <c r="D243" s="89"/>
      <c r="E243" s="88"/>
      <c r="F243" s="88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88"/>
      <c r="B244" s="88"/>
      <c r="C244" s="88"/>
      <c r="D244" s="89"/>
      <c r="E244" s="88"/>
      <c r="F244" s="88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88"/>
      <c r="B245" s="88"/>
      <c r="C245" s="88"/>
      <c r="D245" s="89"/>
      <c r="E245" s="88"/>
      <c r="F245" s="88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88"/>
      <c r="B246" s="88"/>
      <c r="C246" s="88"/>
      <c r="D246" s="89"/>
      <c r="E246" s="88"/>
      <c r="F246" s="88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88"/>
      <c r="B247" s="88"/>
      <c r="C247" s="88"/>
      <c r="D247" s="89"/>
      <c r="E247" s="88"/>
      <c r="F247" s="88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88"/>
      <c r="B248" s="88"/>
      <c r="C248" s="88"/>
      <c r="D248" s="89"/>
      <c r="E248" s="88"/>
      <c r="F248" s="88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88"/>
      <c r="B249" s="88"/>
      <c r="C249" s="88"/>
      <c r="D249" s="89"/>
      <c r="E249" s="88"/>
      <c r="F249" s="88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88"/>
      <c r="B250" s="88"/>
      <c r="C250" s="88"/>
      <c r="D250" s="89"/>
      <c r="E250" s="88"/>
      <c r="F250" s="88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88"/>
      <c r="B251" s="88"/>
      <c r="C251" s="88"/>
      <c r="D251" s="89"/>
      <c r="E251" s="88"/>
      <c r="F251" s="88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88"/>
      <c r="B252" s="88"/>
      <c r="C252" s="88"/>
      <c r="D252" s="89"/>
      <c r="E252" s="88"/>
      <c r="F252" s="88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88"/>
      <c r="B253" s="88"/>
      <c r="C253" s="88"/>
      <c r="D253" s="89"/>
      <c r="E253" s="88"/>
      <c r="F253" s="88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88"/>
      <c r="B254" s="88"/>
      <c r="C254" s="88"/>
      <c r="D254" s="89"/>
      <c r="E254" s="88"/>
      <c r="F254" s="88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88"/>
      <c r="B255" s="88"/>
      <c r="C255" s="88"/>
      <c r="D255" s="89"/>
      <c r="E255" s="88"/>
      <c r="F255" s="88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88"/>
      <c r="B256" s="88"/>
      <c r="C256" s="88"/>
      <c r="D256" s="89"/>
      <c r="E256" s="88"/>
      <c r="F256" s="88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88"/>
      <c r="B257" s="88"/>
      <c r="C257" s="88"/>
      <c r="D257" s="89"/>
      <c r="E257" s="88"/>
      <c r="F257" s="88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88"/>
      <c r="B258" s="88"/>
      <c r="C258" s="88"/>
      <c r="D258" s="89"/>
      <c r="E258" s="88"/>
      <c r="F258" s="88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88"/>
      <c r="B259" s="88"/>
      <c r="C259" s="88"/>
      <c r="D259" s="89"/>
      <c r="E259" s="88"/>
      <c r="F259" s="88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88"/>
      <c r="B260" s="88"/>
      <c r="C260" s="88"/>
      <c r="D260" s="89"/>
      <c r="E260" s="88"/>
      <c r="F260" s="88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88"/>
      <c r="B261" s="88"/>
      <c r="C261" s="88"/>
      <c r="D261" s="89"/>
      <c r="E261" s="88"/>
      <c r="F261" s="88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88"/>
      <c r="B262" s="88"/>
      <c r="C262" s="88"/>
      <c r="D262" s="89"/>
      <c r="E262" s="88"/>
      <c r="F262" s="88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88"/>
      <c r="B263" s="88"/>
      <c r="C263" s="88"/>
      <c r="D263" s="89"/>
      <c r="E263" s="88"/>
      <c r="F263" s="88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88"/>
      <c r="B264" s="88"/>
      <c r="C264" s="88"/>
      <c r="D264" s="89"/>
      <c r="E264" s="88"/>
      <c r="F264" s="88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88"/>
      <c r="B265" s="88"/>
      <c r="C265" s="88"/>
      <c r="D265" s="89"/>
      <c r="E265" s="88"/>
      <c r="F265" s="88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88"/>
      <c r="B266" s="88"/>
      <c r="C266" s="88"/>
      <c r="D266" s="89"/>
      <c r="E266" s="88"/>
      <c r="F266" s="88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88"/>
      <c r="B267" s="88"/>
      <c r="C267" s="88"/>
      <c r="D267" s="89"/>
      <c r="E267" s="88"/>
      <c r="F267" s="88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88"/>
      <c r="B268" s="88"/>
      <c r="C268" s="88"/>
      <c r="D268" s="89"/>
      <c r="E268" s="88"/>
      <c r="F268" s="88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88"/>
      <c r="B269" s="88"/>
      <c r="C269" s="88"/>
      <c r="D269" s="89"/>
      <c r="E269" s="88"/>
      <c r="F269" s="88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88"/>
      <c r="B270" s="88"/>
      <c r="C270" s="88"/>
      <c r="D270" s="89"/>
      <c r="E270" s="88"/>
      <c r="F270" s="88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88"/>
      <c r="B271" s="88"/>
      <c r="C271" s="88"/>
      <c r="D271" s="89"/>
      <c r="E271" s="88"/>
      <c r="F271" s="88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88"/>
      <c r="B272" s="88"/>
      <c r="C272" s="88"/>
      <c r="D272" s="89"/>
      <c r="E272" s="88"/>
      <c r="F272" s="88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88"/>
      <c r="B273" s="88"/>
      <c r="C273" s="88"/>
      <c r="D273" s="89"/>
      <c r="E273" s="88"/>
      <c r="F273" s="88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88"/>
      <c r="B274" s="88"/>
      <c r="C274" s="88"/>
      <c r="D274" s="89"/>
      <c r="E274" s="88"/>
      <c r="F274" s="88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88"/>
      <c r="B275" s="88"/>
      <c r="C275" s="88"/>
      <c r="D275" s="89"/>
      <c r="E275" s="88"/>
      <c r="F275" s="88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89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/>
    <row r="278" spans="1:26" ht="15.75" customHeight="1" x14ac:dyDescent="0.25"/>
    <row r="279" spans="1:26" ht="15.75" customHeight="1" x14ac:dyDescent="0.25"/>
    <row r="280" spans="1:26" ht="15.75" customHeight="1" x14ac:dyDescent="0.25"/>
    <row r="281" spans="1:26" ht="15.75" customHeight="1" x14ac:dyDescent="0.25"/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001"/>
  <sheetViews>
    <sheetView tabSelected="1"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B56" sqref="B56"/>
    </sheetView>
  </sheetViews>
  <sheetFormatPr defaultColWidth="14.42578125" defaultRowHeight="15" customHeight="1" x14ac:dyDescent="0.25"/>
  <cols>
    <col min="1" max="1" width="12" customWidth="1"/>
    <col min="2" max="2" width="26.42578125" customWidth="1"/>
    <col min="3" max="3" width="10.140625" customWidth="1"/>
    <col min="4" max="4" width="14" customWidth="1"/>
    <col min="5" max="5" width="11.7109375" customWidth="1"/>
    <col min="7" max="7" width="12.28515625" customWidth="1"/>
    <col min="8" max="8" width="20.42578125" customWidth="1"/>
    <col min="9" max="9" width="24.42578125" customWidth="1"/>
    <col min="10" max="10" width="16.42578125" customWidth="1"/>
    <col min="11" max="11" width="19.7109375" customWidth="1"/>
    <col min="12" max="12" width="12.7109375" customWidth="1"/>
    <col min="13" max="13" width="16.85546875" customWidth="1"/>
    <col min="14" max="14" width="15.140625" customWidth="1"/>
    <col min="15" max="16" width="14.7109375" customWidth="1"/>
    <col min="17" max="17" width="13.140625" customWidth="1"/>
    <col min="18" max="18" width="19.7109375" customWidth="1"/>
  </cols>
  <sheetData>
    <row r="1" spans="1:18" x14ac:dyDescent="0.25">
      <c r="A1" s="93" t="s">
        <v>0</v>
      </c>
      <c r="B1" s="93" t="s">
        <v>1</v>
      </c>
      <c r="C1" s="93" t="s">
        <v>2</v>
      </c>
      <c r="D1" s="94" t="s">
        <v>520</v>
      </c>
      <c r="E1" s="94" t="s">
        <v>188</v>
      </c>
      <c r="F1" s="94" t="s">
        <v>189</v>
      </c>
      <c r="G1" s="94" t="s">
        <v>737</v>
      </c>
      <c r="H1" s="94" t="s">
        <v>200</v>
      </c>
      <c r="I1" s="94" t="s">
        <v>738</v>
      </c>
      <c r="J1" s="94" t="s">
        <v>21</v>
      </c>
      <c r="K1" s="94" t="s">
        <v>130</v>
      </c>
      <c r="L1" s="94" t="s">
        <v>739</v>
      </c>
      <c r="M1" s="94" t="s">
        <v>740</v>
      </c>
      <c r="N1" s="94" t="s">
        <v>23</v>
      </c>
      <c r="O1" s="94" t="s">
        <v>523</v>
      </c>
      <c r="P1" s="94" t="s">
        <v>741</v>
      </c>
      <c r="Q1" s="94" t="s">
        <v>742</v>
      </c>
      <c r="R1" s="20"/>
    </row>
    <row r="2" spans="1:18" x14ac:dyDescent="0.25">
      <c r="A2" s="48" t="s">
        <v>221</v>
      </c>
      <c r="B2" s="48" t="s">
        <v>222</v>
      </c>
      <c r="C2" s="48" t="s">
        <v>223</v>
      </c>
      <c r="D2" s="49">
        <v>20000</v>
      </c>
      <c r="E2" s="49">
        <v>1500</v>
      </c>
      <c r="F2" s="49"/>
      <c r="G2" s="49"/>
      <c r="H2" s="49"/>
      <c r="I2" s="49"/>
      <c r="J2" s="49"/>
      <c r="K2" s="49"/>
      <c r="L2" s="49"/>
      <c r="M2" s="49"/>
      <c r="N2" s="49"/>
      <c r="O2" s="49">
        <f t="shared" ref="O2:O33" si="0">SUM(D2:N2)</f>
        <v>21500</v>
      </c>
      <c r="P2" s="49">
        <v>21500</v>
      </c>
      <c r="Q2" s="49">
        <f t="shared" ref="Q2:Q33" si="1">O2-P2</f>
        <v>0</v>
      </c>
      <c r="R2" s="20"/>
    </row>
    <row r="3" spans="1:18" x14ac:dyDescent="0.25">
      <c r="A3" s="48" t="s">
        <v>805</v>
      </c>
      <c r="B3" s="48" t="s">
        <v>73</v>
      </c>
      <c r="C3" s="48" t="s">
        <v>227</v>
      </c>
      <c r="D3" s="49">
        <v>20000</v>
      </c>
      <c r="E3" s="49">
        <v>1500</v>
      </c>
      <c r="F3" s="49"/>
      <c r="G3" s="49"/>
      <c r="H3" s="49"/>
      <c r="I3" s="49"/>
      <c r="J3" s="49"/>
      <c r="K3" s="49">
        <v>5000</v>
      </c>
      <c r="L3" s="49"/>
      <c r="M3" s="49"/>
      <c r="N3" s="49">
        <v>-2000</v>
      </c>
      <c r="O3" s="49">
        <f t="shared" si="0"/>
        <v>24500</v>
      </c>
      <c r="P3" s="49">
        <v>24500</v>
      </c>
      <c r="Q3" s="49">
        <f t="shared" si="1"/>
        <v>0</v>
      </c>
      <c r="R3" s="20"/>
    </row>
    <row r="4" spans="1:18" x14ac:dyDescent="0.25">
      <c r="A4" s="48" t="s">
        <v>72</v>
      </c>
      <c r="B4" s="48" t="s">
        <v>236</v>
      </c>
      <c r="C4" s="48" t="s">
        <v>237</v>
      </c>
      <c r="D4" s="49">
        <v>11000</v>
      </c>
      <c r="E4" s="49">
        <v>1000</v>
      </c>
      <c r="F4" s="49"/>
      <c r="G4" s="49">
        <v>3500</v>
      </c>
      <c r="H4" s="49"/>
      <c r="I4" s="49"/>
      <c r="J4" s="49"/>
      <c r="K4" s="49"/>
      <c r="L4" s="49"/>
      <c r="M4" s="49"/>
      <c r="N4" s="49">
        <v>43980</v>
      </c>
      <c r="O4" s="49">
        <f t="shared" si="0"/>
        <v>59480</v>
      </c>
      <c r="P4" s="49">
        <v>25000</v>
      </c>
      <c r="Q4" s="49">
        <f t="shared" si="1"/>
        <v>34480</v>
      </c>
      <c r="R4" s="20"/>
    </row>
    <row r="5" spans="1:18" x14ac:dyDescent="0.25">
      <c r="A5" s="48" t="s">
        <v>72</v>
      </c>
      <c r="B5" s="48" t="s">
        <v>239</v>
      </c>
      <c r="C5" s="48" t="s">
        <v>240</v>
      </c>
      <c r="D5" s="49"/>
      <c r="E5" s="49">
        <v>2000</v>
      </c>
      <c r="F5" s="49"/>
      <c r="G5" s="49">
        <v>3500</v>
      </c>
      <c r="H5" s="49"/>
      <c r="I5" s="49"/>
      <c r="J5" s="49">
        <v>10000</v>
      </c>
      <c r="K5" s="49"/>
      <c r="L5" s="49"/>
      <c r="M5" s="49">
        <v>3000</v>
      </c>
      <c r="N5" s="49">
        <v>30380</v>
      </c>
      <c r="O5" s="49">
        <f t="shared" si="0"/>
        <v>48880</v>
      </c>
      <c r="P5" s="49">
        <v>25000</v>
      </c>
      <c r="Q5" s="49">
        <f t="shared" si="1"/>
        <v>23880</v>
      </c>
      <c r="R5" s="20"/>
    </row>
    <row r="6" spans="1:18" x14ac:dyDescent="0.25">
      <c r="A6" s="48" t="s">
        <v>72</v>
      </c>
      <c r="B6" s="48" t="s">
        <v>231</v>
      </c>
      <c r="C6" s="48" t="s">
        <v>232</v>
      </c>
      <c r="D6" s="49">
        <v>11000</v>
      </c>
      <c r="E6" s="49">
        <v>1000</v>
      </c>
      <c r="F6" s="49"/>
      <c r="G6" s="49">
        <v>3500</v>
      </c>
      <c r="H6" s="49"/>
      <c r="I6" s="49"/>
      <c r="J6" s="49"/>
      <c r="K6" s="49"/>
      <c r="L6" s="49"/>
      <c r="M6" s="49"/>
      <c r="N6" s="49">
        <v>40430</v>
      </c>
      <c r="O6" s="49">
        <f t="shared" si="0"/>
        <v>55930</v>
      </c>
      <c r="P6" s="49">
        <v>30000</v>
      </c>
      <c r="Q6" s="49">
        <f t="shared" si="1"/>
        <v>25930</v>
      </c>
      <c r="R6" s="20"/>
    </row>
    <row r="7" spans="1:18" x14ac:dyDescent="0.25">
      <c r="A7" s="48" t="s">
        <v>81</v>
      </c>
      <c r="B7" s="48" t="s">
        <v>80</v>
      </c>
      <c r="C7" s="48" t="s">
        <v>228</v>
      </c>
      <c r="D7" s="49">
        <v>10000</v>
      </c>
      <c r="E7" s="49">
        <v>750</v>
      </c>
      <c r="F7" s="49"/>
      <c r="G7" s="49">
        <v>1000</v>
      </c>
      <c r="H7" s="49"/>
      <c r="I7" s="49"/>
      <c r="J7" s="49"/>
      <c r="K7" s="49">
        <v>5000</v>
      </c>
      <c r="L7" s="49">
        <v>1500</v>
      </c>
      <c r="M7" s="49"/>
      <c r="N7" s="49"/>
      <c r="O7" s="49">
        <f t="shared" si="0"/>
        <v>18250</v>
      </c>
      <c r="P7" s="49">
        <v>18250</v>
      </c>
      <c r="Q7" s="49">
        <f t="shared" si="1"/>
        <v>0</v>
      </c>
      <c r="R7" s="20"/>
    </row>
    <row r="8" spans="1:18" x14ac:dyDescent="0.25">
      <c r="A8" s="48" t="s">
        <v>81</v>
      </c>
      <c r="B8" s="48" t="s">
        <v>804</v>
      </c>
      <c r="C8" s="48" t="s">
        <v>219</v>
      </c>
      <c r="D8" s="49">
        <v>10000</v>
      </c>
      <c r="E8" s="49">
        <v>500</v>
      </c>
      <c r="F8" s="49"/>
      <c r="G8" s="49"/>
      <c r="H8" s="49"/>
      <c r="I8" s="49"/>
      <c r="J8" s="49"/>
      <c r="K8" s="49">
        <v>5000</v>
      </c>
      <c r="L8" s="49"/>
      <c r="M8" s="49"/>
      <c r="N8" s="49"/>
      <c r="O8" s="49">
        <f t="shared" si="0"/>
        <v>15500</v>
      </c>
      <c r="P8" s="49">
        <v>15500</v>
      </c>
      <c r="Q8" s="49">
        <f t="shared" si="1"/>
        <v>0</v>
      </c>
      <c r="R8" s="20"/>
    </row>
    <row r="9" spans="1:18" x14ac:dyDescent="0.25">
      <c r="A9" s="48" t="s">
        <v>77</v>
      </c>
      <c r="B9" s="48" t="s">
        <v>78</v>
      </c>
      <c r="C9" s="48" t="s">
        <v>228</v>
      </c>
      <c r="D9" s="49">
        <v>20000</v>
      </c>
      <c r="E9" s="49">
        <v>1500</v>
      </c>
      <c r="F9" s="49"/>
      <c r="G9" s="49">
        <v>1000</v>
      </c>
      <c r="H9" s="49"/>
      <c r="I9" s="49"/>
      <c r="J9" s="49"/>
      <c r="K9" s="49"/>
      <c r="L9" s="49"/>
      <c r="M9" s="49"/>
      <c r="N9" s="49"/>
      <c r="O9" s="49">
        <f t="shared" si="0"/>
        <v>22500</v>
      </c>
      <c r="P9" s="49">
        <v>27500</v>
      </c>
      <c r="Q9" s="49">
        <f t="shared" si="1"/>
        <v>-5000</v>
      </c>
      <c r="R9" s="20"/>
    </row>
    <row r="10" spans="1:18" x14ac:dyDescent="0.25">
      <c r="A10" s="48" t="s">
        <v>61</v>
      </c>
      <c r="B10" s="48" t="s">
        <v>224</v>
      </c>
      <c r="C10" s="48" t="s">
        <v>223</v>
      </c>
      <c r="D10" s="49">
        <v>20000</v>
      </c>
      <c r="E10" s="49">
        <v>1500</v>
      </c>
      <c r="F10" s="49"/>
      <c r="G10" s="49"/>
      <c r="H10" s="49"/>
      <c r="I10" s="49"/>
      <c r="J10" s="49"/>
      <c r="K10" s="49">
        <v>5000</v>
      </c>
      <c r="L10" s="49"/>
      <c r="M10" s="49"/>
      <c r="N10" s="49"/>
      <c r="O10" s="49">
        <f t="shared" si="0"/>
        <v>26500</v>
      </c>
      <c r="P10" s="49">
        <v>26500</v>
      </c>
      <c r="Q10" s="49">
        <f t="shared" si="1"/>
        <v>0</v>
      </c>
      <c r="R10" s="20"/>
    </row>
    <row r="11" spans="1:18" x14ac:dyDescent="0.25">
      <c r="A11" s="48" t="s">
        <v>61</v>
      </c>
      <c r="B11" s="48" t="s">
        <v>62</v>
      </c>
      <c r="C11" s="48" t="s">
        <v>232</v>
      </c>
      <c r="D11" s="49">
        <v>22000</v>
      </c>
      <c r="E11" s="49">
        <v>2000</v>
      </c>
      <c r="F11" s="49"/>
      <c r="G11" s="49">
        <v>3500</v>
      </c>
      <c r="H11" s="49"/>
      <c r="I11" s="49"/>
      <c r="J11" s="49"/>
      <c r="K11" s="49">
        <v>5000</v>
      </c>
      <c r="L11" s="49"/>
      <c r="M11" s="49"/>
      <c r="N11" s="49">
        <v>1500</v>
      </c>
      <c r="O11" s="49">
        <f t="shared" si="0"/>
        <v>34000</v>
      </c>
      <c r="P11" s="49">
        <v>34000</v>
      </c>
      <c r="Q11" s="49">
        <f t="shared" si="1"/>
        <v>0</v>
      </c>
      <c r="R11" s="20"/>
    </row>
    <row r="12" spans="1:18" x14ac:dyDescent="0.25">
      <c r="A12" s="48" t="s">
        <v>64</v>
      </c>
      <c r="B12" s="48" t="s">
        <v>65</v>
      </c>
      <c r="C12" s="48" t="s">
        <v>232</v>
      </c>
      <c r="D12" s="49">
        <v>22000</v>
      </c>
      <c r="E12" s="49">
        <v>2000</v>
      </c>
      <c r="F12" s="49"/>
      <c r="G12" s="49">
        <v>3500</v>
      </c>
      <c r="H12" s="49"/>
      <c r="I12" s="49"/>
      <c r="J12" s="49"/>
      <c r="K12" s="49">
        <v>5000</v>
      </c>
      <c r="L12" s="49"/>
      <c r="M12" s="49"/>
      <c r="N12" s="49"/>
      <c r="O12" s="49">
        <f t="shared" si="0"/>
        <v>32500</v>
      </c>
      <c r="P12" s="49">
        <v>32500</v>
      </c>
      <c r="Q12" s="49">
        <f t="shared" si="1"/>
        <v>0</v>
      </c>
      <c r="R12" s="20"/>
    </row>
    <row r="13" spans="1:18" x14ac:dyDescent="0.25">
      <c r="A13" s="48" t="s">
        <v>38</v>
      </c>
      <c r="B13" s="48" t="s">
        <v>90</v>
      </c>
      <c r="C13" s="48" t="s">
        <v>238</v>
      </c>
      <c r="D13" s="49">
        <v>22000</v>
      </c>
      <c r="E13" s="49">
        <v>2000</v>
      </c>
      <c r="F13" s="49"/>
      <c r="G13" s="49">
        <v>3500</v>
      </c>
      <c r="H13" s="49"/>
      <c r="I13" s="49"/>
      <c r="J13" s="49"/>
      <c r="K13" s="49">
        <v>5000</v>
      </c>
      <c r="L13" s="49">
        <v>1500</v>
      </c>
      <c r="M13" s="49"/>
      <c r="N13" s="49"/>
      <c r="O13" s="49">
        <f t="shared" si="0"/>
        <v>34000</v>
      </c>
      <c r="P13" s="49">
        <v>34000</v>
      </c>
      <c r="Q13" s="49">
        <f t="shared" si="1"/>
        <v>0</v>
      </c>
      <c r="R13" s="20"/>
    </row>
    <row r="14" spans="1:18" x14ac:dyDescent="0.25">
      <c r="A14" s="48" t="s">
        <v>38</v>
      </c>
      <c r="B14" s="48" t="s">
        <v>39</v>
      </c>
      <c r="C14" s="48" t="s">
        <v>244</v>
      </c>
      <c r="D14" s="49"/>
      <c r="E14" s="49">
        <v>2500</v>
      </c>
      <c r="F14" s="49"/>
      <c r="G14" s="49">
        <v>4500</v>
      </c>
      <c r="H14" s="49"/>
      <c r="I14" s="49">
        <v>3500</v>
      </c>
      <c r="J14" s="49">
        <v>10000</v>
      </c>
      <c r="K14" s="49">
        <v>5000</v>
      </c>
      <c r="L14" s="49"/>
      <c r="M14" s="49"/>
      <c r="N14" s="49">
        <v>-1980</v>
      </c>
      <c r="O14" s="49">
        <f t="shared" si="0"/>
        <v>23520</v>
      </c>
      <c r="P14" s="49">
        <v>23520</v>
      </c>
      <c r="Q14" s="49">
        <f t="shared" si="1"/>
        <v>0</v>
      </c>
      <c r="R14" s="20"/>
    </row>
    <row r="15" spans="1:18" x14ac:dyDescent="0.25">
      <c r="A15" s="48" t="s">
        <v>47</v>
      </c>
      <c r="B15" s="48" t="s">
        <v>806</v>
      </c>
      <c r="C15" s="48" t="s">
        <v>245</v>
      </c>
      <c r="D15" s="49">
        <v>32000</v>
      </c>
      <c r="E15" s="49">
        <v>2500</v>
      </c>
      <c r="F15" s="49"/>
      <c r="G15" s="49">
        <v>5000</v>
      </c>
      <c r="H15" s="49">
        <v>5000</v>
      </c>
      <c r="I15" s="49"/>
      <c r="J15" s="49"/>
      <c r="K15" s="49"/>
      <c r="L15" s="49"/>
      <c r="M15" s="49"/>
      <c r="N15" s="49">
        <v>12950</v>
      </c>
      <c r="O15" s="49">
        <f t="shared" si="0"/>
        <v>57450</v>
      </c>
      <c r="P15" s="49">
        <v>50000</v>
      </c>
      <c r="Q15" s="49">
        <f t="shared" si="1"/>
        <v>7450</v>
      </c>
      <c r="R15" s="20"/>
    </row>
    <row r="16" spans="1:18" x14ac:dyDescent="0.25">
      <c r="A16" s="48" t="s">
        <v>75</v>
      </c>
      <c r="B16" s="48" t="s">
        <v>42</v>
      </c>
      <c r="C16" s="48" t="s">
        <v>227</v>
      </c>
      <c r="D16" s="49">
        <v>14000</v>
      </c>
      <c r="E16" s="49">
        <v>1500</v>
      </c>
      <c r="F16" s="49"/>
      <c r="G16" s="49"/>
      <c r="H16" s="49"/>
      <c r="I16" s="49"/>
      <c r="J16" s="49"/>
      <c r="K16" s="49">
        <v>5000</v>
      </c>
      <c r="L16" s="49"/>
      <c r="M16" s="49"/>
      <c r="N16" s="49"/>
      <c r="O16" s="49">
        <f t="shared" si="0"/>
        <v>20500</v>
      </c>
      <c r="P16" s="49">
        <v>20500</v>
      </c>
      <c r="Q16" s="49">
        <f t="shared" si="1"/>
        <v>0</v>
      </c>
      <c r="R16" s="20"/>
    </row>
    <row r="17" spans="1:18" x14ac:dyDescent="0.25">
      <c r="A17" s="48" t="s">
        <v>75</v>
      </c>
      <c r="B17" s="48" t="s">
        <v>29</v>
      </c>
      <c r="C17" s="48" t="s">
        <v>227</v>
      </c>
      <c r="D17" s="49">
        <v>14000</v>
      </c>
      <c r="E17" s="49">
        <v>1500</v>
      </c>
      <c r="F17" s="49"/>
      <c r="G17" s="49"/>
      <c r="H17" s="49"/>
      <c r="I17" s="49"/>
      <c r="J17" s="49"/>
      <c r="K17" s="49">
        <v>5000</v>
      </c>
      <c r="L17" s="49"/>
      <c r="M17" s="49"/>
      <c r="N17" s="49">
        <v>12780</v>
      </c>
      <c r="O17" s="49">
        <f t="shared" si="0"/>
        <v>33280</v>
      </c>
      <c r="P17" s="49">
        <v>33280</v>
      </c>
      <c r="Q17" s="49">
        <f t="shared" si="1"/>
        <v>0</v>
      </c>
      <c r="R17" s="20"/>
    </row>
    <row r="18" spans="1:18" x14ac:dyDescent="0.25">
      <c r="A18" s="48" t="s">
        <v>75</v>
      </c>
      <c r="B18" s="48" t="s">
        <v>98</v>
      </c>
      <c r="C18" s="48" t="s">
        <v>237</v>
      </c>
      <c r="D18" s="49">
        <v>22000</v>
      </c>
      <c r="E18" s="49">
        <v>2000</v>
      </c>
      <c r="F18" s="49"/>
      <c r="G18" s="49">
        <v>3500</v>
      </c>
      <c r="H18" s="49"/>
      <c r="I18" s="49"/>
      <c r="J18" s="49"/>
      <c r="K18" s="49">
        <v>5000</v>
      </c>
      <c r="L18" s="49"/>
      <c r="M18" s="49"/>
      <c r="N18" s="49"/>
      <c r="O18" s="49">
        <f t="shared" si="0"/>
        <v>32500</v>
      </c>
      <c r="P18" s="49">
        <v>21220</v>
      </c>
      <c r="Q18" s="49">
        <f t="shared" si="1"/>
        <v>11280</v>
      </c>
      <c r="R18" s="20"/>
    </row>
    <row r="19" spans="1:18" x14ac:dyDescent="0.25">
      <c r="A19" s="48" t="s">
        <v>66</v>
      </c>
      <c r="B19" s="48" t="s">
        <v>67</v>
      </c>
      <c r="C19" s="48" t="s">
        <v>232</v>
      </c>
      <c r="D19" s="49">
        <v>22000</v>
      </c>
      <c r="E19" s="49">
        <v>2000</v>
      </c>
      <c r="F19" s="49"/>
      <c r="G19" s="49">
        <v>3500</v>
      </c>
      <c r="H19" s="49"/>
      <c r="I19" s="49"/>
      <c r="J19" s="49"/>
      <c r="K19" s="49">
        <v>5000</v>
      </c>
      <c r="L19" s="49"/>
      <c r="M19" s="49"/>
      <c r="N19" s="49">
        <v>6500</v>
      </c>
      <c r="O19" s="49">
        <f t="shared" si="0"/>
        <v>39000</v>
      </c>
      <c r="P19" s="49">
        <v>39000</v>
      </c>
      <c r="Q19" s="49">
        <f t="shared" si="1"/>
        <v>0</v>
      </c>
      <c r="R19" s="20"/>
    </row>
    <row r="20" spans="1:18" x14ac:dyDescent="0.25">
      <c r="A20" s="48" t="s">
        <v>52</v>
      </c>
      <c r="B20" s="48" t="s">
        <v>807</v>
      </c>
      <c r="C20" s="48" t="s">
        <v>245</v>
      </c>
      <c r="D20" s="49">
        <v>32000</v>
      </c>
      <c r="E20" s="49">
        <v>2500</v>
      </c>
      <c r="F20" s="49"/>
      <c r="G20" s="49">
        <v>5000</v>
      </c>
      <c r="H20" s="49">
        <v>5000</v>
      </c>
      <c r="I20" s="49"/>
      <c r="J20" s="49"/>
      <c r="K20" s="49">
        <v>5000</v>
      </c>
      <c r="L20" s="49"/>
      <c r="M20" s="49"/>
      <c r="N20" s="49"/>
      <c r="O20" s="49">
        <f t="shared" si="0"/>
        <v>49500</v>
      </c>
      <c r="P20" s="49">
        <v>49500</v>
      </c>
      <c r="Q20" s="49">
        <f t="shared" si="1"/>
        <v>0</v>
      </c>
      <c r="R20" s="20"/>
    </row>
    <row r="21" spans="1:18" x14ac:dyDescent="0.25">
      <c r="A21" s="48" t="s">
        <v>241</v>
      </c>
      <c r="B21" s="48" t="s">
        <v>808</v>
      </c>
      <c r="C21" s="48" t="s">
        <v>242</v>
      </c>
      <c r="D21" s="49" t="s">
        <v>46</v>
      </c>
      <c r="E21" s="49"/>
      <c r="F21" s="49"/>
      <c r="G21" s="49"/>
      <c r="H21" s="49"/>
      <c r="I21" s="49"/>
      <c r="J21" s="49"/>
      <c r="K21" s="49">
        <v>5000</v>
      </c>
      <c r="L21" s="49"/>
      <c r="M21" s="49"/>
      <c r="N21" s="49">
        <v>-7500</v>
      </c>
      <c r="O21" s="49">
        <f t="shared" si="0"/>
        <v>-2500</v>
      </c>
      <c r="P21" s="49">
        <v>0</v>
      </c>
      <c r="Q21" s="49">
        <f t="shared" si="1"/>
        <v>-2500</v>
      </c>
      <c r="R21" s="20"/>
    </row>
    <row r="22" spans="1:18" x14ac:dyDescent="0.25">
      <c r="A22" s="48" t="s">
        <v>53</v>
      </c>
      <c r="B22" s="48" t="s">
        <v>54</v>
      </c>
      <c r="C22" s="48" t="s">
        <v>245</v>
      </c>
      <c r="D22" s="49">
        <v>32000</v>
      </c>
      <c r="E22" s="49">
        <v>2500</v>
      </c>
      <c r="F22" s="49"/>
      <c r="G22" s="49">
        <v>5000</v>
      </c>
      <c r="H22" s="49"/>
      <c r="I22" s="49"/>
      <c r="J22" s="49"/>
      <c r="K22" s="49"/>
      <c r="L22" s="49"/>
      <c r="M22" s="49">
        <v>3000</v>
      </c>
      <c r="N22" s="49"/>
      <c r="O22" s="49">
        <f t="shared" si="0"/>
        <v>42500</v>
      </c>
      <c r="P22" s="49">
        <v>43000</v>
      </c>
      <c r="Q22" s="49">
        <f t="shared" si="1"/>
        <v>-500</v>
      </c>
      <c r="R22" s="20"/>
    </row>
    <row r="23" spans="1:18" x14ac:dyDescent="0.25">
      <c r="A23" s="48" t="s">
        <v>41</v>
      </c>
      <c r="B23" s="48" t="s">
        <v>809</v>
      </c>
      <c r="C23" s="48" t="s">
        <v>244</v>
      </c>
      <c r="D23" s="49"/>
      <c r="E23" s="49">
        <v>2500</v>
      </c>
      <c r="F23" s="49"/>
      <c r="G23" s="49">
        <v>4500</v>
      </c>
      <c r="H23" s="49"/>
      <c r="I23" s="49">
        <v>3500</v>
      </c>
      <c r="J23" s="49">
        <v>10000</v>
      </c>
      <c r="K23" s="49"/>
      <c r="L23" s="49"/>
      <c r="M23" s="49">
        <v>3000</v>
      </c>
      <c r="N23" s="49">
        <v>2450</v>
      </c>
      <c r="O23" s="49">
        <f t="shared" si="0"/>
        <v>25950</v>
      </c>
      <c r="P23" s="49">
        <v>15500</v>
      </c>
      <c r="Q23" s="49">
        <f t="shared" si="1"/>
        <v>10450</v>
      </c>
      <c r="R23" s="20"/>
    </row>
    <row r="24" spans="1:18" x14ac:dyDescent="0.25">
      <c r="A24" s="48" t="s">
        <v>117</v>
      </c>
      <c r="B24" s="48" t="s">
        <v>743</v>
      </c>
      <c r="C24" s="48" t="s">
        <v>223</v>
      </c>
      <c r="D24" s="49">
        <v>11500</v>
      </c>
      <c r="E24" s="49">
        <v>1500</v>
      </c>
      <c r="F24" s="49">
        <v>1000</v>
      </c>
      <c r="G24" s="49"/>
      <c r="H24" s="49"/>
      <c r="I24" s="49"/>
      <c r="J24" s="49"/>
      <c r="K24" s="49">
        <v>5000</v>
      </c>
      <c r="L24" s="49">
        <v>25500</v>
      </c>
      <c r="M24" s="49"/>
      <c r="N24" s="49"/>
      <c r="O24" s="49">
        <f t="shared" si="0"/>
        <v>44500</v>
      </c>
      <c r="P24" s="49">
        <v>32000</v>
      </c>
      <c r="Q24" s="49">
        <f t="shared" si="1"/>
        <v>12500</v>
      </c>
      <c r="R24" s="20"/>
    </row>
    <row r="25" spans="1:18" x14ac:dyDescent="0.25">
      <c r="A25" s="48" t="s">
        <v>117</v>
      </c>
      <c r="B25" s="48" t="s">
        <v>814</v>
      </c>
      <c r="C25" s="48" t="s">
        <v>242</v>
      </c>
      <c r="D25" s="49">
        <v>24500</v>
      </c>
      <c r="E25" s="49">
        <v>2500</v>
      </c>
      <c r="F25" s="49"/>
      <c r="G25" s="49">
        <v>4500</v>
      </c>
      <c r="H25" s="49">
        <v>5000</v>
      </c>
      <c r="I25" s="49"/>
      <c r="J25" s="49"/>
      <c r="K25" s="49">
        <v>5000</v>
      </c>
      <c r="L25" s="49">
        <v>4000</v>
      </c>
      <c r="M25" s="49"/>
      <c r="N25" s="49">
        <v>3650</v>
      </c>
      <c r="O25" s="49">
        <f t="shared" si="0"/>
        <v>49150</v>
      </c>
      <c r="P25" s="49">
        <v>49000</v>
      </c>
      <c r="Q25" s="49">
        <f t="shared" si="1"/>
        <v>150</v>
      </c>
      <c r="R25" s="20"/>
    </row>
    <row r="26" spans="1:18" x14ac:dyDescent="0.25">
      <c r="A26" s="48" t="s">
        <v>42</v>
      </c>
      <c r="B26" s="48" t="s">
        <v>817</v>
      </c>
      <c r="C26" s="48" t="s">
        <v>244</v>
      </c>
      <c r="D26" s="49"/>
      <c r="E26" s="49">
        <v>2500</v>
      </c>
      <c r="F26" s="49"/>
      <c r="G26" s="49">
        <v>4500</v>
      </c>
      <c r="H26" s="49"/>
      <c r="I26" s="49">
        <v>3500</v>
      </c>
      <c r="J26" s="49">
        <v>10000</v>
      </c>
      <c r="K26" s="49">
        <v>5000</v>
      </c>
      <c r="L26" s="49"/>
      <c r="M26" s="49"/>
      <c r="N26" s="49">
        <v>1600</v>
      </c>
      <c r="O26" s="49">
        <f t="shared" si="0"/>
        <v>27100</v>
      </c>
      <c r="P26" s="49">
        <v>27000</v>
      </c>
      <c r="Q26" s="49">
        <f t="shared" si="1"/>
        <v>100</v>
      </c>
      <c r="R26" s="20"/>
    </row>
    <row r="27" spans="1:18" x14ac:dyDescent="0.25">
      <c r="A27" s="48" t="s">
        <v>58</v>
      </c>
      <c r="B27" s="48" t="s">
        <v>233</v>
      </c>
      <c r="C27" s="48" t="s">
        <v>232</v>
      </c>
      <c r="D27" s="49">
        <v>22000</v>
      </c>
      <c r="E27" s="49">
        <v>2000</v>
      </c>
      <c r="F27" s="49"/>
      <c r="G27" s="49">
        <v>3500</v>
      </c>
      <c r="H27" s="49"/>
      <c r="I27" s="49"/>
      <c r="J27" s="49"/>
      <c r="K27" s="49">
        <v>5000</v>
      </c>
      <c r="L27" s="49"/>
      <c r="M27" s="49"/>
      <c r="N27" s="49"/>
      <c r="O27" s="49">
        <f t="shared" si="0"/>
        <v>32500</v>
      </c>
      <c r="P27" s="49">
        <v>32500</v>
      </c>
      <c r="Q27" s="49">
        <f t="shared" si="1"/>
        <v>0</v>
      </c>
      <c r="R27" s="20"/>
    </row>
    <row r="28" spans="1:18" x14ac:dyDescent="0.25">
      <c r="A28" s="48" t="s">
        <v>132</v>
      </c>
      <c r="B28" s="48" t="s">
        <v>133</v>
      </c>
      <c r="C28" s="48" t="s">
        <v>223</v>
      </c>
      <c r="D28" s="49">
        <v>20000</v>
      </c>
      <c r="E28" s="49">
        <v>1500</v>
      </c>
      <c r="F28" s="49"/>
      <c r="G28" s="49"/>
      <c r="H28" s="49"/>
      <c r="I28" s="49"/>
      <c r="J28" s="49"/>
      <c r="K28" s="49"/>
      <c r="L28" s="49"/>
      <c r="M28" s="49"/>
      <c r="N28" s="49"/>
      <c r="O28" s="49">
        <f t="shared" si="0"/>
        <v>21500</v>
      </c>
      <c r="P28" s="49">
        <v>26500</v>
      </c>
      <c r="Q28" s="49">
        <f t="shared" si="1"/>
        <v>-5000</v>
      </c>
      <c r="R28" s="20"/>
    </row>
    <row r="29" spans="1:18" x14ac:dyDescent="0.25">
      <c r="A29" s="48" t="s">
        <v>82</v>
      </c>
      <c r="B29" s="48" t="s">
        <v>83</v>
      </c>
      <c r="C29" s="48" t="s">
        <v>228</v>
      </c>
      <c r="D29" s="49">
        <v>20000</v>
      </c>
      <c r="E29" s="49">
        <v>1500</v>
      </c>
      <c r="F29" s="49"/>
      <c r="G29" s="49">
        <v>1000</v>
      </c>
      <c r="H29" s="49"/>
      <c r="I29" s="49"/>
      <c r="J29" s="49"/>
      <c r="K29" s="49">
        <v>5000</v>
      </c>
      <c r="L29" s="49"/>
      <c r="M29" s="49"/>
      <c r="N29" s="49"/>
      <c r="O29" s="49">
        <f t="shared" si="0"/>
        <v>27500</v>
      </c>
      <c r="P29" s="49">
        <v>27500</v>
      </c>
      <c r="Q29" s="49">
        <f t="shared" si="1"/>
        <v>0</v>
      </c>
      <c r="R29" s="20"/>
    </row>
    <row r="30" spans="1:18" hidden="1" x14ac:dyDescent="0.25">
      <c r="A30" s="48" t="s">
        <v>86</v>
      </c>
      <c r="B30" s="48" t="s">
        <v>87</v>
      </c>
      <c r="C30" s="48" t="s">
        <v>228</v>
      </c>
      <c r="D30" s="49">
        <v>20000</v>
      </c>
      <c r="E30" s="49">
        <v>1500</v>
      </c>
      <c r="F30" s="49"/>
      <c r="G30" s="49">
        <v>1000</v>
      </c>
      <c r="H30" s="49"/>
      <c r="I30" s="49"/>
      <c r="J30" s="49"/>
      <c r="K30" s="49">
        <v>5000</v>
      </c>
      <c r="L30" s="49"/>
      <c r="M30" s="49"/>
      <c r="N30" s="49">
        <v>16000</v>
      </c>
      <c r="O30" s="49">
        <f t="shared" si="0"/>
        <v>43500</v>
      </c>
      <c r="P30" s="49">
        <v>0</v>
      </c>
      <c r="Q30" s="49">
        <f t="shared" si="1"/>
        <v>43500</v>
      </c>
      <c r="R30" s="20"/>
    </row>
    <row r="31" spans="1:18" x14ac:dyDescent="0.25">
      <c r="A31" s="48" t="s">
        <v>55</v>
      </c>
      <c r="B31" s="48" t="s">
        <v>819</v>
      </c>
      <c r="C31" s="48" t="s">
        <v>245</v>
      </c>
      <c r="D31" s="49">
        <v>32000</v>
      </c>
      <c r="E31" s="49">
        <v>2500</v>
      </c>
      <c r="F31" s="49"/>
      <c r="G31" s="49">
        <v>5000</v>
      </c>
      <c r="H31" s="49">
        <v>5000</v>
      </c>
      <c r="I31" s="49"/>
      <c r="J31" s="49"/>
      <c r="K31" s="49">
        <v>5000</v>
      </c>
      <c r="L31" s="49"/>
      <c r="M31" s="49"/>
      <c r="N31" s="49"/>
      <c r="O31" s="49">
        <f t="shared" si="0"/>
        <v>49500</v>
      </c>
      <c r="P31" s="49">
        <v>49500</v>
      </c>
      <c r="Q31" s="49">
        <f t="shared" si="1"/>
        <v>0</v>
      </c>
      <c r="R31" s="20"/>
    </row>
    <row r="32" spans="1:18" x14ac:dyDescent="0.25">
      <c r="A32" s="48" t="s">
        <v>55</v>
      </c>
      <c r="B32" s="48" t="s">
        <v>818</v>
      </c>
      <c r="C32" s="48" t="s">
        <v>237</v>
      </c>
      <c r="D32" s="49">
        <v>22000</v>
      </c>
      <c r="E32" s="49">
        <v>2000</v>
      </c>
      <c r="F32" s="49"/>
      <c r="G32" s="49">
        <v>3500</v>
      </c>
      <c r="H32" s="49"/>
      <c r="I32" s="49"/>
      <c r="J32" s="49"/>
      <c r="K32" s="49">
        <v>5000</v>
      </c>
      <c r="L32" s="49"/>
      <c r="M32" s="49"/>
      <c r="N32" s="49"/>
      <c r="O32" s="49">
        <f t="shared" si="0"/>
        <v>32500</v>
      </c>
      <c r="P32" s="49">
        <v>32500</v>
      </c>
      <c r="Q32" s="49">
        <f t="shared" si="1"/>
        <v>0</v>
      </c>
      <c r="R32" s="20"/>
    </row>
    <row r="33" spans="1:18" x14ac:dyDescent="0.25">
      <c r="A33" s="48" t="s">
        <v>55</v>
      </c>
      <c r="B33" s="48" t="s">
        <v>820</v>
      </c>
      <c r="C33" s="48" t="s">
        <v>228</v>
      </c>
      <c r="D33" s="49">
        <v>20000</v>
      </c>
      <c r="E33" s="49">
        <v>1500</v>
      </c>
      <c r="F33" s="49"/>
      <c r="G33" s="49">
        <v>1000</v>
      </c>
      <c r="H33" s="49"/>
      <c r="I33" s="49"/>
      <c r="J33" s="49"/>
      <c r="K33" s="49">
        <v>5000</v>
      </c>
      <c r="L33" s="49"/>
      <c r="M33" s="49"/>
      <c r="N33" s="49"/>
      <c r="O33" s="49">
        <f t="shared" si="0"/>
        <v>27500</v>
      </c>
      <c r="P33" s="49">
        <v>27500</v>
      </c>
      <c r="Q33" s="49">
        <f t="shared" si="1"/>
        <v>0</v>
      </c>
      <c r="R33" s="20"/>
    </row>
    <row r="34" spans="1:18" x14ac:dyDescent="0.25">
      <c r="A34" s="48" t="s">
        <v>55</v>
      </c>
      <c r="B34" s="48" t="s">
        <v>821</v>
      </c>
      <c r="C34" s="48" t="s">
        <v>242</v>
      </c>
      <c r="D34" s="49" t="s">
        <v>46</v>
      </c>
      <c r="E34" s="49"/>
      <c r="F34" s="49"/>
      <c r="G34" s="49"/>
      <c r="H34" s="49"/>
      <c r="I34" s="49"/>
      <c r="J34" s="49"/>
      <c r="K34" s="49">
        <v>5000</v>
      </c>
      <c r="L34" s="49">
        <v>2000</v>
      </c>
      <c r="M34" s="49"/>
      <c r="N34" s="49"/>
      <c r="O34" s="49">
        <f t="shared" ref="O34:O58" si="2">SUM(D34:N34)</f>
        <v>7000</v>
      </c>
      <c r="P34" s="49">
        <v>7000</v>
      </c>
      <c r="Q34" s="49">
        <f t="shared" ref="Q34:Q58" si="3">O34-P34</f>
        <v>0</v>
      </c>
      <c r="R34" s="20"/>
    </row>
    <row r="35" spans="1:18" x14ac:dyDescent="0.25">
      <c r="A35" s="48" t="s">
        <v>217</v>
      </c>
      <c r="B35" s="48" t="s">
        <v>218</v>
      </c>
      <c r="C35" s="48" t="s">
        <v>219</v>
      </c>
      <c r="D35" s="49">
        <v>20000</v>
      </c>
      <c r="E35" s="49">
        <v>1000</v>
      </c>
      <c r="F35" s="49"/>
      <c r="G35" s="49"/>
      <c r="H35" s="49"/>
      <c r="I35" s="49"/>
      <c r="J35" s="49"/>
      <c r="K35" s="49">
        <v>5000</v>
      </c>
      <c r="L35" s="49"/>
      <c r="M35" s="49"/>
      <c r="N35" s="49">
        <v>20000</v>
      </c>
      <c r="O35" s="49">
        <f t="shared" si="2"/>
        <v>46000</v>
      </c>
      <c r="P35" s="49">
        <v>46000</v>
      </c>
      <c r="Q35" s="49">
        <f t="shared" si="3"/>
        <v>0</v>
      </c>
      <c r="R35" s="20"/>
    </row>
    <row r="36" spans="1:18" x14ac:dyDescent="0.25">
      <c r="A36" s="48" t="s">
        <v>31</v>
      </c>
      <c r="B36" s="48" t="s">
        <v>822</v>
      </c>
      <c r="C36" s="48" t="s">
        <v>243</v>
      </c>
      <c r="D36" s="49">
        <v>24500</v>
      </c>
      <c r="E36" s="49">
        <v>2500</v>
      </c>
      <c r="F36" s="49"/>
      <c r="G36" s="49">
        <v>4500</v>
      </c>
      <c r="H36" s="49">
        <v>5000</v>
      </c>
      <c r="I36" s="49"/>
      <c r="J36" s="49"/>
      <c r="K36" s="49"/>
      <c r="L36" s="49"/>
      <c r="M36" s="49">
        <v>3000</v>
      </c>
      <c r="N36" s="49"/>
      <c r="O36" s="49">
        <f t="shared" si="2"/>
        <v>39500</v>
      </c>
      <c r="P36" s="49">
        <v>39500</v>
      </c>
      <c r="Q36" s="49">
        <f t="shared" si="3"/>
        <v>0</v>
      </c>
      <c r="R36" s="20"/>
    </row>
    <row r="37" spans="1:18" x14ac:dyDescent="0.25">
      <c r="A37" s="48" t="s">
        <v>31</v>
      </c>
      <c r="B37" s="48" t="s">
        <v>823</v>
      </c>
      <c r="C37" s="48" t="s">
        <v>244</v>
      </c>
      <c r="D37" s="49"/>
      <c r="E37" s="49">
        <v>2500</v>
      </c>
      <c r="F37" s="49"/>
      <c r="G37" s="49">
        <v>4500</v>
      </c>
      <c r="H37" s="49">
        <v>5000</v>
      </c>
      <c r="I37" s="49">
        <v>3500</v>
      </c>
      <c r="J37" s="49">
        <v>10000</v>
      </c>
      <c r="K37" s="49"/>
      <c r="L37" s="49"/>
      <c r="M37" s="49">
        <v>3000</v>
      </c>
      <c r="N37" s="49">
        <v>1450</v>
      </c>
      <c r="O37" s="49">
        <f t="shared" si="2"/>
        <v>29950</v>
      </c>
      <c r="P37" s="49">
        <v>30000</v>
      </c>
      <c r="Q37" s="49">
        <f t="shared" si="3"/>
        <v>-50</v>
      </c>
      <c r="R37" s="20"/>
    </row>
    <row r="38" spans="1:18" x14ac:dyDescent="0.25">
      <c r="A38" s="48" t="s">
        <v>225</v>
      </c>
      <c r="B38" s="48" t="s">
        <v>226</v>
      </c>
      <c r="C38" s="48" t="s">
        <v>223</v>
      </c>
      <c r="D38" s="49">
        <v>20000</v>
      </c>
      <c r="E38" s="49">
        <v>1500</v>
      </c>
      <c r="F38" s="49"/>
      <c r="G38" s="49"/>
      <c r="H38" s="49"/>
      <c r="I38" s="49"/>
      <c r="J38" s="49"/>
      <c r="K38" s="49">
        <v>5000</v>
      </c>
      <c r="L38" s="49"/>
      <c r="M38" s="49"/>
      <c r="N38" s="49"/>
      <c r="O38" s="49">
        <f t="shared" si="2"/>
        <v>26500</v>
      </c>
      <c r="P38" s="49">
        <v>26500</v>
      </c>
      <c r="Q38" s="49">
        <f t="shared" si="3"/>
        <v>0</v>
      </c>
      <c r="R38" s="20"/>
    </row>
    <row r="39" spans="1:18" x14ac:dyDescent="0.25">
      <c r="A39" s="48" t="s">
        <v>220</v>
      </c>
      <c r="B39" s="48" t="s">
        <v>42</v>
      </c>
      <c r="C39" s="48" t="s">
        <v>219</v>
      </c>
      <c r="D39" s="49">
        <v>20000</v>
      </c>
      <c r="E39" s="49">
        <v>1000</v>
      </c>
      <c r="F39" s="49"/>
      <c r="G39" s="49"/>
      <c r="H39" s="49"/>
      <c r="I39" s="49"/>
      <c r="J39" s="49"/>
      <c r="K39" s="49"/>
      <c r="L39" s="49">
        <v>1500</v>
      </c>
      <c r="M39" s="49"/>
      <c r="N39" s="49"/>
      <c r="O39" s="49">
        <f t="shared" si="2"/>
        <v>22500</v>
      </c>
      <c r="P39" s="49">
        <v>22250</v>
      </c>
      <c r="Q39" s="49">
        <f t="shared" si="3"/>
        <v>250</v>
      </c>
      <c r="R39" s="20"/>
    </row>
    <row r="40" spans="1:18" x14ac:dyDescent="0.25">
      <c r="A40" s="48" t="s">
        <v>33</v>
      </c>
      <c r="B40" s="48" t="s">
        <v>29</v>
      </c>
      <c r="C40" s="48" t="s">
        <v>243</v>
      </c>
      <c r="D40" s="49">
        <v>24500</v>
      </c>
      <c r="E40" s="49">
        <v>2500</v>
      </c>
      <c r="F40" s="49"/>
      <c r="G40" s="49">
        <v>4500</v>
      </c>
      <c r="H40" s="49">
        <v>5000</v>
      </c>
      <c r="I40" s="49"/>
      <c r="J40" s="49"/>
      <c r="K40" s="49">
        <v>5000</v>
      </c>
      <c r="L40" s="49"/>
      <c r="M40" s="49"/>
      <c r="N40" s="49"/>
      <c r="O40" s="49">
        <f t="shared" si="2"/>
        <v>41500</v>
      </c>
      <c r="P40" s="49">
        <v>41500</v>
      </c>
      <c r="Q40" s="49">
        <f t="shared" si="3"/>
        <v>0</v>
      </c>
      <c r="R40" s="20"/>
    </row>
    <row r="41" spans="1:18" x14ac:dyDescent="0.25">
      <c r="A41" s="48" t="s">
        <v>33</v>
      </c>
      <c r="B41" s="48" t="s">
        <v>824</v>
      </c>
      <c r="C41" s="48" t="s">
        <v>245</v>
      </c>
      <c r="D41" s="49">
        <v>32000</v>
      </c>
      <c r="E41" s="49">
        <v>2500</v>
      </c>
      <c r="F41" s="49"/>
      <c r="G41" s="49">
        <v>5000</v>
      </c>
      <c r="H41" s="49">
        <v>5000</v>
      </c>
      <c r="I41" s="49"/>
      <c r="J41" s="49"/>
      <c r="K41" s="49">
        <v>5000</v>
      </c>
      <c r="L41" s="49"/>
      <c r="M41" s="49">
        <v>3000</v>
      </c>
      <c r="N41" s="49"/>
      <c r="O41" s="49">
        <f t="shared" si="2"/>
        <v>52500</v>
      </c>
      <c r="P41" s="49">
        <v>52500</v>
      </c>
      <c r="Q41" s="49">
        <f t="shared" si="3"/>
        <v>0</v>
      </c>
      <c r="R41" s="20"/>
    </row>
    <row r="42" spans="1:18" x14ac:dyDescent="0.25">
      <c r="A42" s="48" t="s">
        <v>94</v>
      </c>
      <c r="B42" s="48" t="s">
        <v>234</v>
      </c>
      <c r="C42" s="48" t="s">
        <v>232</v>
      </c>
      <c r="D42" s="49">
        <v>22000</v>
      </c>
      <c r="E42" s="49">
        <v>2000</v>
      </c>
      <c r="F42" s="49"/>
      <c r="G42" s="49">
        <v>3500</v>
      </c>
      <c r="H42" s="49"/>
      <c r="I42" s="49"/>
      <c r="J42" s="49"/>
      <c r="K42" s="49"/>
      <c r="L42" s="49"/>
      <c r="M42" s="49"/>
      <c r="N42" s="49"/>
      <c r="O42" s="49">
        <f t="shared" si="2"/>
        <v>27500</v>
      </c>
      <c r="P42" s="49">
        <v>32500</v>
      </c>
      <c r="Q42" s="49">
        <f t="shared" si="3"/>
        <v>-5000</v>
      </c>
      <c r="R42" s="20"/>
    </row>
    <row r="43" spans="1:18" x14ac:dyDescent="0.25">
      <c r="A43" s="48" t="s">
        <v>94</v>
      </c>
      <c r="B43" s="48" t="s">
        <v>229</v>
      </c>
      <c r="C43" s="48" t="s">
        <v>228</v>
      </c>
      <c r="D43" s="49">
        <v>20000</v>
      </c>
      <c r="E43" s="49">
        <v>1500</v>
      </c>
      <c r="F43" s="49"/>
      <c r="G43" s="49">
        <v>1000</v>
      </c>
      <c r="H43" s="49"/>
      <c r="I43" s="49"/>
      <c r="J43" s="49"/>
      <c r="K43" s="49"/>
      <c r="L43" s="49"/>
      <c r="M43" s="49"/>
      <c r="N43" s="49"/>
      <c r="O43" s="49">
        <f t="shared" si="2"/>
        <v>22500</v>
      </c>
      <c r="P43" s="49">
        <v>27500</v>
      </c>
      <c r="Q43" s="49">
        <f t="shared" si="3"/>
        <v>-5000</v>
      </c>
      <c r="R43" s="20"/>
    </row>
    <row r="44" spans="1:18" x14ac:dyDescent="0.25">
      <c r="A44" s="48" t="s">
        <v>103</v>
      </c>
      <c r="B44" s="48" t="s">
        <v>86</v>
      </c>
      <c r="C44" s="48" t="s">
        <v>237</v>
      </c>
      <c r="D44" s="49">
        <v>22000</v>
      </c>
      <c r="E44" s="49">
        <v>2000</v>
      </c>
      <c r="F44" s="49"/>
      <c r="G44" s="49">
        <v>3500</v>
      </c>
      <c r="H44" s="49"/>
      <c r="I44" s="49"/>
      <c r="J44" s="49"/>
      <c r="K44" s="49">
        <v>5000</v>
      </c>
      <c r="L44" s="49">
        <v>1500</v>
      </c>
      <c r="M44" s="49"/>
      <c r="N44" s="49"/>
      <c r="O44" s="49">
        <f t="shared" si="2"/>
        <v>34000</v>
      </c>
      <c r="P44" s="49">
        <v>33750</v>
      </c>
      <c r="Q44" s="49">
        <f t="shared" si="3"/>
        <v>250</v>
      </c>
      <c r="R44" s="20"/>
    </row>
    <row r="45" spans="1:18" x14ac:dyDescent="0.25">
      <c r="A45" s="48" t="s">
        <v>45</v>
      </c>
      <c r="B45" s="48" t="s">
        <v>826</v>
      </c>
      <c r="C45" s="48" t="s">
        <v>230</v>
      </c>
      <c r="D45" s="49">
        <v>12600</v>
      </c>
      <c r="E45" s="49">
        <v>1500</v>
      </c>
      <c r="F45" s="49"/>
      <c r="G45" s="49">
        <v>1000</v>
      </c>
      <c r="H45" s="49"/>
      <c r="I45" s="49"/>
      <c r="J45" s="49"/>
      <c r="K45" s="49">
        <v>5000</v>
      </c>
      <c r="L45" s="49"/>
      <c r="M45" s="49"/>
      <c r="N45" s="49">
        <v>80</v>
      </c>
      <c r="O45" s="49">
        <f t="shared" si="2"/>
        <v>20180</v>
      </c>
      <c r="P45" s="49">
        <v>20180</v>
      </c>
      <c r="Q45" s="49">
        <f t="shared" si="3"/>
        <v>0</v>
      </c>
      <c r="R45" s="20"/>
    </row>
    <row r="46" spans="1:18" x14ac:dyDescent="0.25">
      <c r="A46" s="48" t="s">
        <v>45</v>
      </c>
      <c r="B46" s="48" t="s">
        <v>825</v>
      </c>
      <c r="C46" s="48" t="s">
        <v>244</v>
      </c>
      <c r="D46" s="49" t="s">
        <v>46</v>
      </c>
      <c r="E46" s="49">
        <v>2500</v>
      </c>
      <c r="F46" s="49"/>
      <c r="G46" s="49"/>
      <c r="H46" s="49"/>
      <c r="I46" s="49">
        <v>3500</v>
      </c>
      <c r="J46" s="49">
        <v>10000</v>
      </c>
      <c r="K46" s="49">
        <v>5000</v>
      </c>
      <c r="L46" s="49"/>
      <c r="M46" s="49"/>
      <c r="N46" s="49"/>
      <c r="O46" s="49">
        <f t="shared" si="2"/>
        <v>21000</v>
      </c>
      <c r="P46" s="49">
        <v>15000</v>
      </c>
      <c r="Q46" s="49">
        <f t="shared" si="3"/>
        <v>6000</v>
      </c>
      <c r="R46" s="20"/>
    </row>
    <row r="47" spans="1:18" x14ac:dyDescent="0.25">
      <c r="A47" s="48" t="s">
        <v>28</v>
      </c>
      <c r="B47" s="48" t="s">
        <v>827</v>
      </c>
      <c r="C47" s="48" t="s">
        <v>223</v>
      </c>
      <c r="D47" s="49">
        <v>20000</v>
      </c>
      <c r="E47" s="49">
        <v>1500</v>
      </c>
      <c r="F47" s="49"/>
      <c r="G47" s="49"/>
      <c r="H47" s="49"/>
      <c r="I47" s="49"/>
      <c r="J47" s="49"/>
      <c r="K47" s="49">
        <v>5000</v>
      </c>
      <c r="L47" s="49"/>
      <c r="M47" s="49"/>
      <c r="N47" s="49"/>
      <c r="O47" s="49">
        <f t="shared" si="2"/>
        <v>26500</v>
      </c>
      <c r="P47" s="49">
        <v>26500</v>
      </c>
      <c r="Q47" s="49">
        <f t="shared" si="3"/>
        <v>0</v>
      </c>
      <c r="R47" s="20"/>
    </row>
    <row r="48" spans="1:18" hidden="1" x14ac:dyDescent="0.25">
      <c r="A48" s="48" t="s">
        <v>34</v>
      </c>
      <c r="B48" s="48" t="s">
        <v>35</v>
      </c>
      <c r="C48" s="48" t="s">
        <v>243</v>
      </c>
      <c r="D48" s="49"/>
      <c r="E48" s="49"/>
      <c r="F48" s="49"/>
      <c r="G48" s="49"/>
      <c r="H48" s="49"/>
      <c r="I48" s="49"/>
      <c r="J48" s="49"/>
      <c r="K48" s="49">
        <v>5000</v>
      </c>
      <c r="L48" s="49"/>
      <c r="M48" s="49"/>
      <c r="N48" s="49">
        <v>13805</v>
      </c>
      <c r="O48" s="49">
        <f t="shared" si="2"/>
        <v>18805</v>
      </c>
      <c r="P48" s="49">
        <v>13805</v>
      </c>
      <c r="Q48" s="49">
        <f t="shared" si="3"/>
        <v>5000</v>
      </c>
      <c r="R48" s="20"/>
    </row>
    <row r="49" spans="1:18" x14ac:dyDescent="0.25">
      <c r="A49" s="48" t="s">
        <v>34</v>
      </c>
      <c r="B49" s="48" t="s">
        <v>107</v>
      </c>
      <c r="C49" s="48" t="s">
        <v>238</v>
      </c>
      <c r="D49" s="49">
        <v>22000</v>
      </c>
      <c r="E49" s="49">
        <v>2000</v>
      </c>
      <c r="F49" s="49"/>
      <c r="G49" s="49">
        <v>3500</v>
      </c>
      <c r="H49" s="49"/>
      <c r="I49" s="49"/>
      <c r="J49" s="49"/>
      <c r="K49" s="49"/>
      <c r="L49" s="49">
        <v>1500</v>
      </c>
      <c r="M49" s="49"/>
      <c r="N49" s="49"/>
      <c r="O49" s="49">
        <f t="shared" si="2"/>
        <v>29000</v>
      </c>
      <c r="P49" s="49">
        <v>30195</v>
      </c>
      <c r="Q49" s="49">
        <f t="shared" si="3"/>
        <v>-1195</v>
      </c>
      <c r="R49" s="20"/>
    </row>
    <row r="50" spans="1:18" x14ac:dyDescent="0.25">
      <c r="A50" s="48" t="s">
        <v>89</v>
      </c>
      <c r="B50" s="48" t="s">
        <v>91</v>
      </c>
      <c r="C50" s="48" t="s">
        <v>227</v>
      </c>
      <c r="D50" s="49">
        <v>20000</v>
      </c>
      <c r="E50" s="49">
        <v>1500</v>
      </c>
      <c r="F50" s="49"/>
      <c r="G50" s="49"/>
      <c r="H50" s="49"/>
      <c r="I50" s="49"/>
      <c r="J50" s="49"/>
      <c r="K50" s="49"/>
      <c r="L50" s="49"/>
      <c r="M50" s="49"/>
      <c r="N50" s="49"/>
      <c r="O50" s="49">
        <f t="shared" si="2"/>
        <v>21500</v>
      </c>
      <c r="P50" s="49">
        <v>21500</v>
      </c>
      <c r="Q50" s="49">
        <f t="shared" si="3"/>
        <v>0</v>
      </c>
      <c r="R50" s="20"/>
    </row>
    <row r="51" spans="1:18" x14ac:dyDescent="0.25">
      <c r="A51" s="48" t="s">
        <v>123</v>
      </c>
      <c r="B51" s="48" t="s">
        <v>124</v>
      </c>
      <c r="C51" s="48" t="s">
        <v>246</v>
      </c>
      <c r="D51" s="49">
        <v>24000</v>
      </c>
      <c r="E51" s="49">
        <v>2500</v>
      </c>
      <c r="F51" s="49"/>
      <c r="G51" s="49">
        <v>5000</v>
      </c>
      <c r="H51" s="49">
        <v>5000</v>
      </c>
      <c r="I51" s="49"/>
      <c r="J51" s="49"/>
      <c r="K51" s="49">
        <v>5000</v>
      </c>
      <c r="L51" s="49"/>
      <c r="M51" s="49">
        <v>3000</v>
      </c>
      <c r="N51" s="49"/>
      <c r="O51" s="49">
        <f t="shared" si="2"/>
        <v>44500</v>
      </c>
      <c r="P51" s="49">
        <v>44500</v>
      </c>
      <c r="Q51" s="49">
        <f t="shared" si="3"/>
        <v>0</v>
      </c>
      <c r="R51" s="20"/>
    </row>
    <row r="52" spans="1:18" x14ac:dyDescent="0.25">
      <c r="A52" s="48" t="s">
        <v>123</v>
      </c>
      <c r="B52" s="48" t="s">
        <v>125</v>
      </c>
      <c r="C52" s="48" t="s">
        <v>246</v>
      </c>
      <c r="D52" s="49">
        <v>24000</v>
      </c>
      <c r="E52" s="49">
        <v>2500</v>
      </c>
      <c r="F52" s="49"/>
      <c r="G52" s="49">
        <v>5000</v>
      </c>
      <c r="H52" s="49">
        <v>5000</v>
      </c>
      <c r="I52" s="49"/>
      <c r="J52" s="49"/>
      <c r="K52" s="49">
        <v>5000</v>
      </c>
      <c r="L52" s="49"/>
      <c r="M52" s="49">
        <v>3000</v>
      </c>
      <c r="N52" s="49"/>
      <c r="O52" s="49">
        <f t="shared" si="2"/>
        <v>44500</v>
      </c>
      <c r="P52" s="49">
        <v>44500</v>
      </c>
      <c r="Q52" s="49">
        <f t="shared" si="3"/>
        <v>0</v>
      </c>
      <c r="R52" s="20"/>
    </row>
    <row r="53" spans="1:18" x14ac:dyDescent="0.25">
      <c r="A53" s="48" t="s">
        <v>235</v>
      </c>
      <c r="B53" s="48" t="s">
        <v>828</v>
      </c>
      <c r="C53" s="48" t="s">
        <v>242</v>
      </c>
      <c r="D53" s="49">
        <v>24500</v>
      </c>
      <c r="E53" s="49">
        <v>2500</v>
      </c>
      <c r="F53" s="49"/>
      <c r="G53" s="49">
        <v>4500</v>
      </c>
      <c r="H53" s="49">
        <v>5000</v>
      </c>
      <c r="I53" s="49"/>
      <c r="J53" s="49"/>
      <c r="K53" s="49"/>
      <c r="L53" s="49">
        <v>2000</v>
      </c>
      <c r="M53" s="49"/>
      <c r="N53" s="49"/>
      <c r="O53" s="49">
        <f t="shared" si="2"/>
        <v>38500</v>
      </c>
      <c r="P53" s="49">
        <v>38500</v>
      </c>
      <c r="Q53" s="49">
        <f t="shared" si="3"/>
        <v>0</v>
      </c>
      <c r="R53" s="20"/>
    </row>
    <row r="54" spans="1:18" x14ac:dyDescent="0.25">
      <c r="A54" s="48" t="s">
        <v>235</v>
      </c>
      <c r="B54" s="48" t="s">
        <v>100</v>
      </c>
      <c r="C54" s="48" t="s">
        <v>232</v>
      </c>
      <c r="D54" s="49">
        <v>22000</v>
      </c>
      <c r="E54" s="49">
        <v>2000</v>
      </c>
      <c r="F54" s="49"/>
      <c r="G54" s="49">
        <v>3500</v>
      </c>
      <c r="H54" s="49"/>
      <c r="I54" s="49"/>
      <c r="J54" s="49"/>
      <c r="K54" s="49"/>
      <c r="L54" s="49"/>
      <c r="M54" s="49"/>
      <c r="N54" s="49">
        <v>5380</v>
      </c>
      <c r="O54" s="49">
        <f t="shared" si="2"/>
        <v>32880</v>
      </c>
      <c r="P54" s="49">
        <v>31500</v>
      </c>
      <c r="Q54" s="49">
        <f t="shared" si="3"/>
        <v>1380</v>
      </c>
      <c r="R54" s="20"/>
    </row>
    <row r="55" spans="1:18" x14ac:dyDescent="0.25">
      <c r="A55" s="48" t="s">
        <v>108</v>
      </c>
      <c r="B55" s="48" t="s">
        <v>829</v>
      </c>
      <c r="C55" s="48" t="s">
        <v>242</v>
      </c>
      <c r="D55" s="49">
        <v>24500</v>
      </c>
      <c r="E55" s="49">
        <v>2500</v>
      </c>
      <c r="F55" s="49"/>
      <c r="G55" s="49">
        <v>4500</v>
      </c>
      <c r="H55" s="49">
        <v>5000</v>
      </c>
      <c r="I55" s="49"/>
      <c r="J55" s="49"/>
      <c r="K55" s="49"/>
      <c r="L55" s="49"/>
      <c r="M55" s="49"/>
      <c r="N55" s="49">
        <v>4500</v>
      </c>
      <c r="O55" s="49">
        <f t="shared" si="2"/>
        <v>41000</v>
      </c>
      <c r="P55" s="49">
        <v>35500</v>
      </c>
      <c r="Q55" s="49">
        <f t="shared" si="3"/>
        <v>5500</v>
      </c>
      <c r="R55" s="20"/>
    </row>
    <row r="56" spans="1:18" x14ac:dyDescent="0.25">
      <c r="A56" s="48" t="s">
        <v>108</v>
      </c>
      <c r="B56" s="48" t="s">
        <v>830</v>
      </c>
      <c r="C56" s="48" t="s">
        <v>238</v>
      </c>
      <c r="D56" s="49">
        <v>22000</v>
      </c>
      <c r="E56" s="49">
        <v>2000</v>
      </c>
      <c r="F56" s="49"/>
      <c r="G56" s="49">
        <v>3500</v>
      </c>
      <c r="H56" s="49"/>
      <c r="I56" s="49"/>
      <c r="J56" s="49"/>
      <c r="K56" s="49"/>
      <c r="L56" s="49">
        <v>1500</v>
      </c>
      <c r="M56" s="49"/>
      <c r="N56" s="49">
        <v>15730</v>
      </c>
      <c r="O56" s="49">
        <f t="shared" si="2"/>
        <v>44730</v>
      </c>
      <c r="P56" s="49">
        <v>44730</v>
      </c>
      <c r="Q56" s="49">
        <f t="shared" si="3"/>
        <v>0</v>
      </c>
      <c r="R56" s="20"/>
    </row>
    <row r="57" spans="1:18" x14ac:dyDescent="0.25">
      <c r="A57" s="48" t="s">
        <v>92</v>
      </c>
      <c r="B57" s="48" t="s">
        <v>93</v>
      </c>
      <c r="C57" s="48" t="s">
        <v>228</v>
      </c>
      <c r="D57" s="49">
        <v>20000</v>
      </c>
      <c r="E57" s="49">
        <v>1500</v>
      </c>
      <c r="F57" s="49"/>
      <c r="G57" s="49">
        <v>1000</v>
      </c>
      <c r="H57" s="49"/>
      <c r="I57" s="49"/>
      <c r="J57" s="49"/>
      <c r="K57" s="49"/>
      <c r="L57" s="49"/>
      <c r="M57" s="49"/>
      <c r="N57" s="49">
        <v>3450</v>
      </c>
      <c r="O57" s="49">
        <f t="shared" si="2"/>
        <v>25950</v>
      </c>
      <c r="P57" s="49">
        <v>25000</v>
      </c>
      <c r="Q57" s="49">
        <f t="shared" si="3"/>
        <v>950</v>
      </c>
      <c r="R57" s="20"/>
    </row>
    <row r="58" spans="1:18" x14ac:dyDescent="0.25">
      <c r="A58" s="48" t="s">
        <v>92</v>
      </c>
      <c r="B58" s="48" t="s">
        <v>104</v>
      </c>
      <c r="C58" s="48" t="s">
        <v>237</v>
      </c>
      <c r="D58" s="49">
        <v>22000</v>
      </c>
      <c r="E58" s="49">
        <v>2000</v>
      </c>
      <c r="F58" s="49"/>
      <c r="G58" s="49">
        <v>3500</v>
      </c>
      <c r="H58" s="49"/>
      <c r="I58" s="49"/>
      <c r="J58" s="49"/>
      <c r="K58" s="49"/>
      <c r="L58" s="49">
        <v>1500</v>
      </c>
      <c r="M58" s="49"/>
      <c r="N58" s="49">
        <v>5230</v>
      </c>
      <c r="O58" s="49">
        <f t="shared" si="2"/>
        <v>34230</v>
      </c>
      <c r="P58" s="49">
        <v>0</v>
      </c>
      <c r="Q58" s="49">
        <f t="shared" si="3"/>
        <v>34230</v>
      </c>
      <c r="R58" s="20"/>
    </row>
    <row r="59" spans="1:18" x14ac:dyDescent="0.25">
      <c r="A59" s="95"/>
      <c r="B59" s="95"/>
      <c r="C59" s="95"/>
      <c r="D59" s="96"/>
      <c r="E59" s="96"/>
      <c r="F59" s="96"/>
      <c r="G59" s="96"/>
      <c r="H59" s="96"/>
      <c r="I59" s="96"/>
      <c r="J59" s="96"/>
      <c r="K59" s="96"/>
      <c r="L59" s="95"/>
      <c r="M59" s="95"/>
      <c r="N59" s="94">
        <f t="shared" ref="N59:P59" si="4">SUM(N2:N58)</f>
        <v>230365</v>
      </c>
      <c r="O59" s="94">
        <f t="shared" si="4"/>
        <v>1863215</v>
      </c>
      <c r="P59" s="94">
        <f t="shared" si="4"/>
        <v>1664180</v>
      </c>
      <c r="Q59" s="94">
        <f>SUM(Q2:Q58)</f>
        <v>199035</v>
      </c>
      <c r="R59" s="97"/>
    </row>
    <row r="60" spans="1:18" x14ac:dyDescent="0.25">
      <c r="A60" s="5"/>
      <c r="B60" s="5"/>
      <c r="C60" s="5"/>
      <c r="D60" s="78"/>
      <c r="E60" s="78"/>
      <c r="F60" s="78"/>
      <c r="G60" s="78"/>
      <c r="H60" s="78"/>
      <c r="I60" s="78"/>
      <c r="J60" s="78"/>
      <c r="K60" s="78"/>
      <c r="L60" s="5"/>
      <c r="M60" s="5"/>
      <c r="N60" s="68"/>
      <c r="O60" s="5"/>
      <c r="P60" s="5"/>
      <c r="Q60" s="98"/>
      <c r="R60" s="20"/>
    </row>
    <row r="61" spans="1:18" x14ac:dyDescent="0.25">
      <c r="A61" s="20"/>
      <c r="B61" s="20"/>
      <c r="C61" s="20"/>
      <c r="D61" s="53"/>
      <c r="E61" s="53"/>
      <c r="F61" s="53"/>
      <c r="G61" s="53"/>
      <c r="H61" s="53"/>
      <c r="I61" s="53"/>
      <c r="J61" s="53"/>
      <c r="K61" s="53"/>
      <c r="L61" s="20"/>
      <c r="M61" s="20"/>
      <c r="N61" s="99"/>
      <c r="O61" s="20"/>
      <c r="P61" s="20"/>
      <c r="Q61" s="20"/>
      <c r="R61" s="20"/>
    </row>
    <row r="62" spans="1:18" x14ac:dyDescent="0.25">
      <c r="A62" s="20"/>
      <c r="B62" s="20"/>
      <c r="C62" s="20"/>
      <c r="D62" s="53"/>
      <c r="E62" s="53"/>
      <c r="F62" s="53"/>
      <c r="G62" s="53"/>
      <c r="H62" s="53"/>
      <c r="I62" s="53"/>
      <c r="J62" s="53"/>
      <c r="K62" s="53"/>
      <c r="L62" s="20"/>
      <c r="M62" s="20"/>
      <c r="N62" s="99"/>
      <c r="O62" s="20"/>
      <c r="P62" s="20"/>
      <c r="Q62" s="20"/>
      <c r="R62" s="20"/>
    </row>
    <row r="63" spans="1:18" x14ac:dyDescent="0.25">
      <c r="A63" s="20"/>
      <c r="B63" s="20"/>
      <c r="C63" s="20"/>
      <c r="D63" s="53"/>
      <c r="E63" s="53"/>
      <c r="F63" s="53"/>
      <c r="G63" s="53"/>
      <c r="H63" s="53"/>
      <c r="I63" s="53"/>
      <c r="J63" s="53"/>
      <c r="K63" s="53"/>
      <c r="L63" s="20"/>
      <c r="M63" s="20"/>
      <c r="N63" s="99"/>
      <c r="O63" s="20"/>
      <c r="P63" s="20"/>
      <c r="Q63" s="20"/>
      <c r="R63" s="20"/>
    </row>
    <row r="64" spans="1:18" x14ac:dyDescent="0.25">
      <c r="A64" s="20"/>
      <c r="B64" s="20"/>
      <c r="C64" s="20"/>
      <c r="D64" s="53"/>
      <c r="E64" s="53"/>
      <c r="F64" s="53"/>
      <c r="G64" s="53"/>
      <c r="H64" s="53"/>
      <c r="I64" s="53"/>
      <c r="J64" s="53"/>
      <c r="K64" s="53"/>
      <c r="L64" s="20"/>
      <c r="M64" s="20"/>
      <c r="N64" s="99"/>
      <c r="O64" s="20"/>
      <c r="P64" s="20"/>
      <c r="Q64" s="20"/>
      <c r="R64" s="20"/>
    </row>
    <row r="65" spans="1:18" x14ac:dyDescent="0.25">
      <c r="A65" s="20"/>
      <c r="B65" s="20"/>
      <c r="C65" s="20"/>
      <c r="D65" s="53"/>
      <c r="E65" s="53"/>
      <c r="F65" s="53"/>
      <c r="G65" s="53"/>
      <c r="H65" s="53"/>
      <c r="I65" s="53"/>
      <c r="J65" s="53"/>
      <c r="K65" s="53"/>
      <c r="L65" s="20"/>
      <c r="M65" s="20"/>
      <c r="N65" s="99"/>
      <c r="O65" s="20"/>
      <c r="P65" s="20"/>
      <c r="Q65" s="20"/>
      <c r="R65" s="20"/>
    </row>
    <row r="66" spans="1:18" x14ac:dyDescent="0.25">
      <c r="A66" s="20"/>
      <c r="B66" s="20"/>
      <c r="C66" s="20"/>
      <c r="D66" s="53"/>
      <c r="E66" s="53"/>
      <c r="F66" s="53"/>
      <c r="G66" s="53"/>
      <c r="H66" s="53"/>
      <c r="I66" s="53"/>
      <c r="J66" s="53"/>
      <c r="K66" s="53"/>
      <c r="L66" s="20"/>
      <c r="M66" s="20"/>
      <c r="N66" s="99"/>
      <c r="O66" s="20"/>
      <c r="P66" s="20"/>
      <c r="Q66" s="20"/>
      <c r="R66" s="20"/>
    </row>
    <row r="67" spans="1:18" x14ac:dyDescent="0.25">
      <c r="A67" s="20"/>
      <c r="B67" s="20"/>
      <c r="C67" s="20"/>
      <c r="D67" s="53"/>
      <c r="E67" s="53"/>
      <c r="F67" s="53"/>
      <c r="G67" s="53"/>
      <c r="H67" s="53"/>
      <c r="I67" s="53"/>
      <c r="J67" s="53"/>
      <c r="K67" s="53"/>
      <c r="L67" s="20"/>
      <c r="M67" s="20"/>
      <c r="N67" s="99"/>
      <c r="O67" s="20"/>
      <c r="P67" s="20"/>
      <c r="Q67" s="20"/>
      <c r="R67" s="20"/>
    </row>
    <row r="68" spans="1:18" x14ac:dyDescent="0.25">
      <c r="A68" s="20"/>
      <c r="B68" s="20"/>
      <c r="C68" s="20"/>
      <c r="D68" s="53"/>
      <c r="E68" s="53"/>
      <c r="F68" s="53"/>
      <c r="G68" s="53"/>
      <c r="H68" s="53"/>
      <c r="I68" s="53"/>
      <c r="J68" s="53"/>
      <c r="K68" s="53"/>
      <c r="L68" s="20"/>
      <c r="M68" s="20"/>
      <c r="N68" s="99"/>
      <c r="O68" s="20"/>
      <c r="P68" s="20"/>
      <c r="Q68" s="20"/>
      <c r="R68" s="20"/>
    </row>
    <row r="69" spans="1:18" x14ac:dyDescent="0.25">
      <c r="A69" s="20"/>
      <c r="B69" s="20"/>
      <c r="C69" s="20"/>
      <c r="D69" s="53"/>
      <c r="E69" s="53"/>
      <c r="F69" s="53"/>
      <c r="G69" s="53"/>
      <c r="H69" s="53"/>
      <c r="I69" s="53"/>
      <c r="J69" s="53"/>
      <c r="K69" s="53"/>
      <c r="L69" s="20"/>
      <c r="M69" s="20"/>
      <c r="N69" s="99"/>
      <c r="O69" s="20"/>
      <c r="P69" s="20"/>
      <c r="Q69" s="20"/>
      <c r="R69" s="20"/>
    </row>
    <row r="70" spans="1:18" x14ac:dyDescent="0.25">
      <c r="A70" s="20"/>
      <c r="B70" s="20"/>
      <c r="C70" s="20"/>
      <c r="D70" s="53"/>
      <c r="E70" s="53"/>
      <c r="F70" s="53"/>
      <c r="G70" s="53"/>
      <c r="H70" s="53"/>
      <c r="I70" s="53"/>
      <c r="J70" s="53"/>
      <c r="K70" s="53"/>
      <c r="L70" s="20"/>
      <c r="M70" s="20"/>
      <c r="N70" s="99"/>
      <c r="O70" s="20"/>
      <c r="P70" s="20"/>
      <c r="Q70" s="20"/>
      <c r="R70" s="20"/>
    </row>
    <row r="71" spans="1:18" x14ac:dyDescent="0.25">
      <c r="A71" s="20"/>
      <c r="B71" s="20"/>
      <c r="C71" s="20"/>
      <c r="D71" s="53"/>
      <c r="E71" s="53"/>
      <c r="F71" s="53"/>
      <c r="G71" s="53"/>
      <c r="H71" s="53"/>
      <c r="I71" s="53"/>
      <c r="J71" s="53"/>
      <c r="K71" s="53"/>
      <c r="L71" s="20"/>
      <c r="M71" s="20"/>
      <c r="N71" s="99"/>
      <c r="O71" s="20"/>
      <c r="P71" s="20"/>
      <c r="Q71" s="20"/>
      <c r="R71" s="20"/>
    </row>
    <row r="72" spans="1:18" x14ac:dyDescent="0.25">
      <c r="A72" s="20"/>
      <c r="B72" s="20"/>
      <c r="C72" s="20"/>
      <c r="D72" s="53"/>
      <c r="E72" s="53"/>
      <c r="F72" s="53"/>
      <c r="G72" s="53"/>
      <c r="H72" s="53"/>
      <c r="I72" s="53"/>
      <c r="J72" s="53"/>
      <c r="K72" s="53"/>
      <c r="L72" s="20"/>
      <c r="M72" s="20"/>
      <c r="N72" s="99"/>
      <c r="O72" s="20"/>
      <c r="P72" s="20"/>
      <c r="Q72" s="20"/>
      <c r="R72" s="20"/>
    </row>
    <row r="73" spans="1:18" x14ac:dyDescent="0.25">
      <c r="A73" s="20"/>
      <c r="B73" s="20"/>
      <c r="C73" s="20"/>
      <c r="D73" s="53"/>
      <c r="E73" s="53"/>
      <c r="F73" s="53"/>
      <c r="G73" s="53"/>
      <c r="H73" s="53"/>
      <c r="I73" s="53"/>
      <c r="J73" s="53"/>
      <c r="K73" s="53"/>
      <c r="L73" s="20"/>
      <c r="M73" s="20"/>
      <c r="N73" s="99"/>
      <c r="O73" s="20"/>
      <c r="P73" s="20"/>
      <c r="Q73" s="20"/>
      <c r="R73" s="20"/>
    </row>
    <row r="74" spans="1:18" x14ac:dyDescent="0.25">
      <c r="A74" s="20"/>
      <c r="B74" s="20"/>
      <c r="C74" s="20"/>
      <c r="D74" s="53"/>
      <c r="E74" s="53"/>
      <c r="F74" s="53"/>
      <c r="G74" s="53"/>
      <c r="H74" s="53"/>
      <c r="I74" s="53"/>
      <c r="J74" s="53"/>
      <c r="K74" s="53"/>
      <c r="L74" s="20"/>
      <c r="M74" s="20"/>
      <c r="N74" s="99"/>
      <c r="O74" s="20"/>
      <c r="P74" s="20"/>
      <c r="Q74" s="20"/>
      <c r="R74" s="20"/>
    </row>
    <row r="75" spans="1:18" x14ac:dyDescent="0.25">
      <c r="A75" s="20"/>
      <c r="B75" s="20"/>
      <c r="C75" s="20"/>
      <c r="D75" s="53"/>
      <c r="E75" s="53"/>
      <c r="F75" s="53"/>
      <c r="G75" s="53"/>
      <c r="H75" s="53"/>
      <c r="I75" s="53"/>
      <c r="J75" s="53"/>
      <c r="K75" s="53"/>
      <c r="L75" s="20"/>
      <c r="M75" s="20"/>
      <c r="N75" s="99"/>
      <c r="O75" s="20"/>
      <c r="P75" s="20"/>
      <c r="Q75" s="20"/>
      <c r="R75" s="20"/>
    </row>
    <row r="76" spans="1:18" x14ac:dyDescent="0.25">
      <c r="A76" s="20"/>
      <c r="B76" s="20"/>
      <c r="C76" s="20"/>
      <c r="D76" s="53"/>
      <c r="E76" s="53"/>
      <c r="F76" s="53"/>
      <c r="G76" s="53"/>
      <c r="H76" s="53"/>
      <c r="I76" s="53"/>
      <c r="J76" s="53"/>
      <c r="K76" s="53"/>
      <c r="L76" s="20"/>
      <c r="M76" s="20"/>
      <c r="N76" s="99"/>
      <c r="O76" s="20"/>
      <c r="P76" s="20"/>
      <c r="Q76" s="20"/>
      <c r="R76" s="20"/>
    </row>
    <row r="77" spans="1:18" x14ac:dyDescent="0.25">
      <c r="A77" s="20"/>
      <c r="B77" s="20"/>
      <c r="C77" s="20"/>
      <c r="D77" s="53"/>
      <c r="E77" s="53"/>
      <c r="F77" s="53"/>
      <c r="G77" s="53"/>
      <c r="H77" s="53"/>
      <c r="I77" s="53"/>
      <c r="J77" s="53"/>
      <c r="K77" s="53"/>
      <c r="L77" s="20"/>
      <c r="M77" s="20"/>
      <c r="N77" s="99"/>
      <c r="O77" s="20"/>
      <c r="P77" s="20"/>
      <c r="Q77" s="20"/>
      <c r="R77" s="20"/>
    </row>
    <row r="78" spans="1:18" x14ac:dyDescent="0.25">
      <c r="A78" s="20"/>
      <c r="B78" s="20"/>
      <c r="C78" s="20"/>
      <c r="D78" s="53"/>
      <c r="E78" s="53"/>
      <c r="F78" s="53"/>
      <c r="G78" s="53"/>
      <c r="H78" s="53"/>
      <c r="I78" s="53"/>
      <c r="J78" s="53"/>
      <c r="K78" s="53"/>
      <c r="L78" s="20"/>
      <c r="M78" s="20"/>
      <c r="N78" s="99"/>
      <c r="O78" s="20"/>
      <c r="P78" s="20"/>
      <c r="Q78" s="20"/>
      <c r="R78" s="20"/>
    </row>
    <row r="79" spans="1:18" x14ac:dyDescent="0.25">
      <c r="A79" s="20"/>
      <c r="B79" s="20"/>
      <c r="C79" s="20"/>
      <c r="D79" s="53"/>
      <c r="E79" s="53"/>
      <c r="F79" s="53"/>
      <c r="G79" s="53"/>
      <c r="H79" s="53"/>
      <c r="I79" s="53"/>
      <c r="J79" s="53"/>
      <c r="K79" s="53"/>
      <c r="L79" s="20"/>
      <c r="M79" s="20"/>
      <c r="N79" s="99"/>
      <c r="O79" s="20"/>
      <c r="P79" s="20"/>
      <c r="Q79" s="20"/>
      <c r="R79" s="20"/>
    </row>
    <row r="80" spans="1:18" x14ac:dyDescent="0.25">
      <c r="A80" s="20"/>
      <c r="B80" s="20"/>
      <c r="C80" s="20"/>
      <c r="D80" s="53"/>
      <c r="E80" s="53"/>
      <c r="F80" s="53"/>
      <c r="G80" s="53"/>
      <c r="H80" s="53"/>
      <c r="I80" s="53"/>
      <c r="J80" s="53"/>
      <c r="K80" s="53"/>
      <c r="L80" s="20"/>
      <c r="M80" s="20"/>
      <c r="N80" s="99"/>
      <c r="O80" s="20"/>
      <c r="P80" s="20"/>
      <c r="Q80" s="20"/>
      <c r="R80" s="20"/>
    </row>
    <row r="81" spans="1:18" x14ac:dyDescent="0.25">
      <c r="A81" s="20"/>
      <c r="B81" s="20"/>
      <c r="C81" s="20"/>
      <c r="D81" s="53"/>
      <c r="E81" s="53"/>
      <c r="F81" s="53"/>
      <c r="G81" s="53"/>
      <c r="H81" s="53"/>
      <c r="I81" s="53"/>
      <c r="J81" s="53"/>
      <c r="K81" s="53"/>
      <c r="L81" s="20"/>
      <c r="M81" s="20"/>
      <c r="N81" s="99"/>
      <c r="O81" s="20"/>
      <c r="P81" s="20"/>
      <c r="Q81" s="20"/>
      <c r="R81" s="20"/>
    </row>
    <row r="82" spans="1:18" x14ac:dyDescent="0.25">
      <c r="A82" s="20"/>
      <c r="B82" s="20"/>
      <c r="C82" s="20"/>
      <c r="D82" s="53"/>
      <c r="E82" s="53"/>
      <c r="F82" s="53"/>
      <c r="G82" s="53"/>
      <c r="H82" s="53"/>
      <c r="I82" s="53"/>
      <c r="J82" s="53"/>
      <c r="K82" s="53"/>
      <c r="L82" s="20"/>
      <c r="M82" s="20"/>
      <c r="N82" s="99"/>
      <c r="O82" s="20"/>
      <c r="P82" s="20"/>
      <c r="Q82" s="20"/>
      <c r="R82" s="20"/>
    </row>
    <row r="83" spans="1:18" x14ac:dyDescent="0.25">
      <c r="A83" s="20"/>
      <c r="B83" s="20"/>
      <c r="C83" s="20"/>
      <c r="D83" s="53"/>
      <c r="E83" s="53"/>
      <c r="F83" s="53"/>
      <c r="G83" s="53"/>
      <c r="H83" s="53"/>
      <c r="I83" s="53"/>
      <c r="J83" s="53"/>
      <c r="K83" s="53"/>
      <c r="L83" s="20"/>
      <c r="M83" s="20"/>
      <c r="N83" s="99"/>
      <c r="O83" s="20"/>
      <c r="P83" s="20"/>
      <c r="Q83" s="20"/>
      <c r="R83" s="20"/>
    </row>
    <row r="84" spans="1:18" x14ac:dyDescent="0.25">
      <c r="A84" s="20"/>
      <c r="B84" s="20"/>
      <c r="C84" s="20"/>
      <c r="D84" s="53"/>
      <c r="E84" s="53"/>
      <c r="F84" s="53"/>
      <c r="G84" s="53"/>
      <c r="H84" s="53"/>
      <c r="I84" s="53"/>
      <c r="J84" s="53"/>
      <c r="K84" s="53"/>
      <c r="L84" s="20"/>
      <c r="M84" s="20"/>
      <c r="N84" s="99"/>
      <c r="O84" s="20"/>
      <c r="P84" s="20"/>
      <c r="Q84" s="20"/>
      <c r="R84" s="20"/>
    </row>
    <row r="85" spans="1:18" x14ac:dyDescent="0.25">
      <c r="A85" s="20"/>
      <c r="B85" s="20"/>
      <c r="C85" s="20"/>
      <c r="D85" s="53"/>
      <c r="E85" s="53"/>
      <c r="F85" s="53"/>
      <c r="G85" s="53"/>
      <c r="H85" s="53"/>
      <c r="I85" s="53"/>
      <c r="J85" s="53"/>
      <c r="K85" s="53"/>
      <c r="L85" s="20"/>
      <c r="M85" s="20"/>
      <c r="N85" s="99"/>
      <c r="O85" s="20"/>
      <c r="P85" s="20"/>
      <c r="Q85" s="20"/>
      <c r="R85" s="20"/>
    </row>
    <row r="86" spans="1:18" x14ac:dyDescent="0.25">
      <c r="A86" s="20"/>
      <c r="B86" s="20"/>
      <c r="C86" s="20"/>
      <c r="D86" s="53"/>
      <c r="E86" s="53"/>
      <c r="F86" s="53"/>
      <c r="G86" s="53"/>
      <c r="H86" s="53"/>
      <c r="I86" s="53"/>
      <c r="J86" s="53"/>
      <c r="K86" s="53"/>
      <c r="L86" s="20"/>
      <c r="M86" s="20"/>
      <c r="N86" s="99"/>
      <c r="O86" s="20"/>
      <c r="P86" s="20"/>
      <c r="Q86" s="20"/>
      <c r="R86" s="20"/>
    </row>
    <row r="87" spans="1:18" x14ac:dyDescent="0.25">
      <c r="A87" s="20"/>
      <c r="B87" s="20"/>
      <c r="C87" s="20"/>
      <c r="D87" s="53"/>
      <c r="E87" s="53"/>
      <c r="F87" s="53"/>
      <c r="G87" s="53"/>
      <c r="H87" s="53"/>
      <c r="I87" s="53"/>
      <c r="J87" s="53"/>
      <c r="K87" s="53"/>
      <c r="L87" s="20"/>
      <c r="M87" s="20"/>
      <c r="N87" s="99"/>
      <c r="O87" s="20"/>
      <c r="P87" s="20"/>
      <c r="Q87" s="20"/>
      <c r="R87" s="20"/>
    </row>
    <row r="88" spans="1:18" x14ac:dyDescent="0.25">
      <c r="A88" s="20"/>
      <c r="B88" s="20"/>
      <c r="C88" s="20"/>
      <c r="D88" s="53"/>
      <c r="E88" s="53"/>
      <c r="F88" s="53"/>
      <c r="G88" s="53"/>
      <c r="H88" s="53"/>
      <c r="I88" s="53"/>
      <c r="J88" s="53"/>
      <c r="K88" s="53"/>
      <c r="L88" s="20"/>
      <c r="M88" s="20"/>
      <c r="N88" s="99"/>
      <c r="O88" s="20"/>
      <c r="P88" s="20"/>
      <c r="Q88" s="20"/>
      <c r="R88" s="20"/>
    </row>
    <row r="89" spans="1:18" x14ac:dyDescent="0.25">
      <c r="A89" s="20"/>
      <c r="B89" s="20"/>
      <c r="C89" s="20"/>
      <c r="D89" s="53"/>
      <c r="E89" s="53"/>
      <c r="F89" s="53"/>
      <c r="G89" s="53"/>
      <c r="H89" s="53"/>
      <c r="I89" s="53"/>
      <c r="J89" s="53"/>
      <c r="K89" s="53"/>
      <c r="L89" s="20"/>
      <c r="M89" s="20"/>
      <c r="N89" s="99"/>
      <c r="O89" s="20"/>
      <c r="P89" s="20"/>
      <c r="Q89" s="20"/>
      <c r="R89" s="20"/>
    </row>
    <row r="90" spans="1:18" x14ac:dyDescent="0.25">
      <c r="A90" s="20"/>
      <c r="B90" s="20"/>
      <c r="C90" s="20"/>
      <c r="D90" s="53"/>
      <c r="E90" s="53"/>
      <c r="F90" s="53"/>
      <c r="G90" s="53"/>
      <c r="H90" s="53"/>
      <c r="I90" s="53"/>
      <c r="J90" s="53"/>
      <c r="K90" s="53"/>
      <c r="L90" s="20"/>
      <c r="M90" s="20"/>
      <c r="N90" s="99"/>
      <c r="O90" s="20"/>
      <c r="P90" s="20"/>
      <c r="Q90" s="20"/>
      <c r="R90" s="20"/>
    </row>
    <row r="91" spans="1:18" x14ac:dyDescent="0.25">
      <c r="A91" s="20"/>
      <c r="B91" s="20"/>
      <c r="C91" s="20"/>
      <c r="D91" s="53"/>
      <c r="E91" s="53"/>
      <c r="F91" s="53"/>
      <c r="G91" s="53"/>
      <c r="H91" s="53"/>
      <c r="I91" s="53"/>
      <c r="J91" s="53"/>
      <c r="K91" s="53"/>
      <c r="L91" s="20"/>
      <c r="M91" s="20"/>
      <c r="N91" s="99"/>
      <c r="O91" s="20"/>
      <c r="P91" s="20"/>
      <c r="Q91" s="20"/>
      <c r="R91" s="20"/>
    </row>
    <row r="92" spans="1:18" x14ac:dyDescent="0.25">
      <c r="A92" s="20"/>
      <c r="B92" s="20"/>
      <c r="C92" s="20"/>
      <c r="D92" s="53"/>
      <c r="E92" s="53"/>
      <c r="F92" s="53"/>
      <c r="G92" s="53"/>
      <c r="H92" s="53"/>
      <c r="I92" s="53"/>
      <c r="J92" s="53"/>
      <c r="K92" s="53"/>
      <c r="L92" s="20"/>
      <c r="M92" s="20"/>
      <c r="N92" s="99"/>
      <c r="O92" s="20"/>
      <c r="P92" s="20"/>
      <c r="Q92" s="20"/>
      <c r="R92" s="20"/>
    </row>
    <row r="93" spans="1:18" x14ac:dyDescent="0.25">
      <c r="A93" s="20"/>
      <c r="B93" s="20"/>
      <c r="C93" s="20"/>
      <c r="D93" s="53"/>
      <c r="E93" s="53"/>
      <c r="F93" s="53"/>
      <c r="G93" s="53"/>
      <c r="H93" s="53"/>
      <c r="I93" s="53"/>
      <c r="J93" s="53"/>
      <c r="K93" s="53"/>
      <c r="L93" s="20"/>
      <c r="M93" s="20"/>
      <c r="N93" s="99"/>
      <c r="O93" s="20"/>
      <c r="P93" s="20"/>
      <c r="Q93" s="20"/>
      <c r="R93" s="20"/>
    </row>
    <row r="94" spans="1:18" x14ac:dyDescent="0.25">
      <c r="A94" s="20"/>
      <c r="B94" s="20"/>
      <c r="C94" s="20"/>
      <c r="D94" s="53"/>
      <c r="E94" s="53"/>
      <c r="F94" s="53"/>
      <c r="G94" s="53"/>
      <c r="H94" s="53"/>
      <c r="I94" s="53"/>
      <c r="J94" s="53"/>
      <c r="K94" s="53"/>
      <c r="L94" s="20"/>
      <c r="M94" s="20"/>
      <c r="N94" s="99"/>
      <c r="O94" s="20"/>
      <c r="P94" s="20"/>
      <c r="Q94" s="20"/>
      <c r="R94" s="20"/>
    </row>
    <row r="95" spans="1:18" x14ac:dyDescent="0.25">
      <c r="A95" s="20"/>
      <c r="B95" s="20"/>
      <c r="C95" s="20"/>
      <c r="D95" s="53"/>
      <c r="E95" s="53"/>
      <c r="F95" s="53"/>
      <c r="G95" s="53"/>
      <c r="H95" s="53"/>
      <c r="I95" s="53"/>
      <c r="J95" s="53"/>
      <c r="K95" s="53"/>
      <c r="L95" s="20"/>
      <c r="M95" s="20"/>
      <c r="N95" s="99"/>
      <c r="O95" s="20"/>
      <c r="P95" s="20"/>
      <c r="Q95" s="20"/>
      <c r="R95" s="20"/>
    </row>
    <row r="96" spans="1:18" x14ac:dyDescent="0.25">
      <c r="A96" s="20"/>
      <c r="B96" s="20"/>
      <c r="C96" s="20"/>
      <c r="D96" s="53"/>
      <c r="E96" s="53"/>
      <c r="F96" s="53"/>
      <c r="G96" s="53"/>
      <c r="H96" s="53"/>
      <c r="I96" s="53"/>
      <c r="J96" s="53"/>
      <c r="K96" s="53"/>
      <c r="L96" s="20"/>
      <c r="M96" s="20"/>
      <c r="N96" s="99"/>
      <c r="O96" s="20"/>
      <c r="P96" s="20"/>
      <c r="Q96" s="20"/>
      <c r="R96" s="20"/>
    </row>
    <row r="97" spans="1:18" x14ac:dyDescent="0.25">
      <c r="A97" s="20"/>
      <c r="B97" s="20"/>
      <c r="C97" s="20"/>
      <c r="D97" s="53"/>
      <c r="E97" s="53"/>
      <c r="F97" s="53"/>
      <c r="G97" s="53"/>
      <c r="H97" s="53"/>
      <c r="I97" s="53"/>
      <c r="J97" s="53"/>
      <c r="K97" s="53"/>
      <c r="L97" s="20"/>
      <c r="M97" s="20"/>
      <c r="N97" s="99"/>
      <c r="O97" s="20"/>
      <c r="P97" s="20"/>
      <c r="Q97" s="20"/>
      <c r="R97" s="20"/>
    </row>
    <row r="98" spans="1:18" x14ac:dyDescent="0.25">
      <c r="A98" s="20"/>
      <c r="B98" s="20"/>
      <c r="C98" s="20"/>
      <c r="D98" s="53"/>
      <c r="E98" s="53"/>
      <c r="F98" s="53"/>
      <c r="G98" s="53"/>
      <c r="H98" s="53"/>
      <c r="I98" s="53"/>
      <c r="J98" s="53"/>
      <c r="K98" s="53"/>
      <c r="L98" s="20"/>
      <c r="M98" s="20"/>
      <c r="N98" s="99"/>
      <c r="O98" s="20"/>
      <c r="P98" s="20"/>
      <c r="Q98" s="20"/>
      <c r="R98" s="20"/>
    </row>
    <row r="99" spans="1:18" x14ac:dyDescent="0.25">
      <c r="A99" s="20"/>
      <c r="B99" s="20"/>
      <c r="C99" s="20"/>
      <c r="D99" s="53"/>
      <c r="E99" s="53"/>
      <c r="F99" s="53"/>
      <c r="G99" s="53"/>
      <c r="H99" s="53"/>
      <c r="I99" s="53"/>
      <c r="J99" s="53"/>
      <c r="K99" s="53"/>
      <c r="L99" s="20"/>
      <c r="M99" s="20"/>
      <c r="N99" s="99"/>
      <c r="O99" s="20"/>
      <c r="P99" s="20"/>
      <c r="Q99" s="20"/>
      <c r="R99" s="20"/>
    </row>
    <row r="100" spans="1:18" x14ac:dyDescent="0.25">
      <c r="A100" s="20"/>
      <c r="B100" s="20"/>
      <c r="C100" s="20"/>
      <c r="D100" s="53"/>
      <c r="E100" s="53"/>
      <c r="F100" s="53"/>
      <c r="G100" s="53"/>
      <c r="H100" s="53"/>
      <c r="I100" s="53"/>
      <c r="J100" s="53"/>
      <c r="K100" s="53"/>
      <c r="L100" s="20"/>
      <c r="M100" s="20"/>
      <c r="N100" s="99"/>
      <c r="O100" s="20"/>
      <c r="P100" s="20"/>
      <c r="Q100" s="20"/>
      <c r="R100" s="20"/>
    </row>
    <row r="101" spans="1:18" x14ac:dyDescent="0.25">
      <c r="A101" s="20"/>
      <c r="B101" s="20"/>
      <c r="C101" s="20"/>
      <c r="D101" s="53"/>
      <c r="E101" s="53"/>
      <c r="F101" s="53"/>
      <c r="G101" s="53"/>
      <c r="H101" s="53"/>
      <c r="I101" s="53"/>
      <c r="J101" s="53"/>
      <c r="K101" s="53"/>
      <c r="L101" s="20"/>
      <c r="M101" s="20"/>
      <c r="N101" s="99"/>
      <c r="O101" s="20"/>
      <c r="P101" s="20"/>
      <c r="Q101" s="20"/>
      <c r="R101" s="20"/>
    </row>
    <row r="102" spans="1:18" x14ac:dyDescent="0.25">
      <c r="A102" s="20"/>
      <c r="B102" s="20"/>
      <c r="C102" s="20"/>
      <c r="D102" s="53"/>
      <c r="E102" s="53"/>
      <c r="F102" s="53"/>
      <c r="G102" s="53"/>
      <c r="H102" s="53"/>
      <c r="I102" s="53"/>
      <c r="J102" s="53"/>
      <c r="K102" s="53"/>
      <c r="L102" s="20"/>
      <c r="M102" s="20"/>
      <c r="N102" s="99"/>
      <c r="O102" s="20"/>
      <c r="P102" s="20"/>
      <c r="Q102" s="20"/>
      <c r="R102" s="20"/>
    </row>
    <row r="103" spans="1:18" x14ac:dyDescent="0.25">
      <c r="A103" s="20"/>
      <c r="B103" s="20"/>
      <c r="C103" s="20"/>
      <c r="D103" s="53"/>
      <c r="E103" s="53"/>
      <c r="F103" s="53"/>
      <c r="G103" s="53"/>
      <c r="H103" s="53"/>
      <c r="I103" s="53"/>
      <c r="J103" s="53"/>
      <c r="K103" s="53"/>
      <c r="L103" s="20"/>
      <c r="M103" s="20"/>
      <c r="N103" s="99"/>
      <c r="O103" s="20"/>
      <c r="P103" s="20"/>
      <c r="Q103" s="20"/>
      <c r="R103" s="20"/>
    </row>
    <row r="104" spans="1:18" x14ac:dyDescent="0.25">
      <c r="A104" s="20"/>
      <c r="B104" s="20"/>
      <c r="C104" s="20"/>
      <c r="D104" s="53"/>
      <c r="E104" s="53"/>
      <c r="F104" s="53"/>
      <c r="G104" s="53"/>
      <c r="H104" s="53"/>
      <c r="I104" s="53"/>
      <c r="J104" s="53"/>
      <c r="K104" s="53"/>
      <c r="L104" s="20"/>
      <c r="M104" s="20"/>
      <c r="N104" s="99"/>
      <c r="O104" s="20"/>
      <c r="P104" s="20"/>
      <c r="Q104" s="20"/>
      <c r="R104" s="20"/>
    </row>
    <row r="105" spans="1:18" x14ac:dyDescent="0.25">
      <c r="A105" s="20"/>
      <c r="B105" s="20"/>
      <c r="C105" s="20"/>
      <c r="D105" s="53"/>
      <c r="E105" s="53"/>
      <c r="F105" s="53"/>
      <c r="G105" s="53"/>
      <c r="H105" s="53"/>
      <c r="I105" s="53"/>
      <c r="J105" s="53"/>
      <c r="K105" s="53"/>
      <c r="L105" s="20"/>
      <c r="M105" s="20"/>
      <c r="N105" s="99"/>
      <c r="O105" s="20"/>
      <c r="P105" s="20"/>
      <c r="Q105" s="20"/>
      <c r="R105" s="20"/>
    </row>
    <row r="106" spans="1:18" x14ac:dyDescent="0.25">
      <c r="A106" s="20"/>
      <c r="B106" s="20"/>
      <c r="C106" s="20"/>
      <c r="D106" s="53"/>
      <c r="E106" s="53"/>
      <c r="F106" s="53"/>
      <c r="G106" s="53"/>
      <c r="H106" s="53"/>
      <c r="I106" s="53"/>
      <c r="J106" s="53"/>
      <c r="K106" s="53"/>
      <c r="L106" s="20"/>
      <c r="M106" s="20"/>
      <c r="N106" s="99"/>
      <c r="O106" s="20"/>
      <c r="P106" s="20"/>
      <c r="Q106" s="20"/>
      <c r="R106" s="20"/>
    </row>
    <row r="107" spans="1:18" x14ac:dyDescent="0.25">
      <c r="A107" s="20"/>
      <c r="B107" s="20"/>
      <c r="C107" s="20"/>
      <c r="D107" s="53"/>
      <c r="E107" s="53"/>
      <c r="F107" s="53"/>
      <c r="G107" s="53"/>
      <c r="H107" s="53"/>
      <c r="I107" s="53"/>
      <c r="J107" s="53"/>
      <c r="K107" s="53"/>
      <c r="L107" s="20"/>
      <c r="M107" s="20"/>
      <c r="N107" s="99"/>
      <c r="O107" s="20"/>
      <c r="P107" s="20"/>
      <c r="Q107" s="20"/>
      <c r="R107" s="20"/>
    </row>
    <row r="108" spans="1:18" x14ac:dyDescent="0.25">
      <c r="A108" s="20"/>
      <c r="B108" s="20"/>
      <c r="C108" s="20"/>
      <c r="D108" s="53"/>
      <c r="E108" s="53"/>
      <c r="F108" s="53"/>
      <c r="G108" s="53"/>
      <c r="H108" s="53"/>
      <c r="I108" s="53"/>
      <c r="J108" s="53"/>
      <c r="K108" s="53"/>
      <c r="L108" s="20"/>
      <c r="M108" s="20"/>
      <c r="N108" s="99"/>
      <c r="O108" s="20"/>
      <c r="P108" s="20"/>
      <c r="Q108" s="20"/>
      <c r="R108" s="20"/>
    </row>
    <row r="109" spans="1:18" x14ac:dyDescent="0.25">
      <c r="A109" s="20"/>
      <c r="B109" s="20"/>
      <c r="C109" s="20"/>
      <c r="D109" s="53"/>
      <c r="E109" s="53"/>
      <c r="F109" s="53"/>
      <c r="G109" s="53"/>
      <c r="H109" s="53"/>
      <c r="I109" s="53"/>
      <c r="J109" s="53"/>
      <c r="K109" s="53"/>
      <c r="L109" s="20"/>
      <c r="M109" s="20"/>
      <c r="N109" s="99"/>
      <c r="O109" s="20"/>
      <c r="P109" s="20"/>
      <c r="Q109" s="20"/>
      <c r="R109" s="20"/>
    </row>
    <row r="110" spans="1:18" x14ac:dyDescent="0.25">
      <c r="A110" s="20"/>
      <c r="B110" s="20"/>
      <c r="C110" s="20"/>
      <c r="D110" s="53"/>
      <c r="E110" s="53"/>
      <c r="F110" s="53"/>
      <c r="G110" s="53"/>
      <c r="H110" s="53"/>
      <c r="I110" s="53"/>
      <c r="J110" s="53"/>
      <c r="K110" s="53"/>
      <c r="L110" s="20"/>
      <c r="M110" s="20"/>
      <c r="N110" s="99"/>
      <c r="O110" s="20"/>
      <c r="P110" s="20"/>
      <c r="Q110" s="20"/>
      <c r="R110" s="20"/>
    </row>
    <row r="111" spans="1:18" x14ac:dyDescent="0.25">
      <c r="A111" s="20"/>
      <c r="B111" s="20"/>
      <c r="C111" s="20"/>
      <c r="D111" s="53"/>
      <c r="E111" s="53"/>
      <c r="F111" s="53"/>
      <c r="G111" s="53"/>
      <c r="H111" s="53"/>
      <c r="I111" s="53"/>
      <c r="J111" s="53"/>
      <c r="K111" s="53"/>
      <c r="L111" s="20"/>
      <c r="M111" s="20"/>
      <c r="N111" s="99"/>
      <c r="O111" s="20"/>
      <c r="P111" s="20"/>
      <c r="Q111" s="20"/>
      <c r="R111" s="20"/>
    </row>
    <row r="112" spans="1:18" x14ac:dyDescent="0.25">
      <c r="A112" s="20"/>
      <c r="B112" s="20"/>
      <c r="C112" s="20"/>
      <c r="D112" s="53"/>
      <c r="E112" s="53"/>
      <c r="F112" s="53"/>
      <c r="G112" s="53"/>
      <c r="H112" s="53"/>
      <c r="I112" s="53"/>
      <c r="J112" s="53"/>
      <c r="K112" s="53"/>
      <c r="L112" s="20"/>
      <c r="M112" s="20"/>
      <c r="N112" s="99"/>
      <c r="O112" s="20"/>
      <c r="P112" s="20"/>
      <c r="Q112" s="20"/>
      <c r="R112" s="20"/>
    </row>
    <row r="113" spans="1:18" x14ac:dyDescent="0.25">
      <c r="A113" s="20"/>
      <c r="B113" s="20"/>
      <c r="C113" s="20"/>
      <c r="D113" s="53"/>
      <c r="E113" s="53"/>
      <c r="F113" s="53"/>
      <c r="G113" s="53"/>
      <c r="H113" s="53"/>
      <c r="I113" s="53"/>
      <c r="J113" s="53"/>
      <c r="K113" s="53"/>
      <c r="L113" s="20"/>
      <c r="M113" s="20"/>
      <c r="N113" s="99"/>
      <c r="O113" s="20"/>
      <c r="P113" s="20"/>
      <c r="Q113" s="20"/>
      <c r="R113" s="20"/>
    </row>
    <row r="114" spans="1:18" x14ac:dyDescent="0.25">
      <c r="A114" s="20"/>
      <c r="B114" s="20"/>
      <c r="C114" s="20"/>
      <c r="D114" s="53"/>
      <c r="E114" s="53"/>
      <c r="F114" s="53"/>
      <c r="G114" s="53"/>
      <c r="H114" s="53"/>
      <c r="I114" s="53"/>
      <c r="J114" s="53"/>
      <c r="K114" s="53"/>
      <c r="L114" s="20"/>
      <c r="M114" s="20"/>
      <c r="N114" s="99"/>
      <c r="O114" s="20"/>
      <c r="P114" s="20"/>
      <c r="Q114" s="20"/>
      <c r="R114" s="20"/>
    </row>
    <row r="115" spans="1:18" x14ac:dyDescent="0.25">
      <c r="A115" s="20"/>
      <c r="B115" s="20"/>
      <c r="C115" s="20"/>
      <c r="D115" s="53"/>
      <c r="E115" s="53"/>
      <c r="F115" s="53"/>
      <c r="G115" s="53"/>
      <c r="H115" s="53"/>
      <c r="I115" s="53"/>
      <c r="J115" s="53"/>
      <c r="K115" s="53"/>
      <c r="L115" s="20"/>
      <c r="M115" s="20"/>
      <c r="N115" s="99"/>
      <c r="O115" s="20"/>
      <c r="P115" s="20"/>
      <c r="Q115" s="20"/>
      <c r="R115" s="20"/>
    </row>
    <row r="116" spans="1:18" x14ac:dyDescent="0.25">
      <c r="A116" s="20"/>
      <c r="B116" s="20"/>
      <c r="C116" s="20"/>
      <c r="D116" s="53"/>
      <c r="E116" s="53"/>
      <c r="F116" s="53"/>
      <c r="G116" s="53"/>
      <c r="H116" s="53"/>
      <c r="I116" s="53"/>
      <c r="J116" s="53"/>
      <c r="K116" s="53"/>
      <c r="L116" s="20"/>
      <c r="M116" s="20"/>
      <c r="N116" s="99"/>
      <c r="O116" s="20"/>
      <c r="P116" s="20"/>
      <c r="Q116" s="20"/>
      <c r="R116" s="20"/>
    </row>
    <row r="117" spans="1:18" x14ac:dyDescent="0.25">
      <c r="A117" s="20"/>
      <c r="B117" s="20"/>
      <c r="C117" s="20"/>
      <c r="D117" s="53"/>
      <c r="E117" s="53"/>
      <c r="F117" s="53"/>
      <c r="G117" s="53"/>
      <c r="H117" s="53"/>
      <c r="I117" s="53"/>
      <c r="J117" s="53"/>
      <c r="K117" s="53"/>
      <c r="L117" s="20"/>
      <c r="M117" s="20"/>
      <c r="N117" s="99"/>
      <c r="O117" s="20"/>
      <c r="P117" s="20"/>
      <c r="Q117" s="20"/>
      <c r="R117" s="20"/>
    </row>
    <row r="118" spans="1:18" x14ac:dyDescent="0.25">
      <c r="A118" s="20"/>
      <c r="B118" s="20"/>
      <c r="C118" s="20"/>
      <c r="D118" s="53"/>
      <c r="E118" s="53"/>
      <c r="F118" s="53"/>
      <c r="G118" s="53"/>
      <c r="H118" s="53"/>
      <c r="I118" s="53"/>
      <c r="J118" s="53"/>
      <c r="K118" s="53"/>
      <c r="L118" s="20"/>
      <c r="M118" s="20"/>
      <c r="N118" s="99"/>
      <c r="O118" s="20"/>
      <c r="P118" s="20"/>
      <c r="Q118" s="20"/>
      <c r="R118" s="20"/>
    </row>
    <row r="119" spans="1:18" x14ac:dyDescent="0.25">
      <c r="A119" s="20"/>
      <c r="B119" s="20"/>
      <c r="C119" s="20"/>
      <c r="D119" s="53"/>
      <c r="E119" s="53"/>
      <c r="F119" s="53"/>
      <c r="G119" s="53"/>
      <c r="H119" s="53"/>
      <c r="I119" s="53"/>
      <c r="J119" s="53"/>
      <c r="K119" s="53"/>
      <c r="L119" s="20"/>
      <c r="M119" s="20"/>
      <c r="N119" s="99"/>
      <c r="O119" s="20"/>
      <c r="P119" s="20"/>
      <c r="Q119" s="20"/>
      <c r="R119" s="20"/>
    </row>
    <row r="120" spans="1:18" x14ac:dyDescent="0.25">
      <c r="A120" s="20"/>
      <c r="B120" s="20"/>
      <c r="C120" s="20"/>
      <c r="D120" s="53"/>
      <c r="E120" s="53"/>
      <c r="F120" s="53"/>
      <c r="G120" s="53"/>
      <c r="H120" s="53"/>
      <c r="I120" s="53"/>
      <c r="J120" s="53"/>
      <c r="K120" s="53"/>
      <c r="L120" s="20"/>
      <c r="M120" s="20"/>
      <c r="N120" s="99"/>
      <c r="O120" s="20"/>
      <c r="P120" s="20"/>
      <c r="Q120" s="20"/>
      <c r="R120" s="20"/>
    </row>
    <row r="121" spans="1:18" x14ac:dyDescent="0.25">
      <c r="A121" s="20"/>
      <c r="B121" s="20"/>
      <c r="C121" s="20"/>
      <c r="D121" s="53"/>
      <c r="E121" s="53"/>
      <c r="F121" s="53"/>
      <c r="G121" s="53"/>
      <c r="H121" s="53"/>
      <c r="I121" s="53"/>
      <c r="J121" s="53"/>
      <c r="K121" s="53"/>
      <c r="L121" s="20"/>
      <c r="M121" s="20"/>
      <c r="N121" s="99"/>
      <c r="O121" s="20"/>
      <c r="P121" s="20"/>
      <c r="Q121" s="20"/>
      <c r="R121" s="20"/>
    </row>
    <row r="122" spans="1:18" x14ac:dyDescent="0.25">
      <c r="A122" s="20"/>
      <c r="B122" s="20"/>
      <c r="C122" s="20"/>
      <c r="D122" s="53"/>
      <c r="E122" s="53"/>
      <c r="F122" s="53"/>
      <c r="G122" s="53"/>
      <c r="H122" s="53"/>
      <c r="I122" s="53"/>
      <c r="J122" s="53"/>
      <c r="K122" s="53"/>
      <c r="L122" s="20"/>
      <c r="M122" s="20"/>
      <c r="N122" s="99"/>
      <c r="O122" s="20"/>
      <c r="P122" s="20"/>
      <c r="Q122" s="20"/>
      <c r="R122" s="20"/>
    </row>
    <row r="123" spans="1:18" x14ac:dyDescent="0.25">
      <c r="A123" s="20"/>
      <c r="B123" s="20"/>
      <c r="C123" s="20"/>
      <c r="D123" s="53"/>
      <c r="E123" s="53"/>
      <c r="F123" s="53"/>
      <c r="G123" s="53"/>
      <c r="H123" s="53"/>
      <c r="I123" s="53"/>
      <c r="J123" s="53"/>
      <c r="K123" s="53"/>
      <c r="L123" s="20"/>
      <c r="M123" s="20"/>
      <c r="N123" s="99"/>
      <c r="O123" s="20"/>
      <c r="P123" s="20"/>
      <c r="Q123" s="20"/>
      <c r="R123" s="20"/>
    </row>
    <row r="124" spans="1:18" x14ac:dyDescent="0.25">
      <c r="A124" s="20"/>
      <c r="B124" s="20"/>
      <c r="C124" s="20"/>
      <c r="D124" s="53"/>
      <c r="E124" s="53"/>
      <c r="F124" s="53"/>
      <c r="G124" s="53"/>
      <c r="H124" s="53"/>
      <c r="I124" s="53"/>
      <c r="J124" s="53"/>
      <c r="K124" s="53"/>
      <c r="L124" s="20"/>
      <c r="M124" s="20"/>
      <c r="N124" s="99"/>
      <c r="O124" s="20"/>
      <c r="P124" s="20"/>
      <c r="Q124" s="20"/>
      <c r="R124" s="20"/>
    </row>
    <row r="125" spans="1:18" x14ac:dyDescent="0.25">
      <c r="A125" s="20"/>
      <c r="B125" s="20"/>
      <c r="C125" s="20"/>
      <c r="D125" s="53"/>
      <c r="E125" s="53"/>
      <c r="F125" s="53"/>
      <c r="G125" s="53"/>
      <c r="H125" s="53"/>
      <c r="I125" s="53"/>
      <c r="J125" s="53"/>
      <c r="K125" s="53"/>
      <c r="L125" s="20"/>
      <c r="M125" s="20"/>
      <c r="N125" s="99"/>
      <c r="O125" s="20"/>
      <c r="P125" s="20"/>
      <c r="Q125" s="20"/>
      <c r="R125" s="20"/>
    </row>
    <row r="126" spans="1:18" x14ac:dyDescent="0.25">
      <c r="A126" s="20"/>
      <c r="B126" s="20"/>
      <c r="C126" s="20"/>
      <c r="D126" s="53"/>
      <c r="E126" s="53"/>
      <c r="F126" s="53"/>
      <c r="G126" s="53"/>
      <c r="H126" s="53"/>
      <c r="I126" s="53"/>
      <c r="J126" s="53"/>
      <c r="K126" s="53"/>
      <c r="L126" s="20"/>
      <c r="M126" s="20"/>
      <c r="N126" s="99"/>
      <c r="O126" s="20"/>
      <c r="P126" s="20"/>
      <c r="Q126" s="20"/>
      <c r="R126" s="20"/>
    </row>
    <row r="127" spans="1:18" x14ac:dyDescent="0.25">
      <c r="A127" s="20"/>
      <c r="B127" s="20"/>
      <c r="C127" s="20"/>
      <c r="D127" s="53"/>
      <c r="E127" s="53"/>
      <c r="F127" s="53"/>
      <c r="G127" s="53"/>
      <c r="H127" s="53"/>
      <c r="I127" s="53"/>
      <c r="J127" s="53"/>
      <c r="K127" s="53"/>
      <c r="L127" s="20"/>
      <c r="M127" s="20"/>
      <c r="N127" s="99"/>
      <c r="O127" s="20"/>
      <c r="P127" s="20"/>
      <c r="Q127" s="20"/>
      <c r="R127" s="20"/>
    </row>
    <row r="128" spans="1:18" x14ac:dyDescent="0.25">
      <c r="A128" s="20"/>
      <c r="B128" s="20"/>
      <c r="C128" s="20"/>
      <c r="D128" s="53"/>
      <c r="E128" s="53"/>
      <c r="F128" s="53"/>
      <c r="G128" s="53"/>
      <c r="H128" s="53"/>
      <c r="I128" s="53"/>
      <c r="J128" s="53"/>
      <c r="K128" s="53"/>
      <c r="L128" s="20"/>
      <c r="M128" s="20"/>
      <c r="N128" s="99"/>
      <c r="O128" s="20"/>
      <c r="P128" s="20"/>
      <c r="Q128" s="20"/>
      <c r="R128" s="20"/>
    </row>
    <row r="129" spans="1:18" x14ac:dyDescent="0.25">
      <c r="A129" s="20"/>
      <c r="B129" s="20"/>
      <c r="C129" s="20"/>
      <c r="D129" s="53"/>
      <c r="E129" s="53"/>
      <c r="F129" s="53"/>
      <c r="G129" s="53"/>
      <c r="H129" s="53"/>
      <c r="I129" s="53"/>
      <c r="J129" s="53"/>
      <c r="K129" s="53"/>
      <c r="L129" s="20"/>
      <c r="M129" s="20"/>
      <c r="N129" s="99"/>
      <c r="O129" s="20"/>
      <c r="P129" s="20"/>
      <c r="Q129" s="20"/>
      <c r="R129" s="20"/>
    </row>
    <row r="130" spans="1:18" x14ac:dyDescent="0.25">
      <c r="A130" s="20"/>
      <c r="B130" s="20"/>
      <c r="C130" s="20"/>
      <c r="D130" s="53"/>
      <c r="E130" s="53"/>
      <c r="F130" s="53"/>
      <c r="G130" s="53"/>
      <c r="H130" s="53"/>
      <c r="I130" s="53"/>
      <c r="J130" s="53"/>
      <c r="K130" s="53"/>
      <c r="L130" s="20"/>
      <c r="M130" s="20"/>
      <c r="N130" s="99"/>
      <c r="O130" s="20"/>
      <c r="P130" s="20"/>
      <c r="Q130" s="20"/>
      <c r="R130" s="20"/>
    </row>
    <row r="131" spans="1:18" x14ac:dyDescent="0.25">
      <c r="A131" s="20"/>
      <c r="B131" s="20"/>
      <c r="C131" s="20"/>
      <c r="D131" s="53"/>
      <c r="E131" s="53"/>
      <c r="F131" s="53"/>
      <c r="G131" s="53"/>
      <c r="H131" s="53"/>
      <c r="I131" s="53"/>
      <c r="J131" s="53"/>
      <c r="K131" s="53"/>
      <c r="L131" s="20"/>
      <c r="M131" s="20"/>
      <c r="N131" s="99"/>
      <c r="O131" s="20"/>
      <c r="P131" s="20"/>
      <c r="Q131" s="20"/>
      <c r="R131" s="20"/>
    </row>
    <row r="132" spans="1:18" x14ac:dyDescent="0.25">
      <c r="A132" s="20"/>
      <c r="B132" s="20"/>
      <c r="C132" s="20"/>
      <c r="D132" s="53"/>
      <c r="E132" s="53"/>
      <c r="F132" s="53"/>
      <c r="G132" s="53"/>
      <c r="H132" s="53"/>
      <c r="I132" s="53"/>
      <c r="J132" s="53"/>
      <c r="K132" s="53"/>
      <c r="L132" s="20"/>
      <c r="M132" s="20"/>
      <c r="N132" s="99"/>
      <c r="O132" s="20"/>
      <c r="P132" s="20"/>
      <c r="Q132" s="20"/>
      <c r="R132" s="20"/>
    </row>
    <row r="133" spans="1:18" x14ac:dyDescent="0.25">
      <c r="A133" s="20"/>
      <c r="B133" s="20"/>
      <c r="C133" s="20"/>
      <c r="D133" s="53"/>
      <c r="E133" s="53"/>
      <c r="F133" s="53"/>
      <c r="G133" s="53"/>
      <c r="H133" s="53"/>
      <c r="I133" s="53"/>
      <c r="J133" s="53"/>
      <c r="K133" s="53"/>
      <c r="L133" s="20"/>
      <c r="M133" s="20"/>
      <c r="N133" s="99"/>
      <c r="O133" s="20"/>
      <c r="P133" s="20"/>
      <c r="Q133" s="20"/>
      <c r="R133" s="20"/>
    </row>
    <row r="134" spans="1:18" x14ac:dyDescent="0.25">
      <c r="A134" s="20"/>
      <c r="B134" s="20"/>
      <c r="C134" s="20"/>
      <c r="D134" s="53"/>
      <c r="E134" s="53"/>
      <c r="F134" s="53"/>
      <c r="G134" s="53"/>
      <c r="H134" s="53"/>
      <c r="I134" s="53"/>
      <c r="J134" s="53"/>
      <c r="K134" s="53"/>
      <c r="L134" s="20"/>
      <c r="M134" s="20"/>
      <c r="N134" s="99"/>
      <c r="O134" s="20"/>
      <c r="P134" s="20"/>
      <c r="Q134" s="20"/>
      <c r="R134" s="20"/>
    </row>
    <row r="135" spans="1:18" x14ac:dyDescent="0.25">
      <c r="A135" s="20"/>
      <c r="B135" s="20"/>
      <c r="C135" s="20"/>
      <c r="D135" s="53"/>
      <c r="E135" s="53"/>
      <c r="F135" s="53"/>
      <c r="G135" s="53"/>
      <c r="H135" s="53"/>
      <c r="I135" s="53"/>
      <c r="J135" s="53"/>
      <c r="K135" s="53"/>
      <c r="L135" s="20"/>
      <c r="M135" s="20"/>
      <c r="N135" s="99"/>
      <c r="O135" s="20"/>
      <c r="P135" s="20"/>
      <c r="Q135" s="20"/>
      <c r="R135" s="20"/>
    </row>
    <row r="136" spans="1:18" x14ac:dyDescent="0.25">
      <c r="A136" s="20"/>
      <c r="B136" s="20"/>
      <c r="C136" s="20"/>
      <c r="D136" s="53"/>
      <c r="E136" s="53"/>
      <c r="F136" s="53"/>
      <c r="G136" s="53"/>
      <c r="H136" s="53"/>
      <c r="I136" s="53"/>
      <c r="J136" s="53"/>
      <c r="K136" s="53"/>
      <c r="L136" s="20"/>
      <c r="M136" s="20"/>
      <c r="N136" s="99"/>
      <c r="O136" s="20"/>
      <c r="P136" s="20"/>
      <c r="Q136" s="20"/>
      <c r="R136" s="20"/>
    </row>
    <row r="137" spans="1:18" x14ac:dyDescent="0.25">
      <c r="A137" s="20"/>
      <c r="B137" s="20"/>
      <c r="C137" s="20"/>
      <c r="D137" s="53"/>
      <c r="E137" s="53"/>
      <c r="F137" s="53"/>
      <c r="G137" s="53"/>
      <c r="H137" s="53"/>
      <c r="I137" s="53"/>
      <c r="J137" s="53"/>
      <c r="K137" s="53"/>
      <c r="L137" s="20"/>
      <c r="M137" s="20"/>
      <c r="N137" s="99"/>
      <c r="O137" s="20"/>
      <c r="P137" s="20"/>
      <c r="Q137" s="20"/>
      <c r="R137" s="20"/>
    </row>
    <row r="138" spans="1:18" x14ac:dyDescent="0.25">
      <c r="A138" s="20"/>
      <c r="B138" s="20"/>
      <c r="C138" s="20"/>
      <c r="D138" s="53"/>
      <c r="E138" s="53"/>
      <c r="F138" s="53"/>
      <c r="G138" s="53"/>
      <c r="H138" s="53"/>
      <c r="I138" s="53"/>
      <c r="J138" s="53"/>
      <c r="K138" s="53"/>
      <c r="L138" s="20"/>
      <c r="M138" s="20"/>
      <c r="N138" s="99"/>
      <c r="O138" s="20"/>
      <c r="P138" s="20"/>
      <c r="Q138" s="20"/>
      <c r="R138" s="20"/>
    </row>
    <row r="139" spans="1:18" x14ac:dyDescent="0.25">
      <c r="A139" s="20"/>
      <c r="B139" s="20"/>
      <c r="C139" s="20"/>
      <c r="D139" s="53"/>
      <c r="E139" s="53"/>
      <c r="F139" s="53"/>
      <c r="G139" s="53"/>
      <c r="H139" s="53"/>
      <c r="I139" s="53"/>
      <c r="J139" s="53"/>
      <c r="K139" s="53"/>
      <c r="L139" s="20"/>
      <c r="M139" s="20"/>
      <c r="N139" s="99"/>
      <c r="O139" s="20"/>
      <c r="P139" s="20"/>
      <c r="Q139" s="20"/>
      <c r="R139" s="20"/>
    </row>
    <row r="140" spans="1:18" x14ac:dyDescent="0.25">
      <c r="A140" s="20"/>
      <c r="B140" s="20"/>
      <c r="C140" s="20"/>
      <c r="D140" s="53"/>
      <c r="E140" s="53"/>
      <c r="F140" s="53"/>
      <c r="G140" s="53"/>
      <c r="H140" s="53"/>
      <c r="I140" s="53"/>
      <c r="J140" s="53"/>
      <c r="K140" s="53"/>
      <c r="L140" s="20"/>
      <c r="M140" s="20"/>
      <c r="N140" s="99"/>
      <c r="O140" s="20"/>
      <c r="P140" s="20"/>
      <c r="Q140" s="20"/>
      <c r="R140" s="20"/>
    </row>
    <row r="141" spans="1:18" x14ac:dyDescent="0.25">
      <c r="A141" s="20"/>
      <c r="B141" s="20"/>
      <c r="C141" s="20"/>
      <c r="D141" s="53"/>
      <c r="E141" s="53"/>
      <c r="F141" s="53"/>
      <c r="G141" s="53"/>
      <c r="H141" s="53"/>
      <c r="I141" s="53"/>
      <c r="J141" s="53"/>
      <c r="K141" s="53"/>
      <c r="L141" s="20"/>
      <c r="M141" s="20"/>
      <c r="N141" s="99"/>
      <c r="O141" s="20"/>
      <c r="P141" s="20"/>
      <c r="Q141" s="20"/>
      <c r="R141" s="20"/>
    </row>
    <row r="142" spans="1:18" x14ac:dyDescent="0.25">
      <c r="A142" s="20"/>
      <c r="B142" s="20"/>
      <c r="C142" s="20"/>
      <c r="D142" s="53"/>
      <c r="E142" s="53"/>
      <c r="F142" s="53"/>
      <c r="G142" s="53"/>
      <c r="H142" s="53"/>
      <c r="I142" s="53"/>
      <c r="J142" s="53"/>
      <c r="K142" s="53"/>
      <c r="L142" s="20"/>
      <c r="M142" s="20"/>
      <c r="N142" s="99"/>
      <c r="O142" s="20"/>
      <c r="P142" s="20"/>
      <c r="Q142" s="20"/>
      <c r="R142" s="20"/>
    </row>
    <row r="143" spans="1:18" x14ac:dyDescent="0.25">
      <c r="A143" s="20"/>
      <c r="B143" s="20"/>
      <c r="C143" s="20"/>
      <c r="D143" s="53"/>
      <c r="E143" s="53"/>
      <c r="F143" s="53"/>
      <c r="G143" s="53"/>
      <c r="H143" s="53"/>
      <c r="I143" s="53"/>
      <c r="J143" s="53"/>
      <c r="K143" s="53"/>
      <c r="L143" s="20"/>
      <c r="M143" s="20"/>
      <c r="N143" s="99"/>
      <c r="O143" s="20"/>
      <c r="P143" s="20"/>
      <c r="Q143" s="20"/>
      <c r="R143" s="20"/>
    </row>
    <row r="144" spans="1:18" x14ac:dyDescent="0.25">
      <c r="A144" s="20"/>
      <c r="B144" s="20"/>
      <c r="C144" s="20"/>
      <c r="D144" s="53"/>
      <c r="E144" s="53"/>
      <c r="F144" s="53"/>
      <c r="G144" s="53"/>
      <c r="H144" s="53"/>
      <c r="I144" s="53"/>
      <c r="J144" s="53"/>
      <c r="K144" s="53"/>
      <c r="L144" s="20"/>
      <c r="M144" s="20"/>
      <c r="N144" s="99"/>
      <c r="O144" s="20"/>
      <c r="P144" s="20"/>
      <c r="Q144" s="20"/>
      <c r="R144" s="20"/>
    </row>
    <row r="145" spans="1:18" x14ac:dyDescent="0.25">
      <c r="A145" s="20"/>
      <c r="B145" s="20"/>
      <c r="C145" s="20"/>
      <c r="D145" s="53"/>
      <c r="E145" s="53"/>
      <c r="F145" s="53"/>
      <c r="G145" s="53"/>
      <c r="H145" s="53"/>
      <c r="I145" s="53"/>
      <c r="J145" s="53"/>
      <c r="K145" s="53"/>
      <c r="L145" s="20"/>
      <c r="M145" s="20"/>
      <c r="N145" s="99"/>
      <c r="O145" s="20"/>
      <c r="P145" s="20"/>
      <c r="Q145" s="20"/>
      <c r="R145" s="20"/>
    </row>
    <row r="146" spans="1:18" x14ac:dyDescent="0.25">
      <c r="A146" s="20"/>
      <c r="B146" s="20"/>
      <c r="C146" s="20"/>
      <c r="D146" s="53"/>
      <c r="E146" s="53"/>
      <c r="F146" s="53"/>
      <c r="G146" s="53"/>
      <c r="H146" s="53"/>
      <c r="I146" s="53"/>
      <c r="J146" s="53"/>
      <c r="K146" s="53"/>
      <c r="L146" s="20"/>
      <c r="M146" s="20"/>
      <c r="N146" s="99"/>
      <c r="O146" s="20"/>
      <c r="P146" s="20"/>
      <c r="Q146" s="20"/>
      <c r="R146" s="20"/>
    </row>
    <row r="147" spans="1:18" x14ac:dyDescent="0.25">
      <c r="A147" s="20"/>
      <c r="B147" s="20"/>
      <c r="C147" s="20"/>
      <c r="D147" s="53"/>
      <c r="E147" s="53"/>
      <c r="F147" s="53"/>
      <c r="G147" s="53"/>
      <c r="H147" s="53"/>
      <c r="I147" s="53"/>
      <c r="J147" s="53"/>
      <c r="K147" s="53"/>
      <c r="L147" s="20"/>
      <c r="M147" s="20"/>
      <c r="N147" s="99"/>
      <c r="O147" s="20"/>
      <c r="P147" s="20"/>
      <c r="Q147" s="20"/>
      <c r="R147" s="20"/>
    </row>
    <row r="148" spans="1:18" x14ac:dyDescent="0.25">
      <c r="A148" s="20"/>
      <c r="B148" s="20"/>
      <c r="C148" s="20"/>
      <c r="D148" s="53"/>
      <c r="E148" s="53"/>
      <c r="F148" s="53"/>
      <c r="G148" s="53"/>
      <c r="H148" s="53"/>
      <c r="I148" s="53"/>
      <c r="J148" s="53"/>
      <c r="K148" s="53"/>
      <c r="L148" s="20"/>
      <c r="M148" s="20"/>
      <c r="N148" s="99"/>
      <c r="O148" s="20"/>
      <c r="P148" s="20"/>
      <c r="Q148" s="20"/>
      <c r="R148" s="20"/>
    </row>
    <row r="149" spans="1:18" x14ac:dyDescent="0.25">
      <c r="A149" s="20"/>
      <c r="B149" s="20"/>
      <c r="C149" s="20"/>
      <c r="D149" s="53"/>
      <c r="E149" s="53"/>
      <c r="F149" s="53"/>
      <c r="G149" s="53"/>
      <c r="H149" s="53"/>
      <c r="I149" s="53"/>
      <c r="J149" s="53"/>
      <c r="K149" s="53"/>
      <c r="L149" s="20"/>
      <c r="M149" s="20"/>
      <c r="N149" s="99"/>
      <c r="O149" s="20"/>
      <c r="P149" s="20"/>
      <c r="Q149" s="20"/>
      <c r="R149" s="20"/>
    </row>
    <row r="150" spans="1:18" x14ac:dyDescent="0.25">
      <c r="A150" s="20"/>
      <c r="B150" s="20"/>
      <c r="C150" s="20"/>
      <c r="D150" s="53"/>
      <c r="E150" s="53"/>
      <c r="F150" s="53"/>
      <c r="G150" s="53"/>
      <c r="H150" s="53"/>
      <c r="I150" s="53"/>
      <c r="J150" s="53"/>
      <c r="K150" s="53"/>
      <c r="L150" s="20"/>
      <c r="M150" s="20"/>
      <c r="N150" s="99"/>
      <c r="O150" s="20"/>
      <c r="P150" s="20"/>
      <c r="Q150" s="20"/>
      <c r="R150" s="20"/>
    </row>
    <row r="151" spans="1:18" x14ac:dyDescent="0.25">
      <c r="A151" s="20"/>
      <c r="B151" s="20"/>
      <c r="C151" s="20"/>
      <c r="D151" s="53"/>
      <c r="E151" s="53"/>
      <c r="F151" s="53"/>
      <c r="G151" s="53"/>
      <c r="H151" s="53"/>
      <c r="I151" s="53"/>
      <c r="J151" s="53"/>
      <c r="K151" s="53"/>
      <c r="L151" s="20"/>
      <c r="M151" s="20"/>
      <c r="N151" s="99"/>
      <c r="O151" s="20"/>
      <c r="P151" s="20"/>
      <c r="Q151" s="20"/>
      <c r="R151" s="20"/>
    </row>
    <row r="152" spans="1:18" x14ac:dyDescent="0.25">
      <c r="A152" s="20"/>
      <c r="B152" s="20"/>
      <c r="C152" s="20"/>
      <c r="D152" s="53"/>
      <c r="E152" s="53"/>
      <c r="F152" s="53"/>
      <c r="G152" s="53"/>
      <c r="H152" s="53"/>
      <c r="I152" s="53"/>
      <c r="J152" s="53"/>
      <c r="K152" s="53"/>
      <c r="L152" s="20"/>
      <c r="M152" s="20"/>
      <c r="N152" s="99"/>
      <c r="O152" s="20"/>
      <c r="P152" s="20"/>
      <c r="Q152" s="20"/>
      <c r="R152" s="20"/>
    </row>
    <row r="153" spans="1:18" x14ac:dyDescent="0.25">
      <c r="A153" s="20"/>
      <c r="B153" s="20"/>
      <c r="C153" s="20"/>
      <c r="D153" s="53"/>
      <c r="E153" s="53"/>
      <c r="F153" s="53"/>
      <c r="G153" s="53"/>
      <c r="H153" s="53"/>
      <c r="I153" s="53"/>
      <c r="J153" s="53"/>
      <c r="K153" s="53"/>
      <c r="L153" s="20"/>
      <c r="M153" s="20"/>
      <c r="N153" s="99"/>
      <c r="O153" s="20"/>
      <c r="P153" s="20"/>
      <c r="Q153" s="20"/>
      <c r="R153" s="20"/>
    </row>
    <row r="154" spans="1:18" x14ac:dyDescent="0.25">
      <c r="A154" s="20"/>
      <c r="B154" s="20"/>
      <c r="C154" s="20"/>
      <c r="D154" s="53"/>
      <c r="E154" s="53"/>
      <c r="F154" s="53"/>
      <c r="G154" s="53"/>
      <c r="H154" s="53"/>
      <c r="I154" s="53"/>
      <c r="J154" s="53"/>
      <c r="K154" s="53"/>
      <c r="L154" s="20"/>
      <c r="M154" s="20"/>
      <c r="N154" s="99"/>
      <c r="O154" s="20"/>
      <c r="P154" s="20"/>
      <c r="Q154" s="20"/>
      <c r="R154" s="20"/>
    </row>
    <row r="155" spans="1:18" x14ac:dyDescent="0.25">
      <c r="A155" s="20"/>
      <c r="B155" s="20"/>
      <c r="C155" s="20"/>
      <c r="D155" s="53"/>
      <c r="E155" s="53"/>
      <c r="F155" s="53"/>
      <c r="G155" s="53"/>
      <c r="H155" s="53"/>
      <c r="I155" s="53"/>
      <c r="J155" s="53"/>
      <c r="K155" s="53"/>
      <c r="L155" s="20"/>
      <c r="M155" s="20"/>
      <c r="N155" s="99"/>
      <c r="O155" s="20"/>
      <c r="P155" s="20"/>
      <c r="Q155" s="20"/>
      <c r="R155" s="20"/>
    </row>
    <row r="156" spans="1:18" x14ac:dyDescent="0.25">
      <c r="A156" s="20"/>
      <c r="B156" s="20"/>
      <c r="C156" s="20"/>
      <c r="D156" s="53"/>
      <c r="E156" s="53"/>
      <c r="F156" s="53"/>
      <c r="G156" s="53"/>
      <c r="H156" s="53"/>
      <c r="I156" s="53"/>
      <c r="J156" s="53"/>
      <c r="K156" s="53"/>
      <c r="L156" s="20"/>
      <c r="M156" s="20"/>
      <c r="N156" s="99"/>
      <c r="O156" s="20"/>
      <c r="P156" s="20"/>
      <c r="Q156" s="20"/>
      <c r="R156" s="20"/>
    </row>
    <row r="157" spans="1:18" x14ac:dyDescent="0.25">
      <c r="A157" s="20"/>
      <c r="B157" s="20"/>
      <c r="C157" s="20"/>
      <c r="D157" s="53"/>
      <c r="E157" s="53"/>
      <c r="F157" s="53"/>
      <c r="G157" s="53"/>
      <c r="H157" s="53"/>
      <c r="I157" s="53"/>
      <c r="J157" s="53"/>
      <c r="K157" s="53"/>
      <c r="L157" s="20"/>
      <c r="M157" s="20"/>
      <c r="N157" s="99"/>
      <c r="O157" s="20"/>
      <c r="P157" s="20"/>
      <c r="Q157" s="20"/>
      <c r="R157" s="20"/>
    </row>
    <row r="158" spans="1:18" x14ac:dyDescent="0.25">
      <c r="A158" s="20"/>
      <c r="B158" s="20"/>
      <c r="C158" s="20"/>
      <c r="D158" s="53"/>
      <c r="E158" s="53"/>
      <c r="F158" s="53"/>
      <c r="G158" s="53"/>
      <c r="H158" s="53"/>
      <c r="I158" s="53"/>
      <c r="J158" s="53"/>
      <c r="K158" s="53"/>
      <c r="L158" s="20"/>
      <c r="M158" s="20"/>
      <c r="N158" s="99"/>
      <c r="O158" s="20"/>
      <c r="P158" s="20"/>
      <c r="Q158" s="20"/>
      <c r="R158" s="20"/>
    </row>
    <row r="159" spans="1:18" x14ac:dyDescent="0.25">
      <c r="A159" s="20"/>
      <c r="B159" s="20"/>
      <c r="C159" s="20"/>
      <c r="D159" s="53"/>
      <c r="E159" s="53"/>
      <c r="F159" s="53"/>
      <c r="G159" s="53"/>
      <c r="H159" s="53"/>
      <c r="I159" s="53"/>
      <c r="J159" s="53"/>
      <c r="K159" s="53"/>
      <c r="L159" s="20"/>
      <c r="M159" s="20"/>
      <c r="N159" s="99"/>
      <c r="O159" s="20"/>
      <c r="P159" s="20"/>
      <c r="Q159" s="20"/>
      <c r="R159" s="20"/>
    </row>
    <row r="160" spans="1:18" x14ac:dyDescent="0.25">
      <c r="A160" s="20"/>
      <c r="B160" s="20"/>
      <c r="C160" s="20"/>
      <c r="D160" s="53"/>
      <c r="E160" s="53"/>
      <c r="F160" s="53"/>
      <c r="G160" s="53"/>
      <c r="H160" s="53"/>
      <c r="I160" s="53"/>
      <c r="J160" s="53"/>
      <c r="K160" s="53"/>
      <c r="L160" s="20"/>
      <c r="M160" s="20"/>
      <c r="N160" s="99"/>
      <c r="O160" s="20"/>
      <c r="P160" s="20"/>
      <c r="Q160" s="20"/>
      <c r="R160" s="20"/>
    </row>
    <row r="161" spans="1:18" x14ac:dyDescent="0.25">
      <c r="A161" s="20"/>
      <c r="B161" s="20"/>
      <c r="C161" s="20"/>
      <c r="D161" s="53"/>
      <c r="E161" s="53"/>
      <c r="F161" s="53"/>
      <c r="G161" s="53"/>
      <c r="H161" s="53"/>
      <c r="I161" s="53"/>
      <c r="J161" s="53"/>
      <c r="K161" s="53"/>
      <c r="L161" s="20"/>
      <c r="M161" s="20"/>
      <c r="N161" s="99"/>
      <c r="O161" s="20"/>
      <c r="P161" s="20"/>
      <c r="Q161" s="20"/>
      <c r="R161" s="20"/>
    </row>
    <row r="162" spans="1:18" x14ac:dyDescent="0.25">
      <c r="A162" s="20"/>
      <c r="B162" s="20"/>
      <c r="C162" s="20"/>
      <c r="D162" s="53"/>
      <c r="E162" s="53"/>
      <c r="F162" s="53"/>
      <c r="G162" s="53"/>
      <c r="H162" s="53"/>
      <c r="I162" s="53"/>
      <c r="J162" s="53"/>
      <c r="K162" s="53"/>
      <c r="L162" s="20"/>
      <c r="M162" s="20"/>
      <c r="N162" s="99"/>
      <c r="O162" s="20"/>
      <c r="P162" s="20"/>
      <c r="Q162" s="20"/>
      <c r="R162" s="20"/>
    </row>
    <row r="163" spans="1:18" x14ac:dyDescent="0.25">
      <c r="A163" s="20"/>
      <c r="B163" s="20"/>
      <c r="C163" s="20"/>
      <c r="D163" s="53"/>
      <c r="E163" s="53"/>
      <c r="F163" s="53"/>
      <c r="G163" s="53"/>
      <c r="H163" s="53"/>
      <c r="I163" s="53"/>
      <c r="J163" s="53"/>
      <c r="K163" s="53"/>
      <c r="L163" s="20"/>
      <c r="M163" s="20"/>
      <c r="N163" s="99"/>
      <c r="O163" s="20"/>
      <c r="P163" s="20"/>
      <c r="Q163" s="20"/>
      <c r="R163" s="20"/>
    </row>
    <row r="164" spans="1:18" x14ac:dyDescent="0.25">
      <c r="A164" s="20"/>
      <c r="B164" s="20"/>
      <c r="C164" s="20"/>
      <c r="D164" s="53"/>
      <c r="E164" s="53"/>
      <c r="F164" s="53"/>
      <c r="G164" s="53"/>
      <c r="H164" s="53"/>
      <c r="I164" s="53"/>
      <c r="J164" s="53"/>
      <c r="K164" s="53"/>
      <c r="L164" s="20"/>
      <c r="M164" s="20"/>
      <c r="N164" s="99"/>
      <c r="O164" s="20"/>
      <c r="P164" s="20"/>
      <c r="Q164" s="20"/>
      <c r="R164" s="20"/>
    </row>
    <row r="165" spans="1:18" x14ac:dyDescent="0.25">
      <c r="A165" s="20"/>
      <c r="B165" s="20"/>
      <c r="C165" s="20"/>
      <c r="D165" s="53"/>
      <c r="E165" s="53"/>
      <c r="F165" s="53"/>
      <c r="G165" s="53"/>
      <c r="H165" s="53"/>
      <c r="I165" s="53"/>
      <c r="J165" s="53"/>
      <c r="K165" s="53"/>
      <c r="L165" s="20"/>
      <c r="M165" s="20"/>
      <c r="N165" s="99"/>
      <c r="O165" s="20"/>
      <c r="P165" s="20"/>
      <c r="Q165" s="20"/>
      <c r="R165" s="20"/>
    </row>
    <row r="166" spans="1:18" x14ac:dyDescent="0.25">
      <c r="A166" s="20"/>
      <c r="B166" s="20"/>
      <c r="C166" s="20"/>
      <c r="D166" s="53"/>
      <c r="E166" s="53"/>
      <c r="F166" s="53"/>
      <c r="G166" s="53"/>
      <c r="H166" s="53"/>
      <c r="I166" s="53"/>
      <c r="J166" s="53"/>
      <c r="K166" s="53"/>
      <c r="L166" s="20"/>
      <c r="M166" s="20"/>
      <c r="N166" s="99"/>
      <c r="O166" s="20"/>
      <c r="P166" s="20"/>
      <c r="Q166" s="20"/>
      <c r="R166" s="20"/>
    </row>
    <row r="167" spans="1:18" x14ac:dyDescent="0.25">
      <c r="A167" s="20"/>
      <c r="B167" s="20"/>
      <c r="C167" s="20"/>
      <c r="D167" s="53"/>
      <c r="E167" s="53"/>
      <c r="F167" s="53"/>
      <c r="G167" s="53"/>
      <c r="H167" s="53"/>
      <c r="I167" s="53"/>
      <c r="J167" s="53"/>
      <c r="K167" s="53"/>
      <c r="L167" s="20"/>
      <c r="M167" s="20"/>
      <c r="N167" s="99"/>
      <c r="O167" s="20"/>
      <c r="P167" s="20"/>
      <c r="Q167" s="20"/>
      <c r="R167" s="20"/>
    </row>
    <row r="168" spans="1:18" x14ac:dyDescent="0.25">
      <c r="A168" s="20"/>
      <c r="B168" s="20"/>
      <c r="C168" s="20"/>
      <c r="D168" s="53"/>
      <c r="E168" s="53"/>
      <c r="F168" s="53"/>
      <c r="G168" s="53"/>
      <c r="H168" s="53"/>
      <c r="I168" s="53"/>
      <c r="J168" s="53"/>
      <c r="K168" s="53"/>
      <c r="L168" s="20"/>
      <c r="M168" s="20"/>
      <c r="N168" s="99"/>
      <c r="O168" s="20"/>
      <c r="P168" s="20"/>
      <c r="Q168" s="20"/>
      <c r="R168" s="20"/>
    </row>
    <row r="169" spans="1:18" x14ac:dyDescent="0.25">
      <c r="A169" s="20"/>
      <c r="B169" s="20"/>
      <c r="C169" s="20"/>
      <c r="D169" s="53"/>
      <c r="E169" s="53"/>
      <c r="F169" s="53"/>
      <c r="G169" s="53"/>
      <c r="H169" s="53"/>
      <c r="I169" s="53"/>
      <c r="J169" s="53"/>
      <c r="K169" s="53"/>
      <c r="L169" s="20"/>
      <c r="M169" s="20"/>
      <c r="N169" s="99"/>
      <c r="O169" s="20"/>
      <c r="P169" s="20"/>
      <c r="Q169" s="20"/>
      <c r="R169" s="20"/>
    </row>
    <row r="170" spans="1:18" x14ac:dyDescent="0.25">
      <c r="A170" s="20"/>
      <c r="B170" s="20"/>
      <c r="C170" s="20"/>
      <c r="D170" s="53"/>
      <c r="E170" s="53"/>
      <c r="F170" s="53"/>
      <c r="G170" s="53"/>
      <c r="H170" s="53"/>
      <c r="I170" s="53"/>
      <c r="J170" s="53"/>
      <c r="K170" s="53"/>
      <c r="L170" s="20"/>
      <c r="M170" s="20"/>
      <c r="N170" s="99"/>
      <c r="O170" s="20"/>
      <c r="P170" s="20"/>
      <c r="Q170" s="20"/>
      <c r="R170" s="20"/>
    </row>
    <row r="171" spans="1:18" x14ac:dyDescent="0.25">
      <c r="A171" s="20"/>
      <c r="B171" s="20"/>
      <c r="C171" s="20"/>
      <c r="D171" s="53"/>
      <c r="E171" s="53"/>
      <c r="F171" s="53"/>
      <c r="G171" s="53"/>
      <c r="H171" s="53"/>
      <c r="I171" s="53"/>
      <c r="J171" s="53"/>
      <c r="K171" s="53"/>
      <c r="L171" s="20"/>
      <c r="M171" s="20"/>
      <c r="N171" s="99"/>
      <c r="O171" s="20"/>
      <c r="P171" s="20"/>
      <c r="Q171" s="20"/>
      <c r="R171" s="20"/>
    </row>
    <row r="172" spans="1:18" x14ac:dyDescent="0.25">
      <c r="A172" s="20"/>
      <c r="B172" s="20"/>
      <c r="C172" s="20"/>
      <c r="D172" s="53"/>
      <c r="E172" s="53"/>
      <c r="F172" s="53"/>
      <c r="G172" s="53"/>
      <c r="H172" s="53"/>
      <c r="I172" s="53"/>
      <c r="J172" s="53"/>
      <c r="K172" s="53"/>
      <c r="L172" s="20"/>
      <c r="M172" s="20"/>
      <c r="N172" s="99"/>
      <c r="O172" s="20"/>
      <c r="P172" s="20"/>
      <c r="Q172" s="20"/>
      <c r="R172" s="20"/>
    </row>
    <row r="173" spans="1:18" x14ac:dyDescent="0.25">
      <c r="A173" s="20"/>
      <c r="B173" s="20"/>
      <c r="C173" s="20"/>
      <c r="D173" s="53"/>
      <c r="E173" s="53"/>
      <c r="F173" s="53"/>
      <c r="G173" s="53"/>
      <c r="H173" s="53"/>
      <c r="I173" s="53"/>
      <c r="J173" s="53"/>
      <c r="K173" s="53"/>
      <c r="L173" s="20"/>
      <c r="M173" s="20"/>
      <c r="N173" s="99"/>
      <c r="O173" s="20"/>
      <c r="P173" s="20"/>
      <c r="Q173" s="20"/>
      <c r="R173" s="20"/>
    </row>
    <row r="174" spans="1:18" x14ac:dyDescent="0.25">
      <c r="A174" s="20"/>
      <c r="B174" s="20"/>
      <c r="C174" s="20"/>
      <c r="D174" s="53"/>
      <c r="E174" s="53"/>
      <c r="F174" s="53"/>
      <c r="G174" s="53"/>
      <c r="H174" s="53"/>
      <c r="I174" s="53"/>
      <c r="J174" s="53"/>
      <c r="K174" s="53"/>
      <c r="L174" s="20"/>
      <c r="M174" s="20"/>
      <c r="N174" s="99"/>
      <c r="O174" s="20"/>
      <c r="P174" s="20"/>
      <c r="Q174" s="20"/>
      <c r="R174" s="20"/>
    </row>
    <row r="175" spans="1:18" x14ac:dyDescent="0.25">
      <c r="A175" s="20"/>
      <c r="B175" s="20"/>
      <c r="C175" s="20"/>
      <c r="D175" s="53"/>
      <c r="E175" s="53"/>
      <c r="F175" s="53"/>
      <c r="G175" s="53"/>
      <c r="H175" s="53"/>
      <c r="I175" s="53"/>
      <c r="J175" s="53"/>
      <c r="K175" s="53"/>
      <c r="L175" s="20"/>
      <c r="M175" s="20"/>
      <c r="N175" s="99"/>
      <c r="O175" s="20"/>
      <c r="P175" s="20"/>
      <c r="Q175" s="20"/>
      <c r="R175" s="20"/>
    </row>
    <row r="176" spans="1:18" x14ac:dyDescent="0.25">
      <c r="A176" s="20"/>
      <c r="B176" s="20"/>
      <c r="C176" s="20"/>
      <c r="D176" s="53"/>
      <c r="E176" s="53"/>
      <c r="F176" s="53"/>
      <c r="G176" s="53"/>
      <c r="H176" s="53"/>
      <c r="I176" s="53"/>
      <c r="J176" s="53"/>
      <c r="K176" s="53"/>
      <c r="L176" s="20"/>
      <c r="M176" s="20"/>
      <c r="N176" s="99"/>
      <c r="O176" s="20"/>
      <c r="P176" s="20"/>
      <c r="Q176" s="20"/>
      <c r="R176" s="20"/>
    </row>
    <row r="177" spans="1:18" x14ac:dyDescent="0.25">
      <c r="A177" s="20"/>
      <c r="B177" s="20"/>
      <c r="C177" s="20"/>
      <c r="D177" s="53"/>
      <c r="E177" s="53"/>
      <c r="F177" s="53"/>
      <c r="G177" s="53"/>
      <c r="H177" s="53"/>
      <c r="I177" s="53"/>
      <c r="J177" s="53"/>
      <c r="K177" s="53"/>
      <c r="L177" s="20"/>
      <c r="M177" s="20"/>
      <c r="N177" s="99"/>
      <c r="O177" s="20"/>
      <c r="P177" s="20"/>
      <c r="Q177" s="20"/>
      <c r="R177" s="20"/>
    </row>
    <row r="178" spans="1:18" x14ac:dyDescent="0.25">
      <c r="A178" s="20"/>
      <c r="B178" s="20"/>
      <c r="C178" s="20"/>
      <c r="D178" s="53"/>
      <c r="E178" s="53"/>
      <c r="F178" s="53"/>
      <c r="G178" s="53"/>
      <c r="H178" s="53"/>
      <c r="I178" s="53"/>
      <c r="J178" s="53"/>
      <c r="K178" s="53"/>
      <c r="L178" s="20"/>
      <c r="M178" s="20"/>
      <c r="N178" s="99"/>
      <c r="O178" s="20"/>
      <c r="P178" s="20"/>
      <c r="Q178" s="20"/>
      <c r="R178" s="20"/>
    </row>
    <row r="179" spans="1:18" x14ac:dyDescent="0.25">
      <c r="A179" s="20"/>
      <c r="B179" s="20"/>
      <c r="C179" s="20"/>
      <c r="D179" s="53"/>
      <c r="E179" s="53"/>
      <c r="F179" s="53"/>
      <c r="G179" s="53"/>
      <c r="H179" s="53"/>
      <c r="I179" s="53"/>
      <c r="J179" s="53"/>
      <c r="K179" s="53"/>
      <c r="L179" s="20"/>
      <c r="M179" s="20"/>
      <c r="N179" s="99"/>
      <c r="O179" s="20"/>
      <c r="P179" s="20"/>
      <c r="Q179" s="20"/>
      <c r="R179" s="20"/>
    </row>
    <row r="180" spans="1:18" x14ac:dyDescent="0.25">
      <c r="A180" s="20"/>
      <c r="B180" s="20"/>
      <c r="C180" s="20"/>
      <c r="D180" s="53"/>
      <c r="E180" s="53"/>
      <c r="F180" s="53"/>
      <c r="G180" s="53"/>
      <c r="H180" s="53"/>
      <c r="I180" s="53"/>
      <c r="J180" s="53"/>
      <c r="K180" s="53"/>
      <c r="L180" s="20"/>
      <c r="M180" s="20"/>
      <c r="N180" s="99"/>
      <c r="O180" s="20"/>
      <c r="P180" s="20"/>
      <c r="Q180" s="20"/>
      <c r="R180" s="20"/>
    </row>
    <row r="181" spans="1:18" x14ac:dyDescent="0.25">
      <c r="A181" s="20"/>
      <c r="B181" s="20"/>
      <c r="C181" s="20"/>
      <c r="D181" s="53"/>
      <c r="E181" s="53"/>
      <c r="F181" s="53"/>
      <c r="G181" s="53"/>
      <c r="H181" s="53"/>
      <c r="I181" s="53"/>
      <c r="J181" s="53"/>
      <c r="K181" s="53"/>
      <c r="L181" s="20"/>
      <c r="M181" s="20"/>
      <c r="N181" s="99"/>
      <c r="O181" s="20"/>
      <c r="P181" s="20"/>
      <c r="Q181" s="20"/>
      <c r="R181" s="20"/>
    </row>
    <row r="182" spans="1:18" x14ac:dyDescent="0.25">
      <c r="A182" s="20"/>
      <c r="B182" s="20"/>
      <c r="C182" s="20"/>
      <c r="D182" s="53"/>
      <c r="E182" s="53"/>
      <c r="F182" s="53"/>
      <c r="G182" s="53"/>
      <c r="H182" s="53"/>
      <c r="I182" s="53"/>
      <c r="J182" s="53"/>
      <c r="K182" s="53"/>
      <c r="L182" s="20"/>
      <c r="M182" s="20"/>
      <c r="N182" s="99"/>
      <c r="O182" s="20"/>
      <c r="P182" s="20"/>
      <c r="Q182" s="20"/>
      <c r="R182" s="20"/>
    </row>
    <row r="183" spans="1:18" x14ac:dyDescent="0.25">
      <c r="A183" s="20"/>
      <c r="B183" s="20"/>
      <c r="C183" s="20"/>
      <c r="D183" s="53"/>
      <c r="E183" s="53"/>
      <c r="F183" s="53"/>
      <c r="G183" s="53"/>
      <c r="H183" s="53"/>
      <c r="I183" s="53"/>
      <c r="J183" s="53"/>
      <c r="K183" s="53"/>
      <c r="L183" s="20"/>
      <c r="M183" s="20"/>
      <c r="N183" s="99"/>
      <c r="O183" s="20"/>
      <c r="P183" s="20"/>
      <c r="Q183" s="20"/>
      <c r="R183" s="20"/>
    </row>
    <row r="184" spans="1:18" x14ac:dyDescent="0.25">
      <c r="A184" s="20"/>
      <c r="B184" s="20"/>
      <c r="C184" s="20"/>
      <c r="D184" s="53"/>
      <c r="E184" s="53"/>
      <c r="F184" s="53"/>
      <c r="G184" s="53"/>
      <c r="H184" s="53"/>
      <c r="I184" s="53"/>
      <c r="J184" s="53"/>
      <c r="K184" s="53"/>
      <c r="L184" s="20"/>
      <c r="M184" s="20"/>
      <c r="N184" s="99"/>
      <c r="O184" s="20"/>
      <c r="P184" s="20"/>
      <c r="Q184" s="20"/>
      <c r="R184" s="20"/>
    </row>
    <row r="185" spans="1:18" x14ac:dyDescent="0.25">
      <c r="A185" s="20"/>
      <c r="B185" s="20"/>
      <c r="C185" s="20"/>
      <c r="D185" s="53"/>
      <c r="E185" s="53"/>
      <c r="F185" s="53"/>
      <c r="G185" s="53"/>
      <c r="H185" s="53"/>
      <c r="I185" s="53"/>
      <c r="J185" s="53"/>
      <c r="K185" s="53"/>
      <c r="L185" s="20"/>
      <c r="M185" s="20"/>
      <c r="N185" s="99"/>
      <c r="O185" s="20"/>
      <c r="P185" s="20"/>
      <c r="Q185" s="20"/>
      <c r="R185" s="20"/>
    </row>
    <row r="186" spans="1:18" x14ac:dyDescent="0.25">
      <c r="A186" s="20"/>
      <c r="B186" s="20"/>
      <c r="C186" s="20"/>
      <c r="D186" s="53"/>
      <c r="E186" s="53"/>
      <c r="F186" s="53"/>
      <c r="G186" s="53"/>
      <c r="H186" s="53"/>
      <c r="I186" s="53"/>
      <c r="J186" s="53"/>
      <c r="K186" s="53"/>
      <c r="L186" s="20"/>
      <c r="M186" s="20"/>
      <c r="N186" s="99"/>
      <c r="O186" s="20"/>
      <c r="P186" s="20"/>
      <c r="Q186" s="20"/>
      <c r="R186" s="20"/>
    </row>
    <row r="187" spans="1:18" x14ac:dyDescent="0.25">
      <c r="A187" s="20"/>
      <c r="B187" s="20"/>
      <c r="C187" s="20"/>
      <c r="D187" s="53"/>
      <c r="E187" s="53"/>
      <c r="F187" s="53"/>
      <c r="G187" s="53"/>
      <c r="H187" s="53"/>
      <c r="I187" s="53"/>
      <c r="J187" s="53"/>
      <c r="K187" s="53"/>
      <c r="L187" s="20"/>
      <c r="M187" s="20"/>
      <c r="N187" s="99"/>
      <c r="O187" s="20"/>
      <c r="P187" s="20"/>
      <c r="Q187" s="20"/>
      <c r="R187" s="20"/>
    </row>
    <row r="188" spans="1:18" x14ac:dyDescent="0.25">
      <c r="A188" s="20"/>
      <c r="B188" s="20"/>
      <c r="C188" s="20"/>
      <c r="D188" s="53"/>
      <c r="E188" s="53"/>
      <c r="F188" s="53"/>
      <c r="G188" s="53"/>
      <c r="H188" s="53"/>
      <c r="I188" s="53"/>
      <c r="J188" s="53"/>
      <c r="K188" s="53"/>
      <c r="L188" s="20"/>
      <c r="M188" s="20"/>
      <c r="N188" s="99"/>
      <c r="O188" s="20"/>
      <c r="P188" s="20"/>
      <c r="Q188" s="20"/>
      <c r="R188" s="20"/>
    </row>
    <row r="189" spans="1:18" x14ac:dyDescent="0.25">
      <c r="A189" s="20"/>
      <c r="B189" s="20"/>
      <c r="C189" s="20"/>
      <c r="D189" s="53"/>
      <c r="E189" s="53"/>
      <c r="F189" s="53"/>
      <c r="G189" s="53"/>
      <c r="H189" s="53"/>
      <c r="I189" s="53"/>
      <c r="J189" s="53"/>
      <c r="K189" s="53"/>
      <c r="L189" s="20"/>
      <c r="M189" s="20"/>
      <c r="N189" s="99"/>
      <c r="O189" s="20"/>
      <c r="P189" s="20"/>
      <c r="Q189" s="20"/>
      <c r="R189" s="20"/>
    </row>
    <row r="190" spans="1:18" x14ac:dyDescent="0.25">
      <c r="A190" s="20"/>
      <c r="B190" s="20"/>
      <c r="C190" s="20"/>
      <c r="D190" s="53"/>
      <c r="E190" s="53"/>
      <c r="F190" s="53"/>
      <c r="G190" s="53"/>
      <c r="H190" s="53"/>
      <c r="I190" s="53"/>
      <c r="J190" s="53"/>
      <c r="K190" s="53"/>
      <c r="L190" s="20"/>
      <c r="M190" s="20"/>
      <c r="N190" s="99"/>
      <c r="O190" s="20"/>
      <c r="P190" s="20"/>
      <c r="Q190" s="20"/>
      <c r="R190" s="20"/>
    </row>
    <row r="191" spans="1:18" x14ac:dyDescent="0.25">
      <c r="A191" s="20"/>
      <c r="B191" s="20"/>
      <c r="C191" s="20"/>
      <c r="D191" s="53"/>
      <c r="E191" s="53"/>
      <c r="F191" s="53"/>
      <c r="G191" s="53"/>
      <c r="H191" s="53"/>
      <c r="I191" s="53"/>
      <c r="J191" s="53"/>
      <c r="K191" s="53"/>
      <c r="L191" s="20"/>
      <c r="M191" s="20"/>
      <c r="N191" s="99"/>
      <c r="O191" s="20"/>
      <c r="P191" s="20"/>
      <c r="Q191" s="20"/>
      <c r="R191" s="20"/>
    </row>
    <row r="192" spans="1:18" x14ac:dyDescent="0.25">
      <c r="A192" s="20"/>
      <c r="B192" s="20"/>
      <c r="C192" s="20"/>
      <c r="D192" s="53"/>
      <c r="E192" s="53"/>
      <c r="F192" s="53"/>
      <c r="G192" s="53"/>
      <c r="H192" s="53"/>
      <c r="I192" s="53"/>
      <c r="J192" s="53"/>
      <c r="K192" s="53"/>
      <c r="L192" s="20"/>
      <c r="M192" s="20"/>
      <c r="N192" s="99"/>
      <c r="O192" s="20"/>
      <c r="P192" s="20"/>
      <c r="Q192" s="20"/>
      <c r="R192" s="20"/>
    </row>
    <row r="193" spans="1:18" x14ac:dyDescent="0.25">
      <c r="A193" s="20"/>
      <c r="B193" s="20"/>
      <c r="C193" s="20"/>
      <c r="D193" s="53"/>
      <c r="E193" s="53"/>
      <c r="F193" s="53"/>
      <c r="G193" s="53"/>
      <c r="H193" s="53"/>
      <c r="I193" s="53"/>
      <c r="J193" s="53"/>
      <c r="K193" s="53"/>
      <c r="L193" s="20"/>
      <c r="M193" s="20"/>
      <c r="N193" s="99"/>
      <c r="O193" s="20"/>
      <c r="P193" s="20"/>
      <c r="Q193" s="20"/>
      <c r="R193" s="20"/>
    </row>
    <row r="194" spans="1:18" x14ac:dyDescent="0.25">
      <c r="A194" s="20"/>
      <c r="B194" s="20"/>
      <c r="C194" s="20"/>
      <c r="D194" s="53"/>
      <c r="E194" s="53"/>
      <c r="F194" s="53"/>
      <c r="G194" s="53"/>
      <c r="H194" s="53"/>
      <c r="I194" s="53"/>
      <c r="J194" s="53"/>
      <c r="K194" s="53"/>
      <c r="L194" s="20"/>
      <c r="M194" s="20"/>
      <c r="N194" s="99"/>
      <c r="O194" s="20"/>
      <c r="P194" s="20"/>
      <c r="Q194" s="20"/>
      <c r="R194" s="20"/>
    </row>
    <row r="195" spans="1:18" x14ac:dyDescent="0.25">
      <c r="A195" s="20"/>
      <c r="B195" s="20"/>
      <c r="C195" s="20"/>
      <c r="D195" s="53"/>
      <c r="E195" s="53"/>
      <c r="F195" s="53"/>
      <c r="G195" s="53"/>
      <c r="H195" s="53"/>
      <c r="I195" s="53"/>
      <c r="J195" s="53"/>
      <c r="K195" s="53"/>
      <c r="L195" s="20"/>
      <c r="M195" s="20"/>
      <c r="N195" s="99"/>
      <c r="O195" s="20"/>
      <c r="P195" s="20"/>
      <c r="Q195" s="20"/>
      <c r="R195" s="20"/>
    </row>
    <row r="196" spans="1:18" x14ac:dyDescent="0.25">
      <c r="A196" s="20"/>
      <c r="B196" s="20"/>
      <c r="C196" s="20"/>
      <c r="D196" s="53"/>
      <c r="E196" s="53"/>
      <c r="F196" s="53"/>
      <c r="G196" s="53"/>
      <c r="H196" s="53"/>
      <c r="I196" s="53"/>
      <c r="J196" s="53"/>
      <c r="K196" s="53"/>
      <c r="L196" s="20"/>
      <c r="M196" s="20"/>
      <c r="N196" s="99"/>
      <c r="O196" s="20"/>
      <c r="P196" s="20"/>
      <c r="Q196" s="20"/>
      <c r="R196" s="20"/>
    </row>
    <row r="197" spans="1:18" x14ac:dyDescent="0.25">
      <c r="A197" s="20"/>
      <c r="B197" s="20"/>
      <c r="C197" s="20"/>
      <c r="D197" s="53"/>
      <c r="E197" s="53"/>
      <c r="F197" s="53"/>
      <c r="G197" s="53"/>
      <c r="H197" s="53"/>
      <c r="I197" s="53"/>
      <c r="J197" s="53"/>
      <c r="K197" s="53"/>
      <c r="L197" s="20"/>
      <c r="M197" s="20"/>
      <c r="N197" s="99"/>
      <c r="O197" s="20"/>
      <c r="P197" s="20"/>
      <c r="Q197" s="20"/>
      <c r="R197" s="20"/>
    </row>
    <row r="198" spans="1:18" x14ac:dyDescent="0.25">
      <c r="A198" s="20"/>
      <c r="B198" s="20"/>
      <c r="C198" s="20"/>
      <c r="D198" s="53"/>
      <c r="E198" s="53"/>
      <c r="F198" s="53"/>
      <c r="G198" s="53"/>
      <c r="H198" s="53"/>
      <c r="I198" s="53"/>
      <c r="J198" s="53"/>
      <c r="K198" s="53"/>
      <c r="L198" s="20"/>
      <c r="M198" s="20"/>
      <c r="N198" s="99"/>
      <c r="O198" s="20"/>
      <c r="P198" s="20"/>
      <c r="Q198" s="20"/>
      <c r="R198" s="20"/>
    </row>
    <row r="199" spans="1:18" x14ac:dyDescent="0.25">
      <c r="A199" s="20"/>
      <c r="B199" s="20"/>
      <c r="C199" s="20"/>
      <c r="D199" s="53"/>
      <c r="E199" s="53"/>
      <c r="F199" s="53"/>
      <c r="G199" s="53"/>
      <c r="H199" s="53"/>
      <c r="I199" s="53"/>
      <c r="J199" s="53"/>
      <c r="K199" s="53"/>
      <c r="L199" s="20"/>
      <c r="M199" s="20"/>
      <c r="N199" s="99"/>
      <c r="O199" s="20"/>
      <c r="P199" s="20"/>
      <c r="Q199" s="20"/>
      <c r="R199" s="20"/>
    </row>
    <row r="200" spans="1:18" x14ac:dyDescent="0.25">
      <c r="A200" s="20"/>
      <c r="B200" s="20"/>
      <c r="C200" s="20"/>
      <c r="D200" s="53"/>
      <c r="E200" s="53"/>
      <c r="F200" s="53"/>
      <c r="G200" s="53"/>
      <c r="H200" s="53"/>
      <c r="I200" s="53"/>
      <c r="J200" s="53"/>
      <c r="K200" s="53"/>
      <c r="L200" s="20"/>
      <c r="M200" s="20"/>
      <c r="N200" s="99"/>
      <c r="O200" s="20"/>
      <c r="P200" s="20"/>
      <c r="Q200" s="20"/>
      <c r="R200" s="20"/>
    </row>
    <row r="201" spans="1:18" x14ac:dyDescent="0.25">
      <c r="A201" s="20"/>
      <c r="B201" s="20"/>
      <c r="C201" s="20"/>
      <c r="D201" s="53"/>
      <c r="E201" s="53"/>
      <c r="F201" s="53"/>
      <c r="G201" s="53"/>
      <c r="H201" s="53"/>
      <c r="I201" s="53"/>
      <c r="J201" s="53"/>
      <c r="K201" s="53"/>
      <c r="L201" s="20"/>
      <c r="M201" s="20"/>
      <c r="N201" s="99"/>
      <c r="O201" s="20"/>
      <c r="P201" s="20"/>
      <c r="Q201" s="20"/>
      <c r="R201" s="20"/>
    </row>
    <row r="202" spans="1:18" x14ac:dyDescent="0.25">
      <c r="A202" s="20"/>
      <c r="B202" s="20"/>
      <c r="C202" s="20"/>
      <c r="D202" s="53"/>
      <c r="E202" s="53"/>
      <c r="F202" s="53"/>
      <c r="G202" s="53"/>
      <c r="H202" s="53"/>
      <c r="I202" s="53"/>
      <c r="J202" s="53"/>
      <c r="K202" s="53"/>
      <c r="L202" s="20"/>
      <c r="M202" s="20"/>
      <c r="N202" s="99"/>
      <c r="O202" s="20"/>
      <c r="P202" s="20"/>
      <c r="Q202" s="20"/>
      <c r="R202" s="20"/>
    </row>
    <row r="203" spans="1:18" x14ac:dyDescent="0.25">
      <c r="A203" s="20"/>
      <c r="B203" s="20"/>
      <c r="C203" s="20"/>
      <c r="D203" s="53"/>
      <c r="E203" s="53"/>
      <c r="F203" s="53"/>
      <c r="G203" s="53"/>
      <c r="H203" s="53"/>
      <c r="I203" s="53"/>
      <c r="J203" s="53"/>
      <c r="K203" s="53"/>
      <c r="L203" s="20"/>
      <c r="M203" s="20"/>
      <c r="N203" s="99"/>
      <c r="O203" s="20"/>
      <c r="P203" s="20"/>
      <c r="Q203" s="20"/>
      <c r="R203" s="20"/>
    </row>
    <row r="204" spans="1:18" x14ac:dyDescent="0.25">
      <c r="A204" s="20"/>
      <c r="B204" s="20"/>
      <c r="C204" s="20"/>
      <c r="D204" s="53"/>
      <c r="E204" s="53"/>
      <c r="F204" s="53"/>
      <c r="G204" s="53"/>
      <c r="H204" s="53"/>
      <c r="I204" s="53"/>
      <c r="J204" s="53"/>
      <c r="K204" s="53"/>
      <c r="L204" s="20"/>
      <c r="M204" s="20"/>
      <c r="N204" s="99"/>
      <c r="O204" s="20"/>
      <c r="P204" s="20"/>
      <c r="Q204" s="20"/>
      <c r="R204" s="20"/>
    </row>
    <row r="205" spans="1:18" x14ac:dyDescent="0.25">
      <c r="A205" s="20"/>
      <c r="B205" s="20"/>
      <c r="C205" s="20"/>
      <c r="D205" s="53"/>
      <c r="E205" s="53"/>
      <c r="F205" s="53"/>
      <c r="G205" s="53"/>
      <c r="H205" s="53"/>
      <c r="I205" s="53"/>
      <c r="J205" s="53"/>
      <c r="K205" s="53"/>
      <c r="L205" s="20"/>
      <c r="M205" s="20"/>
      <c r="N205" s="99"/>
      <c r="O205" s="20"/>
      <c r="P205" s="20"/>
      <c r="Q205" s="20"/>
      <c r="R205" s="20"/>
    </row>
    <row r="206" spans="1:18" x14ac:dyDescent="0.25">
      <c r="A206" s="20"/>
      <c r="B206" s="20"/>
      <c r="C206" s="20"/>
      <c r="D206" s="53"/>
      <c r="E206" s="53"/>
      <c r="F206" s="53"/>
      <c r="G206" s="53"/>
      <c r="H206" s="53"/>
      <c r="I206" s="53"/>
      <c r="J206" s="53"/>
      <c r="K206" s="53"/>
      <c r="L206" s="20"/>
      <c r="M206" s="20"/>
      <c r="N206" s="99"/>
      <c r="O206" s="20"/>
      <c r="P206" s="20"/>
      <c r="Q206" s="20"/>
      <c r="R206" s="20"/>
    </row>
    <row r="207" spans="1:18" x14ac:dyDescent="0.25">
      <c r="A207" s="20"/>
      <c r="B207" s="20"/>
      <c r="C207" s="20"/>
      <c r="D207" s="53"/>
      <c r="E207" s="53"/>
      <c r="F207" s="53"/>
      <c r="G207" s="53"/>
      <c r="H207" s="53"/>
      <c r="I207" s="53"/>
      <c r="J207" s="53"/>
      <c r="K207" s="53"/>
      <c r="L207" s="20"/>
      <c r="M207" s="20"/>
      <c r="N207" s="99"/>
      <c r="O207" s="20"/>
      <c r="P207" s="20"/>
      <c r="Q207" s="20"/>
      <c r="R207" s="20"/>
    </row>
    <row r="208" spans="1:18" x14ac:dyDescent="0.25">
      <c r="A208" s="20"/>
      <c r="B208" s="20"/>
      <c r="C208" s="20"/>
      <c r="D208" s="53"/>
      <c r="E208" s="53"/>
      <c r="F208" s="53"/>
      <c r="G208" s="53"/>
      <c r="H208" s="53"/>
      <c r="I208" s="53"/>
      <c r="J208" s="53"/>
      <c r="K208" s="53"/>
      <c r="L208" s="20"/>
      <c r="M208" s="20"/>
      <c r="N208" s="99"/>
      <c r="O208" s="20"/>
      <c r="P208" s="20"/>
      <c r="Q208" s="20"/>
      <c r="R208" s="20"/>
    </row>
    <row r="209" spans="1:18" x14ac:dyDescent="0.25">
      <c r="A209" s="20"/>
      <c r="B209" s="20"/>
      <c r="C209" s="20"/>
      <c r="D209" s="53"/>
      <c r="E209" s="53"/>
      <c r="F209" s="53"/>
      <c r="G209" s="53"/>
      <c r="H209" s="53"/>
      <c r="I209" s="53"/>
      <c r="J209" s="53"/>
      <c r="K209" s="53"/>
      <c r="L209" s="20"/>
      <c r="M209" s="20"/>
      <c r="N209" s="99"/>
      <c r="O209" s="20"/>
      <c r="P209" s="20"/>
      <c r="Q209" s="20"/>
      <c r="R209" s="20"/>
    </row>
    <row r="210" spans="1:18" x14ac:dyDescent="0.25">
      <c r="A210" s="20"/>
      <c r="B210" s="20"/>
      <c r="C210" s="20"/>
      <c r="D210" s="53"/>
      <c r="E210" s="53"/>
      <c r="F210" s="53"/>
      <c r="G210" s="53"/>
      <c r="H210" s="53"/>
      <c r="I210" s="53"/>
      <c r="J210" s="53"/>
      <c r="K210" s="53"/>
      <c r="L210" s="20"/>
      <c r="M210" s="20"/>
      <c r="N210" s="99"/>
      <c r="O210" s="20"/>
      <c r="P210" s="20"/>
      <c r="Q210" s="20"/>
      <c r="R210" s="20"/>
    </row>
    <row r="211" spans="1:18" x14ac:dyDescent="0.25">
      <c r="A211" s="20"/>
      <c r="B211" s="20"/>
      <c r="C211" s="20"/>
      <c r="D211" s="53"/>
      <c r="E211" s="53"/>
      <c r="F211" s="53"/>
      <c r="G211" s="53"/>
      <c r="H211" s="53"/>
      <c r="I211" s="53"/>
      <c r="J211" s="53"/>
      <c r="K211" s="53"/>
      <c r="L211" s="20"/>
      <c r="M211" s="20"/>
      <c r="N211" s="99"/>
      <c r="O211" s="20"/>
      <c r="P211" s="20"/>
      <c r="Q211" s="20"/>
      <c r="R211" s="20"/>
    </row>
    <row r="212" spans="1:18" x14ac:dyDescent="0.25">
      <c r="A212" s="20"/>
      <c r="B212" s="20"/>
      <c r="C212" s="20"/>
      <c r="D212" s="53"/>
      <c r="E212" s="53"/>
      <c r="F212" s="53"/>
      <c r="G212" s="53"/>
      <c r="H212" s="53"/>
      <c r="I212" s="53"/>
      <c r="J212" s="53"/>
      <c r="K212" s="53"/>
      <c r="L212" s="20"/>
      <c r="M212" s="20"/>
      <c r="N212" s="99"/>
      <c r="O212" s="20"/>
      <c r="P212" s="20"/>
      <c r="Q212" s="20"/>
      <c r="R212" s="20"/>
    </row>
    <row r="213" spans="1:18" x14ac:dyDescent="0.25">
      <c r="A213" s="20"/>
      <c r="B213" s="20"/>
      <c r="C213" s="20"/>
      <c r="D213" s="53"/>
      <c r="E213" s="53"/>
      <c r="F213" s="53"/>
      <c r="G213" s="53"/>
      <c r="H213" s="53"/>
      <c r="I213" s="53"/>
      <c r="J213" s="53"/>
      <c r="K213" s="53"/>
      <c r="L213" s="20"/>
      <c r="M213" s="20"/>
      <c r="N213" s="99"/>
      <c r="O213" s="20"/>
      <c r="P213" s="20"/>
      <c r="Q213" s="20"/>
      <c r="R213" s="20"/>
    </row>
    <row r="214" spans="1:18" x14ac:dyDescent="0.25">
      <c r="A214" s="20"/>
      <c r="B214" s="20"/>
      <c r="C214" s="20"/>
      <c r="D214" s="53"/>
      <c r="E214" s="53"/>
      <c r="F214" s="53"/>
      <c r="G214" s="53"/>
      <c r="H214" s="53"/>
      <c r="I214" s="53"/>
      <c r="J214" s="53"/>
      <c r="K214" s="53"/>
      <c r="L214" s="20"/>
      <c r="M214" s="20"/>
      <c r="N214" s="99"/>
      <c r="O214" s="20"/>
      <c r="P214" s="20"/>
      <c r="Q214" s="20"/>
      <c r="R214" s="20"/>
    </row>
    <row r="215" spans="1:18" x14ac:dyDescent="0.25">
      <c r="A215" s="20"/>
      <c r="B215" s="20"/>
      <c r="C215" s="20"/>
      <c r="D215" s="53"/>
      <c r="E215" s="53"/>
      <c r="F215" s="53"/>
      <c r="G215" s="53"/>
      <c r="H215" s="53"/>
      <c r="I215" s="53"/>
      <c r="J215" s="53"/>
      <c r="K215" s="53"/>
      <c r="L215" s="20"/>
      <c r="M215" s="20"/>
      <c r="N215" s="99"/>
      <c r="O215" s="20"/>
      <c r="P215" s="20"/>
      <c r="Q215" s="20"/>
      <c r="R215" s="20"/>
    </row>
    <row r="216" spans="1:18" x14ac:dyDescent="0.25">
      <c r="A216" s="20"/>
      <c r="B216" s="20"/>
      <c r="C216" s="20"/>
      <c r="D216" s="53"/>
      <c r="E216" s="53"/>
      <c r="F216" s="53"/>
      <c r="G216" s="53"/>
      <c r="H216" s="53"/>
      <c r="I216" s="53"/>
      <c r="J216" s="53"/>
      <c r="K216" s="53"/>
      <c r="L216" s="20"/>
      <c r="M216" s="20"/>
      <c r="N216" s="99"/>
      <c r="O216" s="20"/>
      <c r="P216" s="20"/>
      <c r="Q216" s="20"/>
      <c r="R216" s="20"/>
    </row>
    <row r="217" spans="1:18" x14ac:dyDescent="0.25">
      <c r="A217" s="20"/>
      <c r="B217" s="20"/>
      <c r="C217" s="20"/>
      <c r="D217" s="53"/>
      <c r="E217" s="53"/>
      <c r="F217" s="53"/>
      <c r="G217" s="53"/>
      <c r="H217" s="53"/>
      <c r="I217" s="53"/>
      <c r="J217" s="53"/>
      <c r="K217" s="53"/>
      <c r="L217" s="20"/>
      <c r="M217" s="20"/>
      <c r="N217" s="99"/>
      <c r="O217" s="20"/>
      <c r="P217" s="20"/>
      <c r="Q217" s="20"/>
      <c r="R217" s="20"/>
    </row>
    <row r="218" spans="1:18" x14ac:dyDescent="0.25">
      <c r="A218" s="20"/>
      <c r="B218" s="20"/>
      <c r="C218" s="20"/>
      <c r="D218" s="53"/>
      <c r="E218" s="53"/>
      <c r="F218" s="53"/>
      <c r="G218" s="53"/>
      <c r="H218" s="53"/>
      <c r="I218" s="53"/>
      <c r="J218" s="53"/>
      <c r="K218" s="53"/>
      <c r="L218" s="20"/>
      <c r="M218" s="20"/>
      <c r="N218" s="99"/>
      <c r="O218" s="20"/>
      <c r="P218" s="20"/>
      <c r="Q218" s="20"/>
      <c r="R218" s="20"/>
    </row>
    <row r="219" spans="1:18" x14ac:dyDescent="0.25">
      <c r="A219" s="20"/>
      <c r="B219" s="20"/>
      <c r="C219" s="20"/>
      <c r="D219" s="53"/>
      <c r="E219" s="53"/>
      <c r="F219" s="53"/>
      <c r="G219" s="53"/>
      <c r="H219" s="53"/>
      <c r="I219" s="53"/>
      <c r="J219" s="53"/>
      <c r="K219" s="53"/>
      <c r="L219" s="20"/>
      <c r="M219" s="20"/>
      <c r="N219" s="99"/>
      <c r="O219" s="20"/>
      <c r="P219" s="20"/>
      <c r="Q219" s="20"/>
      <c r="R219" s="20"/>
    </row>
    <row r="220" spans="1:18" x14ac:dyDescent="0.25">
      <c r="A220" s="20"/>
      <c r="B220" s="20"/>
      <c r="C220" s="20"/>
      <c r="D220" s="53"/>
      <c r="E220" s="53"/>
      <c r="F220" s="53"/>
      <c r="G220" s="53"/>
      <c r="H220" s="53"/>
      <c r="I220" s="53"/>
      <c r="J220" s="53"/>
      <c r="K220" s="53"/>
      <c r="L220" s="20"/>
      <c r="M220" s="20"/>
      <c r="N220" s="99"/>
      <c r="O220" s="20"/>
      <c r="P220" s="20"/>
      <c r="Q220" s="20"/>
      <c r="R220" s="20"/>
    </row>
    <row r="221" spans="1:18" x14ac:dyDescent="0.25">
      <c r="A221" s="20"/>
      <c r="B221" s="20"/>
      <c r="C221" s="20"/>
      <c r="D221" s="53"/>
      <c r="E221" s="53"/>
      <c r="F221" s="53"/>
      <c r="G221" s="53"/>
      <c r="H221" s="53"/>
      <c r="I221" s="53"/>
      <c r="J221" s="53"/>
      <c r="K221" s="53"/>
      <c r="L221" s="20"/>
      <c r="M221" s="20"/>
      <c r="N221" s="99"/>
      <c r="O221" s="20"/>
      <c r="P221" s="20"/>
      <c r="Q221" s="20"/>
      <c r="R221" s="20"/>
    </row>
    <row r="222" spans="1:18" x14ac:dyDescent="0.25">
      <c r="A222" s="20"/>
      <c r="B222" s="20"/>
      <c r="C222" s="20"/>
      <c r="D222" s="53"/>
      <c r="E222" s="53"/>
      <c r="F222" s="53"/>
      <c r="G222" s="53"/>
      <c r="H222" s="53"/>
      <c r="I222" s="53"/>
      <c r="J222" s="53"/>
      <c r="K222" s="53"/>
      <c r="L222" s="20"/>
      <c r="M222" s="20"/>
      <c r="N222" s="99"/>
      <c r="O222" s="20"/>
      <c r="P222" s="20"/>
      <c r="Q222" s="20"/>
      <c r="R222" s="20"/>
    </row>
    <row r="223" spans="1:18" x14ac:dyDescent="0.25">
      <c r="A223" s="20"/>
      <c r="B223" s="20"/>
      <c r="C223" s="20"/>
      <c r="D223" s="53"/>
      <c r="E223" s="53"/>
      <c r="F223" s="53"/>
      <c r="G223" s="53"/>
      <c r="H223" s="53"/>
      <c r="I223" s="53"/>
      <c r="J223" s="53"/>
      <c r="K223" s="53"/>
      <c r="L223" s="20"/>
      <c r="M223" s="20"/>
      <c r="N223" s="99"/>
      <c r="O223" s="20"/>
      <c r="P223" s="20"/>
      <c r="Q223" s="20"/>
      <c r="R223" s="20"/>
    </row>
    <row r="224" spans="1:18" x14ac:dyDescent="0.25">
      <c r="A224" s="20"/>
      <c r="B224" s="20"/>
      <c r="C224" s="20"/>
      <c r="D224" s="53"/>
      <c r="E224" s="53"/>
      <c r="F224" s="53"/>
      <c r="G224" s="53"/>
      <c r="H224" s="53"/>
      <c r="I224" s="53"/>
      <c r="J224" s="53"/>
      <c r="K224" s="53"/>
      <c r="L224" s="20"/>
      <c r="M224" s="20"/>
      <c r="N224" s="99"/>
      <c r="O224" s="20"/>
      <c r="P224" s="20"/>
      <c r="Q224" s="20"/>
      <c r="R224" s="20"/>
    </row>
    <row r="225" spans="1:18" x14ac:dyDescent="0.25">
      <c r="A225" s="20"/>
      <c r="B225" s="20"/>
      <c r="C225" s="20"/>
      <c r="D225" s="53"/>
      <c r="E225" s="53"/>
      <c r="F225" s="53"/>
      <c r="G225" s="53"/>
      <c r="H225" s="53"/>
      <c r="I225" s="53"/>
      <c r="J225" s="53"/>
      <c r="K225" s="53"/>
      <c r="L225" s="20"/>
      <c r="M225" s="20"/>
      <c r="N225" s="99"/>
      <c r="O225" s="20"/>
      <c r="P225" s="20"/>
      <c r="Q225" s="20"/>
      <c r="R225" s="20"/>
    </row>
    <row r="226" spans="1:18" x14ac:dyDescent="0.25">
      <c r="A226" s="20"/>
      <c r="B226" s="20"/>
      <c r="C226" s="20"/>
      <c r="D226" s="53"/>
      <c r="E226" s="53"/>
      <c r="F226" s="53"/>
      <c r="G226" s="53"/>
      <c r="H226" s="53"/>
      <c r="I226" s="53"/>
      <c r="J226" s="53"/>
      <c r="K226" s="53"/>
      <c r="L226" s="20"/>
      <c r="M226" s="20"/>
      <c r="N226" s="99"/>
      <c r="O226" s="20"/>
      <c r="P226" s="20"/>
      <c r="Q226" s="20"/>
      <c r="R226" s="20"/>
    </row>
    <row r="227" spans="1:18" x14ac:dyDescent="0.25">
      <c r="A227" s="20"/>
      <c r="B227" s="20"/>
      <c r="C227" s="20"/>
      <c r="D227" s="53"/>
      <c r="E227" s="53"/>
      <c r="F227" s="53"/>
      <c r="G227" s="53"/>
      <c r="H227" s="53"/>
      <c r="I227" s="53"/>
      <c r="J227" s="53"/>
      <c r="K227" s="53"/>
      <c r="L227" s="20"/>
      <c r="M227" s="20"/>
      <c r="N227" s="99"/>
      <c r="O227" s="20"/>
      <c r="P227" s="20"/>
      <c r="Q227" s="20"/>
      <c r="R227" s="20"/>
    </row>
    <row r="228" spans="1:18" x14ac:dyDescent="0.25">
      <c r="A228" s="20"/>
      <c r="B228" s="20"/>
      <c r="C228" s="20"/>
      <c r="D228" s="53"/>
      <c r="E228" s="53"/>
      <c r="F228" s="53"/>
      <c r="G228" s="53"/>
      <c r="H228" s="53"/>
      <c r="I228" s="53"/>
      <c r="J228" s="53"/>
      <c r="K228" s="53"/>
      <c r="L228" s="20"/>
      <c r="M228" s="20"/>
      <c r="N228" s="99"/>
      <c r="O228" s="20"/>
      <c r="P228" s="20"/>
      <c r="Q228" s="20"/>
      <c r="R228" s="20"/>
    </row>
    <row r="229" spans="1:18" x14ac:dyDescent="0.25">
      <c r="A229" s="20"/>
      <c r="B229" s="20"/>
      <c r="C229" s="20"/>
      <c r="D229" s="53"/>
      <c r="E229" s="53"/>
      <c r="F229" s="53"/>
      <c r="G229" s="53"/>
      <c r="H229" s="53"/>
      <c r="I229" s="53"/>
      <c r="J229" s="53"/>
      <c r="K229" s="53"/>
      <c r="L229" s="20"/>
      <c r="M229" s="20"/>
      <c r="N229" s="99"/>
      <c r="O229" s="20"/>
      <c r="P229" s="20"/>
      <c r="Q229" s="20"/>
      <c r="R229" s="20"/>
    </row>
    <row r="230" spans="1:18" x14ac:dyDescent="0.25">
      <c r="A230" s="20"/>
      <c r="B230" s="20"/>
      <c r="C230" s="20"/>
      <c r="D230" s="53"/>
      <c r="E230" s="53"/>
      <c r="F230" s="53"/>
      <c r="G230" s="53"/>
      <c r="H230" s="53"/>
      <c r="I230" s="53"/>
      <c r="J230" s="53"/>
      <c r="K230" s="53"/>
      <c r="L230" s="20"/>
      <c r="M230" s="20"/>
      <c r="N230" s="99"/>
      <c r="O230" s="20"/>
      <c r="P230" s="20"/>
      <c r="Q230" s="20"/>
      <c r="R230" s="20"/>
    </row>
    <row r="231" spans="1:18" x14ac:dyDescent="0.25">
      <c r="A231" s="20"/>
      <c r="B231" s="20"/>
      <c r="C231" s="20"/>
      <c r="D231" s="53"/>
      <c r="E231" s="53"/>
      <c r="F231" s="53"/>
      <c r="G231" s="53"/>
      <c r="H231" s="53"/>
      <c r="I231" s="53"/>
      <c r="J231" s="53"/>
      <c r="K231" s="53"/>
      <c r="L231" s="20"/>
      <c r="M231" s="20"/>
      <c r="N231" s="99"/>
      <c r="O231" s="20"/>
      <c r="P231" s="20"/>
      <c r="Q231" s="20"/>
      <c r="R231" s="20"/>
    </row>
    <row r="232" spans="1:18" x14ac:dyDescent="0.25">
      <c r="A232" s="20"/>
      <c r="B232" s="20"/>
      <c r="C232" s="20"/>
      <c r="D232" s="53"/>
      <c r="E232" s="53"/>
      <c r="F232" s="53"/>
      <c r="G232" s="53"/>
      <c r="H232" s="53"/>
      <c r="I232" s="53"/>
      <c r="J232" s="53"/>
      <c r="K232" s="53"/>
      <c r="L232" s="20"/>
      <c r="M232" s="20"/>
      <c r="N232" s="99"/>
      <c r="O232" s="20"/>
      <c r="P232" s="20"/>
      <c r="Q232" s="20"/>
      <c r="R232" s="20"/>
    </row>
    <row r="233" spans="1:18" x14ac:dyDescent="0.25">
      <c r="A233" s="20"/>
      <c r="B233" s="20"/>
      <c r="C233" s="20"/>
      <c r="D233" s="53"/>
      <c r="E233" s="53"/>
      <c r="F233" s="53"/>
      <c r="G233" s="53"/>
      <c r="H233" s="53"/>
      <c r="I233" s="53"/>
      <c r="J233" s="53"/>
      <c r="K233" s="53"/>
      <c r="L233" s="20"/>
      <c r="M233" s="20"/>
      <c r="N233" s="99"/>
      <c r="O233" s="20"/>
      <c r="P233" s="20"/>
      <c r="Q233" s="20"/>
      <c r="R233" s="20"/>
    </row>
    <row r="234" spans="1:18" x14ac:dyDescent="0.25">
      <c r="A234" s="20"/>
      <c r="B234" s="20"/>
      <c r="C234" s="20"/>
      <c r="D234" s="53"/>
      <c r="E234" s="53"/>
      <c r="F234" s="53"/>
      <c r="G234" s="53"/>
      <c r="H234" s="53"/>
      <c r="I234" s="53"/>
      <c r="J234" s="53"/>
      <c r="K234" s="53"/>
      <c r="L234" s="20"/>
      <c r="M234" s="20"/>
      <c r="N234" s="99"/>
      <c r="O234" s="20"/>
      <c r="P234" s="20"/>
      <c r="Q234" s="20"/>
      <c r="R234" s="20"/>
    </row>
    <row r="235" spans="1:18" x14ac:dyDescent="0.25">
      <c r="A235" s="20"/>
      <c r="B235" s="20"/>
      <c r="C235" s="20"/>
      <c r="D235" s="53"/>
      <c r="E235" s="53"/>
      <c r="F235" s="53"/>
      <c r="G235" s="53"/>
      <c r="H235" s="53"/>
      <c r="I235" s="53"/>
      <c r="J235" s="53"/>
      <c r="K235" s="53"/>
      <c r="L235" s="20"/>
      <c r="M235" s="20"/>
      <c r="N235" s="99"/>
      <c r="O235" s="20"/>
      <c r="P235" s="20"/>
      <c r="Q235" s="20"/>
      <c r="R235" s="20"/>
    </row>
    <row r="236" spans="1:18" x14ac:dyDescent="0.25">
      <c r="A236" s="20"/>
      <c r="B236" s="20"/>
      <c r="C236" s="20"/>
      <c r="D236" s="53"/>
      <c r="E236" s="53"/>
      <c r="F236" s="53"/>
      <c r="G236" s="53"/>
      <c r="H236" s="53"/>
      <c r="I236" s="53"/>
      <c r="J236" s="53"/>
      <c r="K236" s="53"/>
      <c r="L236" s="20"/>
      <c r="M236" s="20"/>
      <c r="N236" s="99"/>
      <c r="O236" s="20"/>
      <c r="P236" s="20"/>
      <c r="Q236" s="20"/>
      <c r="R236" s="20"/>
    </row>
    <row r="237" spans="1:18" x14ac:dyDescent="0.25">
      <c r="A237" s="20"/>
      <c r="B237" s="20"/>
      <c r="C237" s="20"/>
      <c r="D237" s="53"/>
      <c r="E237" s="53"/>
      <c r="F237" s="53"/>
      <c r="G237" s="53"/>
      <c r="H237" s="53"/>
      <c r="I237" s="53"/>
      <c r="J237" s="53"/>
      <c r="K237" s="53"/>
      <c r="L237" s="20"/>
      <c r="M237" s="20"/>
      <c r="N237" s="99"/>
      <c r="O237" s="20"/>
      <c r="P237" s="20"/>
      <c r="Q237" s="20"/>
      <c r="R237" s="20"/>
    </row>
    <row r="238" spans="1:18" x14ac:dyDescent="0.25">
      <c r="A238" s="20"/>
      <c r="B238" s="20"/>
      <c r="C238" s="20"/>
      <c r="D238" s="53"/>
      <c r="E238" s="53"/>
      <c r="F238" s="53"/>
      <c r="G238" s="53"/>
      <c r="H238" s="53"/>
      <c r="I238" s="53"/>
      <c r="J238" s="53"/>
      <c r="K238" s="53"/>
      <c r="L238" s="20"/>
      <c r="M238" s="20"/>
      <c r="N238" s="99"/>
      <c r="O238" s="20"/>
      <c r="P238" s="20"/>
      <c r="Q238" s="20"/>
      <c r="R238" s="20"/>
    </row>
    <row r="239" spans="1:18" x14ac:dyDescent="0.25">
      <c r="A239" s="20"/>
      <c r="B239" s="20"/>
      <c r="C239" s="20"/>
      <c r="D239" s="53"/>
      <c r="E239" s="53"/>
      <c r="F239" s="53"/>
      <c r="G239" s="53"/>
      <c r="H239" s="53"/>
      <c r="I239" s="53"/>
      <c r="J239" s="53"/>
      <c r="K239" s="53"/>
      <c r="L239" s="20"/>
      <c r="M239" s="20"/>
      <c r="N239" s="99"/>
      <c r="O239" s="20"/>
      <c r="P239" s="20"/>
      <c r="Q239" s="20"/>
      <c r="R239" s="20"/>
    </row>
    <row r="240" spans="1:18" x14ac:dyDescent="0.25">
      <c r="A240" s="20"/>
      <c r="B240" s="20"/>
      <c r="C240" s="20"/>
      <c r="D240" s="53"/>
      <c r="E240" s="53"/>
      <c r="F240" s="53"/>
      <c r="G240" s="53"/>
      <c r="H240" s="53"/>
      <c r="I240" s="53"/>
      <c r="J240" s="53"/>
      <c r="K240" s="53"/>
      <c r="L240" s="20"/>
      <c r="M240" s="20"/>
      <c r="N240" s="99"/>
      <c r="O240" s="20"/>
      <c r="P240" s="20"/>
      <c r="Q240" s="20"/>
      <c r="R240" s="20"/>
    </row>
    <row r="241" spans="1:18" x14ac:dyDescent="0.25">
      <c r="A241" s="20"/>
      <c r="B241" s="20"/>
      <c r="C241" s="20"/>
      <c r="D241" s="53"/>
      <c r="E241" s="53"/>
      <c r="F241" s="53"/>
      <c r="G241" s="53"/>
      <c r="H241" s="53"/>
      <c r="I241" s="53"/>
      <c r="J241" s="53"/>
      <c r="K241" s="53"/>
      <c r="L241" s="20"/>
      <c r="M241" s="20"/>
      <c r="N241" s="99"/>
      <c r="O241" s="20"/>
      <c r="P241" s="20"/>
      <c r="Q241" s="20"/>
      <c r="R241" s="20"/>
    </row>
    <row r="242" spans="1:18" x14ac:dyDescent="0.25">
      <c r="A242" s="20"/>
      <c r="B242" s="20"/>
      <c r="C242" s="20"/>
      <c r="D242" s="53"/>
      <c r="E242" s="53"/>
      <c r="F242" s="53"/>
      <c r="G242" s="53"/>
      <c r="H242" s="53"/>
      <c r="I242" s="53"/>
      <c r="J242" s="53"/>
      <c r="K242" s="53"/>
      <c r="L242" s="20"/>
      <c r="M242" s="20"/>
      <c r="N242" s="99"/>
      <c r="O242" s="20"/>
      <c r="P242" s="20"/>
      <c r="Q242" s="20"/>
      <c r="R242" s="20"/>
    </row>
    <row r="243" spans="1:18" x14ac:dyDescent="0.25">
      <c r="A243" s="20"/>
      <c r="B243" s="20"/>
      <c r="C243" s="20"/>
      <c r="D243" s="53"/>
      <c r="E243" s="53"/>
      <c r="F243" s="53"/>
      <c r="G243" s="53"/>
      <c r="H243" s="53"/>
      <c r="I243" s="53"/>
      <c r="J243" s="53"/>
      <c r="K243" s="53"/>
      <c r="L243" s="20"/>
      <c r="M243" s="20"/>
      <c r="N243" s="99"/>
      <c r="O243" s="20"/>
      <c r="P243" s="20"/>
      <c r="Q243" s="20"/>
      <c r="R243" s="20"/>
    </row>
    <row r="244" spans="1:18" x14ac:dyDescent="0.25">
      <c r="A244" s="20"/>
      <c r="B244" s="20"/>
      <c r="C244" s="20"/>
      <c r="D244" s="53"/>
      <c r="E244" s="53"/>
      <c r="F244" s="53"/>
      <c r="G244" s="53"/>
      <c r="H244" s="53"/>
      <c r="I244" s="53"/>
      <c r="J244" s="53"/>
      <c r="K244" s="53"/>
      <c r="L244" s="20"/>
      <c r="M244" s="20"/>
      <c r="N244" s="99"/>
      <c r="O244" s="20"/>
      <c r="P244" s="20"/>
      <c r="Q244" s="20"/>
      <c r="R244" s="20"/>
    </row>
    <row r="245" spans="1:18" x14ac:dyDescent="0.25">
      <c r="A245" s="20"/>
      <c r="B245" s="20"/>
      <c r="C245" s="20"/>
      <c r="D245" s="53"/>
      <c r="E245" s="53"/>
      <c r="F245" s="53"/>
      <c r="G245" s="53"/>
      <c r="H245" s="53"/>
      <c r="I245" s="53"/>
      <c r="J245" s="53"/>
      <c r="K245" s="53"/>
      <c r="L245" s="20"/>
      <c r="M245" s="20"/>
      <c r="N245" s="99"/>
      <c r="O245" s="20"/>
      <c r="P245" s="20"/>
      <c r="Q245" s="20"/>
      <c r="R245" s="20"/>
    </row>
    <row r="246" spans="1:18" x14ac:dyDescent="0.25">
      <c r="A246" s="20"/>
      <c r="B246" s="20"/>
      <c r="C246" s="20"/>
      <c r="D246" s="53"/>
      <c r="E246" s="53"/>
      <c r="F246" s="53"/>
      <c r="G246" s="53"/>
      <c r="H246" s="53"/>
      <c r="I246" s="53"/>
      <c r="J246" s="53"/>
      <c r="K246" s="53"/>
      <c r="L246" s="20"/>
      <c r="M246" s="20"/>
      <c r="N246" s="99"/>
      <c r="O246" s="20"/>
      <c r="P246" s="20"/>
      <c r="Q246" s="20"/>
      <c r="R246" s="20"/>
    </row>
    <row r="247" spans="1:18" x14ac:dyDescent="0.25">
      <c r="A247" s="20"/>
      <c r="B247" s="20"/>
      <c r="C247" s="20"/>
      <c r="D247" s="53"/>
      <c r="E247" s="53"/>
      <c r="F247" s="53"/>
      <c r="G247" s="53"/>
      <c r="H247" s="53"/>
      <c r="I247" s="53"/>
      <c r="J247" s="53"/>
      <c r="K247" s="53"/>
      <c r="L247" s="20"/>
      <c r="M247" s="20"/>
      <c r="N247" s="99"/>
      <c r="O247" s="20"/>
      <c r="P247" s="20"/>
      <c r="Q247" s="20"/>
      <c r="R247" s="20"/>
    </row>
    <row r="248" spans="1:18" x14ac:dyDescent="0.25">
      <c r="A248" s="20"/>
      <c r="B248" s="20"/>
      <c r="C248" s="20"/>
      <c r="D248" s="53"/>
      <c r="E248" s="53"/>
      <c r="F248" s="53"/>
      <c r="G248" s="53"/>
      <c r="H248" s="53"/>
      <c r="I248" s="53"/>
      <c r="J248" s="53"/>
      <c r="K248" s="53"/>
      <c r="L248" s="20"/>
      <c r="M248" s="20"/>
      <c r="N248" s="99"/>
      <c r="O248" s="20"/>
      <c r="P248" s="20"/>
      <c r="Q248" s="20"/>
      <c r="R248" s="20"/>
    </row>
    <row r="249" spans="1:18" x14ac:dyDescent="0.25">
      <c r="A249" s="20"/>
      <c r="B249" s="20"/>
      <c r="C249" s="20"/>
      <c r="D249" s="53"/>
      <c r="E249" s="53"/>
      <c r="F249" s="53"/>
      <c r="G249" s="53"/>
      <c r="H249" s="53"/>
      <c r="I249" s="53"/>
      <c r="J249" s="53"/>
      <c r="K249" s="53"/>
      <c r="L249" s="20"/>
      <c r="M249" s="20"/>
      <c r="N249" s="99"/>
      <c r="O249" s="20"/>
      <c r="P249" s="20"/>
      <c r="Q249" s="20"/>
      <c r="R249" s="20"/>
    </row>
    <row r="250" spans="1:18" x14ac:dyDescent="0.25">
      <c r="A250" s="20"/>
      <c r="B250" s="20"/>
      <c r="C250" s="20"/>
      <c r="D250" s="53"/>
      <c r="E250" s="53"/>
      <c r="F250" s="53"/>
      <c r="G250" s="53"/>
      <c r="H250" s="53"/>
      <c r="I250" s="53"/>
      <c r="J250" s="53"/>
      <c r="K250" s="53"/>
      <c r="L250" s="20"/>
      <c r="M250" s="20"/>
      <c r="N250" s="99"/>
      <c r="O250" s="20"/>
      <c r="P250" s="20"/>
      <c r="Q250" s="20"/>
      <c r="R250" s="20"/>
    </row>
    <row r="251" spans="1:18" x14ac:dyDescent="0.25">
      <c r="A251" s="20"/>
      <c r="B251" s="20"/>
      <c r="C251" s="20"/>
      <c r="D251" s="53"/>
      <c r="E251" s="53"/>
      <c r="F251" s="53"/>
      <c r="G251" s="53"/>
      <c r="H251" s="53"/>
      <c r="I251" s="53"/>
      <c r="J251" s="53"/>
      <c r="K251" s="53"/>
      <c r="L251" s="20"/>
      <c r="M251" s="20"/>
      <c r="N251" s="99"/>
      <c r="O251" s="20"/>
      <c r="P251" s="20"/>
      <c r="Q251" s="20"/>
      <c r="R251" s="20"/>
    </row>
    <row r="252" spans="1:18" x14ac:dyDescent="0.25">
      <c r="A252" s="20"/>
      <c r="B252" s="20"/>
      <c r="C252" s="20"/>
      <c r="D252" s="53"/>
      <c r="E252" s="53"/>
      <c r="F252" s="53"/>
      <c r="G252" s="53"/>
      <c r="H252" s="53"/>
      <c r="I252" s="53"/>
      <c r="J252" s="53"/>
      <c r="K252" s="53"/>
      <c r="L252" s="20"/>
      <c r="M252" s="20"/>
      <c r="N252" s="99"/>
      <c r="O252" s="20"/>
      <c r="P252" s="20"/>
      <c r="Q252" s="20"/>
      <c r="R252" s="20"/>
    </row>
    <row r="253" spans="1:18" x14ac:dyDescent="0.25">
      <c r="A253" s="20"/>
      <c r="B253" s="20"/>
      <c r="C253" s="20"/>
      <c r="D253" s="53"/>
      <c r="E253" s="53"/>
      <c r="F253" s="53"/>
      <c r="G253" s="53"/>
      <c r="H253" s="53"/>
      <c r="I253" s="53"/>
      <c r="J253" s="53"/>
      <c r="K253" s="53"/>
      <c r="L253" s="20"/>
      <c r="M253" s="20"/>
      <c r="N253" s="99"/>
      <c r="O253" s="20"/>
      <c r="P253" s="20"/>
      <c r="Q253" s="20"/>
      <c r="R253" s="20"/>
    </row>
    <row r="254" spans="1:18" x14ac:dyDescent="0.25">
      <c r="A254" s="20"/>
      <c r="B254" s="20"/>
      <c r="C254" s="20"/>
      <c r="D254" s="53"/>
      <c r="E254" s="53"/>
      <c r="F254" s="53"/>
      <c r="G254" s="53"/>
      <c r="H254" s="53"/>
      <c r="I254" s="53"/>
      <c r="J254" s="53"/>
      <c r="K254" s="53"/>
      <c r="L254" s="20"/>
      <c r="M254" s="20"/>
      <c r="N254" s="99"/>
      <c r="O254" s="20"/>
      <c r="P254" s="20"/>
      <c r="Q254" s="20"/>
      <c r="R254" s="20"/>
    </row>
    <row r="255" spans="1:18" x14ac:dyDescent="0.25">
      <c r="A255" s="20"/>
      <c r="B255" s="20"/>
      <c r="C255" s="20"/>
      <c r="D255" s="53"/>
      <c r="E255" s="53"/>
      <c r="F255" s="53"/>
      <c r="G255" s="53"/>
      <c r="H255" s="53"/>
      <c r="I255" s="53"/>
      <c r="J255" s="53"/>
      <c r="K255" s="53"/>
      <c r="L255" s="20"/>
      <c r="M255" s="20"/>
      <c r="N255" s="99"/>
      <c r="O255" s="20"/>
      <c r="P255" s="20"/>
      <c r="Q255" s="20"/>
      <c r="R255" s="20"/>
    </row>
    <row r="256" spans="1:18" x14ac:dyDescent="0.25">
      <c r="A256" s="20"/>
      <c r="B256" s="20"/>
      <c r="C256" s="20"/>
      <c r="D256" s="53"/>
      <c r="E256" s="53"/>
      <c r="F256" s="53"/>
      <c r="G256" s="53"/>
      <c r="H256" s="53"/>
      <c r="I256" s="53"/>
      <c r="J256" s="53"/>
      <c r="K256" s="53"/>
      <c r="L256" s="20"/>
      <c r="M256" s="20"/>
      <c r="N256" s="99"/>
      <c r="O256" s="20"/>
      <c r="P256" s="20"/>
      <c r="Q256" s="20"/>
      <c r="R256" s="20"/>
    </row>
    <row r="257" spans="1:18" x14ac:dyDescent="0.25">
      <c r="A257" s="20"/>
      <c r="B257" s="20"/>
      <c r="C257" s="20"/>
      <c r="D257" s="53"/>
      <c r="E257" s="53"/>
      <c r="F257" s="53"/>
      <c r="G257" s="53"/>
      <c r="H257" s="53"/>
      <c r="I257" s="53"/>
      <c r="J257" s="53"/>
      <c r="K257" s="53"/>
      <c r="L257" s="20"/>
      <c r="M257" s="20"/>
      <c r="N257" s="99"/>
      <c r="O257" s="20"/>
      <c r="P257" s="20"/>
      <c r="Q257" s="20"/>
      <c r="R257" s="20"/>
    </row>
    <row r="258" spans="1:18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99"/>
      <c r="O258" s="20"/>
      <c r="P258" s="20"/>
      <c r="Q258" s="20"/>
      <c r="R258" s="20"/>
    </row>
    <row r="259" spans="1:18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99"/>
      <c r="O259" s="20"/>
      <c r="P259" s="20"/>
      <c r="Q259" s="20"/>
      <c r="R259" s="20"/>
    </row>
    <row r="260" spans="1:18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</row>
    <row r="261" spans="1:18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</row>
    <row r="262" spans="1:18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</row>
    <row r="263" spans="1:18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</row>
    <row r="264" spans="1:18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</row>
    <row r="265" spans="1:18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</row>
    <row r="266" spans="1:18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</row>
    <row r="267" spans="1:18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</row>
    <row r="268" spans="1:18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</row>
    <row r="269" spans="1:18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</row>
    <row r="270" spans="1:18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</row>
    <row r="271" spans="1:18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</row>
    <row r="272" spans="1:18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</row>
    <row r="273" spans="1:18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</row>
    <row r="274" spans="1:18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</row>
    <row r="275" spans="1:18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</row>
    <row r="276" spans="1:18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</row>
    <row r="277" spans="1:18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</row>
    <row r="278" spans="1:18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</row>
    <row r="279" spans="1:18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</row>
    <row r="280" spans="1:18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</row>
    <row r="281" spans="1:18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</row>
    <row r="282" spans="1:18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</row>
    <row r="283" spans="1:18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</row>
    <row r="284" spans="1:18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</row>
    <row r="285" spans="1:18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</row>
    <row r="286" spans="1:18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</row>
    <row r="287" spans="1:18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</row>
    <row r="288" spans="1:18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</row>
    <row r="289" spans="1:18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</row>
    <row r="290" spans="1:18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</row>
    <row r="291" spans="1:18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</row>
    <row r="292" spans="1:18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</row>
    <row r="293" spans="1:18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</row>
    <row r="294" spans="1:18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</row>
    <row r="295" spans="1:18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</row>
    <row r="296" spans="1:18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</row>
    <row r="297" spans="1:18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</row>
    <row r="298" spans="1:18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</row>
    <row r="299" spans="1:18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</row>
    <row r="300" spans="1:18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</row>
    <row r="301" spans="1:18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</row>
    <row r="302" spans="1:18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</row>
    <row r="303" spans="1:18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</row>
    <row r="304" spans="1:18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</row>
    <row r="305" spans="1:18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</row>
    <row r="306" spans="1:18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</row>
    <row r="307" spans="1:18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</row>
    <row r="308" spans="1:18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</row>
    <row r="309" spans="1:18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</row>
    <row r="310" spans="1:18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</row>
    <row r="311" spans="1:18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</row>
    <row r="312" spans="1:18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</row>
    <row r="313" spans="1:18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</row>
    <row r="314" spans="1:18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</row>
    <row r="315" spans="1:18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</row>
    <row r="316" spans="1:18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</row>
    <row r="317" spans="1:18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</row>
    <row r="318" spans="1:18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</row>
    <row r="319" spans="1:18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</row>
    <row r="320" spans="1:18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</row>
    <row r="321" spans="1:18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</row>
    <row r="322" spans="1:18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</row>
    <row r="323" spans="1:18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</row>
    <row r="324" spans="1:18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</row>
    <row r="325" spans="1:18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</row>
    <row r="326" spans="1:18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</row>
    <row r="327" spans="1:18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</row>
    <row r="328" spans="1:18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</row>
    <row r="329" spans="1:18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</row>
    <row r="330" spans="1:18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</row>
    <row r="331" spans="1:18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</row>
    <row r="332" spans="1:18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</row>
    <row r="333" spans="1:18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</row>
    <row r="334" spans="1:18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</row>
    <row r="335" spans="1:18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</row>
    <row r="336" spans="1:18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</row>
    <row r="337" spans="1:18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</row>
    <row r="338" spans="1:18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</row>
    <row r="339" spans="1:18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</row>
    <row r="340" spans="1:18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</row>
    <row r="341" spans="1:18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</row>
    <row r="342" spans="1:18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</row>
    <row r="343" spans="1:18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</row>
    <row r="344" spans="1:18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</row>
    <row r="345" spans="1:18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</row>
    <row r="346" spans="1:18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</row>
    <row r="347" spans="1:18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</row>
    <row r="348" spans="1:18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</row>
    <row r="349" spans="1:18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spans="1:18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spans="1:18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</row>
    <row r="352" spans="1:18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</row>
    <row r="353" spans="1:18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</row>
    <row r="354" spans="1:18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</row>
    <row r="355" spans="1:18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</row>
    <row r="356" spans="1:18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</row>
    <row r="357" spans="1:18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</row>
    <row r="358" spans="1:18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</row>
    <row r="359" spans="1:18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</row>
    <row r="360" spans="1:18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</row>
    <row r="361" spans="1:18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</row>
    <row r="362" spans="1:18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</row>
    <row r="363" spans="1:18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</row>
    <row r="364" spans="1:18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</row>
    <row r="365" spans="1:18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</row>
    <row r="366" spans="1:18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</row>
    <row r="367" spans="1:18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</row>
    <row r="368" spans="1:18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</row>
    <row r="369" spans="1:18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</row>
    <row r="370" spans="1:18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</row>
    <row r="371" spans="1:18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</row>
    <row r="372" spans="1:18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</row>
    <row r="373" spans="1:18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</row>
    <row r="374" spans="1:18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</row>
    <row r="375" spans="1:18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</row>
    <row r="376" spans="1:18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</row>
    <row r="377" spans="1:18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</row>
    <row r="378" spans="1:18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</row>
    <row r="379" spans="1:18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</row>
    <row r="380" spans="1:18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</row>
    <row r="381" spans="1:18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</row>
    <row r="382" spans="1:18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</row>
    <row r="383" spans="1:18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</row>
    <row r="384" spans="1:18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</row>
    <row r="385" spans="1:18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</row>
    <row r="386" spans="1:18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</row>
    <row r="387" spans="1:18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</row>
    <row r="388" spans="1:18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</row>
    <row r="389" spans="1:18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</row>
    <row r="390" spans="1:18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</row>
    <row r="391" spans="1:18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</row>
    <row r="392" spans="1:18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</row>
    <row r="393" spans="1:18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</row>
    <row r="394" spans="1:18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</row>
    <row r="395" spans="1:18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</row>
    <row r="396" spans="1:18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</row>
    <row r="397" spans="1:18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</row>
    <row r="398" spans="1:18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</row>
    <row r="399" spans="1:18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</row>
    <row r="400" spans="1:18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</row>
    <row r="401" spans="1:18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</row>
    <row r="402" spans="1:18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</row>
    <row r="403" spans="1:18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</row>
    <row r="404" spans="1:18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</row>
    <row r="405" spans="1:18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</row>
    <row r="406" spans="1:18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</row>
    <row r="407" spans="1:18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</row>
    <row r="408" spans="1:18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</row>
    <row r="409" spans="1:18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</row>
    <row r="410" spans="1:18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</row>
    <row r="411" spans="1:18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</row>
    <row r="412" spans="1:18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</row>
    <row r="413" spans="1:18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</row>
    <row r="414" spans="1:18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</row>
    <row r="415" spans="1:18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</row>
    <row r="416" spans="1:18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</row>
    <row r="417" spans="1:18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</row>
    <row r="418" spans="1:18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</row>
    <row r="419" spans="1:18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</row>
    <row r="420" spans="1:18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</row>
    <row r="421" spans="1:18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</row>
    <row r="422" spans="1:18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</row>
    <row r="423" spans="1:18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</row>
    <row r="424" spans="1:18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</row>
    <row r="425" spans="1:18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</row>
    <row r="426" spans="1:18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</row>
    <row r="427" spans="1:18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</row>
    <row r="428" spans="1:18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</row>
    <row r="429" spans="1:18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</row>
    <row r="430" spans="1:18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</row>
    <row r="431" spans="1:18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</row>
    <row r="432" spans="1:18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</row>
    <row r="433" spans="1:18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</row>
    <row r="434" spans="1:18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spans="1:18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spans="1:18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</row>
    <row r="437" spans="1:18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</row>
    <row r="438" spans="1:18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</row>
    <row r="439" spans="1:18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</row>
    <row r="440" spans="1:18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</row>
    <row r="441" spans="1:18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</row>
    <row r="442" spans="1:18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</row>
    <row r="443" spans="1:18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</row>
    <row r="444" spans="1:18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</row>
    <row r="445" spans="1:18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</row>
    <row r="446" spans="1:18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</row>
    <row r="447" spans="1:18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</row>
    <row r="448" spans="1:18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</row>
    <row r="449" spans="1:18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</row>
    <row r="450" spans="1:18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</row>
    <row r="451" spans="1:18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</row>
    <row r="452" spans="1:18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</row>
    <row r="453" spans="1:18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</row>
    <row r="454" spans="1:18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</row>
    <row r="455" spans="1:18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</row>
    <row r="456" spans="1:18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</row>
    <row r="457" spans="1:18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</row>
    <row r="458" spans="1:18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</row>
    <row r="459" spans="1:18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</row>
    <row r="460" spans="1:18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</row>
    <row r="461" spans="1:18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</row>
    <row r="462" spans="1:18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</row>
    <row r="463" spans="1:18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</row>
    <row r="464" spans="1:18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</row>
    <row r="465" spans="1:18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</row>
    <row r="466" spans="1:18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</row>
    <row r="467" spans="1:18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</row>
    <row r="468" spans="1:18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</row>
    <row r="469" spans="1:18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</row>
    <row r="470" spans="1:18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</row>
    <row r="471" spans="1:18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</row>
    <row r="472" spans="1:18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</row>
    <row r="473" spans="1:18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</row>
    <row r="474" spans="1:18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</row>
    <row r="475" spans="1:18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</row>
    <row r="476" spans="1:18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</row>
    <row r="477" spans="1:18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</row>
    <row r="478" spans="1:18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</row>
    <row r="479" spans="1:18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</row>
    <row r="480" spans="1:18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</row>
    <row r="481" spans="1:18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</row>
    <row r="482" spans="1:18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</row>
    <row r="483" spans="1:18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</row>
    <row r="484" spans="1:18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</row>
    <row r="485" spans="1:18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</row>
    <row r="486" spans="1:18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</row>
    <row r="487" spans="1:18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</row>
    <row r="488" spans="1:18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</row>
    <row r="489" spans="1:18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</row>
    <row r="490" spans="1:18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</row>
    <row r="491" spans="1:18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</row>
    <row r="492" spans="1:18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</row>
    <row r="493" spans="1:18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</row>
    <row r="494" spans="1:18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</row>
    <row r="495" spans="1:18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</row>
    <row r="496" spans="1:18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</row>
    <row r="497" spans="1:18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</row>
    <row r="498" spans="1:18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</row>
    <row r="499" spans="1:18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</row>
    <row r="500" spans="1:18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</row>
    <row r="501" spans="1:18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</row>
    <row r="502" spans="1:18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</row>
    <row r="503" spans="1:18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</row>
    <row r="504" spans="1:18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</row>
    <row r="505" spans="1:18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</row>
    <row r="506" spans="1:18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</row>
    <row r="507" spans="1:18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</row>
    <row r="508" spans="1:18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</row>
    <row r="509" spans="1:18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</row>
    <row r="510" spans="1:18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</row>
    <row r="511" spans="1:18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</row>
    <row r="512" spans="1:18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</row>
    <row r="513" spans="1:18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</row>
    <row r="514" spans="1:18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</row>
    <row r="515" spans="1:18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</row>
    <row r="516" spans="1:18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</row>
    <row r="517" spans="1:18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</row>
    <row r="518" spans="1:18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</row>
    <row r="519" spans="1:18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</row>
    <row r="520" spans="1:18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</row>
    <row r="521" spans="1:18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</row>
    <row r="522" spans="1:18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</row>
    <row r="523" spans="1:18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</row>
    <row r="524" spans="1:18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</row>
    <row r="525" spans="1:18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</row>
    <row r="526" spans="1:18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</row>
    <row r="527" spans="1:18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</row>
    <row r="528" spans="1:18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</row>
    <row r="529" spans="1:18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</row>
    <row r="530" spans="1:18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</row>
    <row r="531" spans="1:18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</row>
    <row r="532" spans="1:18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</row>
    <row r="533" spans="1:18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</row>
    <row r="534" spans="1:18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</row>
    <row r="535" spans="1:18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</row>
    <row r="536" spans="1:18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</row>
    <row r="537" spans="1:18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</row>
    <row r="538" spans="1:18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</row>
    <row r="539" spans="1:18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</row>
    <row r="540" spans="1:18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</row>
    <row r="541" spans="1:18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</row>
    <row r="542" spans="1:18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</row>
    <row r="543" spans="1:18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</row>
    <row r="544" spans="1:18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</row>
    <row r="545" spans="1:18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</row>
    <row r="546" spans="1:18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</row>
    <row r="547" spans="1:18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</row>
    <row r="548" spans="1:18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</row>
    <row r="549" spans="1:18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</row>
    <row r="550" spans="1:18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</row>
    <row r="551" spans="1:18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</row>
    <row r="552" spans="1:18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</row>
    <row r="553" spans="1:18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</row>
    <row r="554" spans="1:18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</row>
    <row r="555" spans="1:18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</row>
    <row r="556" spans="1:18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</row>
    <row r="557" spans="1:18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</row>
    <row r="558" spans="1:18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</row>
    <row r="559" spans="1:18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</row>
    <row r="560" spans="1:18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</row>
    <row r="561" spans="1:18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</row>
    <row r="562" spans="1:18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</row>
    <row r="563" spans="1:18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</row>
    <row r="564" spans="1:18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</row>
    <row r="565" spans="1:18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</row>
    <row r="566" spans="1:18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</row>
    <row r="567" spans="1:18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</row>
    <row r="568" spans="1:18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</row>
    <row r="569" spans="1:18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</row>
    <row r="570" spans="1:18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</row>
    <row r="571" spans="1:18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</row>
    <row r="572" spans="1:18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</row>
    <row r="573" spans="1:18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</row>
    <row r="574" spans="1:18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</row>
    <row r="575" spans="1:18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</row>
    <row r="576" spans="1:18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</row>
    <row r="577" spans="1:18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</row>
    <row r="578" spans="1:18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</row>
    <row r="579" spans="1:18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</row>
    <row r="580" spans="1:18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</row>
    <row r="581" spans="1:18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</row>
    <row r="582" spans="1:18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</row>
    <row r="583" spans="1:18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</row>
    <row r="584" spans="1:18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</row>
    <row r="585" spans="1:18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</row>
    <row r="586" spans="1:18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</row>
    <row r="587" spans="1:18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</row>
    <row r="588" spans="1:18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</row>
    <row r="589" spans="1:18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</row>
    <row r="590" spans="1:18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</row>
    <row r="591" spans="1:18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</row>
    <row r="592" spans="1:18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</row>
    <row r="593" spans="1:18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</row>
    <row r="594" spans="1:18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</row>
    <row r="595" spans="1:18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</row>
    <row r="596" spans="1:18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</row>
    <row r="597" spans="1:18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</row>
    <row r="598" spans="1:18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</row>
    <row r="599" spans="1:18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</row>
    <row r="600" spans="1:18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</row>
    <row r="601" spans="1:18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</row>
    <row r="602" spans="1:18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</row>
    <row r="603" spans="1:18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</row>
    <row r="604" spans="1:18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</row>
    <row r="605" spans="1:18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</row>
    <row r="606" spans="1:18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</row>
    <row r="607" spans="1:18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</row>
    <row r="608" spans="1:18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</row>
    <row r="609" spans="1:18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</row>
    <row r="610" spans="1:18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</row>
    <row r="611" spans="1:18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</row>
    <row r="612" spans="1:18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</row>
    <row r="613" spans="1:18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</row>
    <row r="614" spans="1:18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</row>
    <row r="615" spans="1:18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</row>
    <row r="616" spans="1:18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</row>
    <row r="617" spans="1:18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</row>
    <row r="618" spans="1:18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</row>
    <row r="619" spans="1:18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</row>
    <row r="620" spans="1:18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</row>
    <row r="621" spans="1:18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</row>
    <row r="622" spans="1:18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</row>
    <row r="623" spans="1:18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</row>
    <row r="624" spans="1:18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</row>
    <row r="625" spans="1:18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</row>
    <row r="626" spans="1:18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</row>
    <row r="627" spans="1:18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</row>
    <row r="628" spans="1:18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</row>
    <row r="629" spans="1:18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</row>
    <row r="630" spans="1:18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</row>
    <row r="631" spans="1:18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</row>
    <row r="632" spans="1:18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</row>
    <row r="633" spans="1:18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</row>
    <row r="634" spans="1:18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</row>
    <row r="635" spans="1:18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</row>
    <row r="636" spans="1:18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</row>
    <row r="637" spans="1:18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</row>
    <row r="638" spans="1:18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</row>
    <row r="639" spans="1:18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</row>
    <row r="640" spans="1:18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</row>
    <row r="641" spans="1:18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</row>
    <row r="642" spans="1:18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</row>
    <row r="643" spans="1:18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</row>
    <row r="644" spans="1:18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</row>
    <row r="645" spans="1:18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</row>
    <row r="646" spans="1:18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</row>
    <row r="647" spans="1:18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</row>
    <row r="648" spans="1:18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</row>
    <row r="649" spans="1:18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</row>
    <row r="650" spans="1:18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</row>
    <row r="651" spans="1:18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</row>
    <row r="652" spans="1:18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</row>
    <row r="653" spans="1:18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</row>
    <row r="654" spans="1:18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</row>
    <row r="655" spans="1:18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</row>
    <row r="656" spans="1:18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</row>
    <row r="657" spans="1:18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</row>
    <row r="658" spans="1:18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</row>
    <row r="659" spans="1:18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</row>
    <row r="660" spans="1:18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</row>
    <row r="661" spans="1:18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</row>
    <row r="662" spans="1:18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</row>
    <row r="663" spans="1:18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</row>
    <row r="664" spans="1:18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</row>
    <row r="665" spans="1:18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</row>
    <row r="666" spans="1:18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</row>
    <row r="667" spans="1:18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</row>
    <row r="668" spans="1:18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</row>
    <row r="669" spans="1:18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</row>
    <row r="670" spans="1:18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</row>
    <row r="671" spans="1:18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</row>
    <row r="672" spans="1:18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</row>
    <row r="673" spans="1:18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</row>
    <row r="674" spans="1:18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</row>
    <row r="675" spans="1:18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</row>
    <row r="676" spans="1:18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</row>
    <row r="677" spans="1:18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</row>
    <row r="678" spans="1:18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</row>
    <row r="679" spans="1:18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</row>
    <row r="680" spans="1:18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</row>
    <row r="681" spans="1:18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</row>
    <row r="682" spans="1:18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</row>
    <row r="683" spans="1:18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</row>
    <row r="684" spans="1:18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</row>
    <row r="685" spans="1:18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</row>
    <row r="686" spans="1:18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</row>
    <row r="687" spans="1:18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</row>
    <row r="688" spans="1:18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</row>
    <row r="689" spans="1:18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</row>
    <row r="690" spans="1:18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</row>
    <row r="691" spans="1:18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</row>
    <row r="692" spans="1:18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</row>
    <row r="693" spans="1:18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</row>
    <row r="694" spans="1:18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</row>
    <row r="695" spans="1:18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</row>
    <row r="696" spans="1:18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</row>
    <row r="697" spans="1:18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</row>
    <row r="698" spans="1:18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</row>
    <row r="699" spans="1:18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</row>
    <row r="700" spans="1:18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</row>
    <row r="701" spans="1:18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</row>
    <row r="702" spans="1:18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</row>
    <row r="703" spans="1:18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</row>
    <row r="704" spans="1:18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</row>
    <row r="705" spans="1:18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</row>
    <row r="706" spans="1:18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</row>
    <row r="707" spans="1:18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</row>
    <row r="708" spans="1:18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</row>
    <row r="709" spans="1:18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</row>
    <row r="710" spans="1:18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</row>
    <row r="711" spans="1:18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</row>
    <row r="712" spans="1:18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</row>
    <row r="713" spans="1:18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</row>
    <row r="714" spans="1:18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</row>
    <row r="715" spans="1:18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</row>
    <row r="716" spans="1:18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</row>
    <row r="717" spans="1:18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</row>
    <row r="718" spans="1:18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</row>
    <row r="719" spans="1:18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</row>
    <row r="720" spans="1:18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</row>
    <row r="721" spans="1:18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</row>
    <row r="722" spans="1:18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</row>
    <row r="723" spans="1:18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</row>
    <row r="724" spans="1:18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</row>
    <row r="725" spans="1:18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</row>
    <row r="726" spans="1:18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</row>
    <row r="727" spans="1:18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</row>
    <row r="728" spans="1:18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</row>
    <row r="729" spans="1:18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</row>
    <row r="730" spans="1:18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</row>
    <row r="731" spans="1:18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</row>
    <row r="732" spans="1:18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</row>
    <row r="733" spans="1:18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</row>
    <row r="734" spans="1:18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</row>
    <row r="735" spans="1:18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</row>
    <row r="736" spans="1:18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</row>
    <row r="737" spans="1:18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</row>
    <row r="738" spans="1:18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</row>
    <row r="739" spans="1:18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</row>
    <row r="740" spans="1:18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</row>
    <row r="741" spans="1:18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</row>
    <row r="742" spans="1:18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</row>
    <row r="743" spans="1:18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</row>
    <row r="744" spans="1:18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</row>
    <row r="745" spans="1:18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</row>
    <row r="746" spans="1:18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</row>
    <row r="747" spans="1:18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</row>
    <row r="748" spans="1:18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</row>
    <row r="749" spans="1:18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</row>
    <row r="750" spans="1:18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</row>
    <row r="751" spans="1:18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</row>
    <row r="752" spans="1:18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</row>
    <row r="753" spans="1:18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</row>
    <row r="754" spans="1:18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</row>
    <row r="755" spans="1:18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</row>
    <row r="756" spans="1:18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</row>
    <row r="757" spans="1:18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</row>
    <row r="758" spans="1:18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</row>
    <row r="759" spans="1:18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</row>
    <row r="760" spans="1:18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</row>
    <row r="761" spans="1:18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</row>
    <row r="762" spans="1:18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</row>
    <row r="763" spans="1:18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</row>
    <row r="764" spans="1:18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</row>
    <row r="765" spans="1:18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</row>
    <row r="766" spans="1:18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</row>
    <row r="767" spans="1:18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</row>
    <row r="768" spans="1:18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</row>
    <row r="769" spans="1:18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</row>
    <row r="770" spans="1:18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</row>
    <row r="771" spans="1:18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</row>
    <row r="772" spans="1:18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</row>
    <row r="773" spans="1:18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</row>
    <row r="774" spans="1:18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</row>
    <row r="775" spans="1:18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</row>
    <row r="776" spans="1:18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</row>
    <row r="777" spans="1:18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</row>
    <row r="778" spans="1:18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</row>
    <row r="779" spans="1:18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</row>
    <row r="780" spans="1:18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</row>
    <row r="781" spans="1:18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</row>
    <row r="782" spans="1:18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</row>
    <row r="783" spans="1:18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</row>
    <row r="784" spans="1:18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</row>
    <row r="785" spans="1:18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</row>
    <row r="786" spans="1:18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</row>
    <row r="787" spans="1:18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</row>
    <row r="788" spans="1:18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</row>
    <row r="789" spans="1:18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</row>
    <row r="790" spans="1:18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</row>
    <row r="791" spans="1:18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</row>
    <row r="792" spans="1:18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</row>
    <row r="793" spans="1:18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</row>
    <row r="794" spans="1:18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</row>
    <row r="795" spans="1:18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</row>
    <row r="796" spans="1:18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</row>
    <row r="797" spans="1:18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</row>
    <row r="798" spans="1:18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</row>
    <row r="799" spans="1:18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</row>
    <row r="800" spans="1:18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</row>
    <row r="801" spans="1:18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</row>
    <row r="802" spans="1:18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</row>
    <row r="803" spans="1:18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</row>
    <row r="804" spans="1:18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</row>
    <row r="805" spans="1:18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</row>
    <row r="806" spans="1:18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</row>
    <row r="807" spans="1:18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</row>
    <row r="808" spans="1:18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</row>
    <row r="809" spans="1:18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</row>
    <row r="810" spans="1:18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</row>
    <row r="811" spans="1:18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</row>
    <row r="812" spans="1:18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</row>
    <row r="813" spans="1:18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</row>
    <row r="814" spans="1:18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</row>
    <row r="815" spans="1:18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</row>
    <row r="816" spans="1:18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</row>
    <row r="817" spans="1:18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</row>
    <row r="818" spans="1:18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</row>
    <row r="819" spans="1:18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</row>
    <row r="820" spans="1:18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</row>
    <row r="821" spans="1:18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</row>
    <row r="822" spans="1:18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</row>
    <row r="823" spans="1:18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</row>
    <row r="824" spans="1:18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</row>
    <row r="825" spans="1:18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</row>
    <row r="826" spans="1:18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</row>
    <row r="827" spans="1:18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</row>
    <row r="828" spans="1:18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</row>
    <row r="829" spans="1:18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</row>
    <row r="830" spans="1:18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</row>
    <row r="831" spans="1:18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</row>
    <row r="832" spans="1:18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</row>
    <row r="833" spans="1:18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</row>
    <row r="834" spans="1:18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</row>
    <row r="835" spans="1:18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</row>
    <row r="836" spans="1:18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</row>
    <row r="837" spans="1:18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</row>
    <row r="838" spans="1:18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</row>
    <row r="839" spans="1:18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</row>
    <row r="840" spans="1:18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</row>
    <row r="841" spans="1:18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</row>
    <row r="842" spans="1:18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</row>
    <row r="843" spans="1:18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</row>
    <row r="844" spans="1:18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</row>
    <row r="845" spans="1:18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</row>
    <row r="846" spans="1:18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</row>
    <row r="847" spans="1:18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</row>
    <row r="848" spans="1:18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</row>
    <row r="849" spans="1:18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</row>
    <row r="850" spans="1:18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</row>
    <row r="851" spans="1:18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</row>
    <row r="852" spans="1:18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</row>
    <row r="853" spans="1:18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</row>
    <row r="854" spans="1:18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</row>
    <row r="855" spans="1:18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</row>
    <row r="856" spans="1:18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</row>
    <row r="857" spans="1:18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</row>
    <row r="858" spans="1:18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</row>
    <row r="859" spans="1:18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</row>
    <row r="860" spans="1:18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</row>
    <row r="861" spans="1:18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</row>
    <row r="862" spans="1:18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</row>
    <row r="863" spans="1:18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</row>
    <row r="864" spans="1:18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</row>
    <row r="865" spans="1:18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</row>
    <row r="866" spans="1:18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</row>
    <row r="867" spans="1:18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</row>
    <row r="868" spans="1:18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</row>
    <row r="869" spans="1:18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</row>
    <row r="870" spans="1:18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</row>
    <row r="871" spans="1:18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</row>
    <row r="872" spans="1:18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</row>
    <row r="873" spans="1:18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</row>
    <row r="874" spans="1:18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</row>
    <row r="875" spans="1:18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</row>
    <row r="876" spans="1:18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</row>
    <row r="877" spans="1:18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</row>
    <row r="878" spans="1:18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</row>
    <row r="879" spans="1:18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</row>
    <row r="880" spans="1:18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</row>
    <row r="881" spans="1:18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</row>
    <row r="882" spans="1:18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</row>
    <row r="883" spans="1:18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</row>
    <row r="884" spans="1:18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</row>
    <row r="885" spans="1:18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</row>
    <row r="886" spans="1:18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</row>
    <row r="887" spans="1:18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</row>
    <row r="888" spans="1:18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</row>
    <row r="889" spans="1:18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</row>
    <row r="890" spans="1:18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</row>
    <row r="891" spans="1:18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</row>
    <row r="892" spans="1:18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</row>
    <row r="893" spans="1:18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</row>
    <row r="894" spans="1:18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</row>
    <row r="895" spans="1:18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</row>
    <row r="896" spans="1:18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</row>
    <row r="897" spans="1:18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</row>
    <row r="898" spans="1:18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</row>
    <row r="899" spans="1:18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</row>
    <row r="900" spans="1:18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</row>
    <row r="901" spans="1:18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</row>
    <row r="902" spans="1:18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</row>
    <row r="903" spans="1:18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</row>
    <row r="904" spans="1:18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</row>
    <row r="905" spans="1:18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</row>
    <row r="906" spans="1:18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</row>
    <row r="907" spans="1:18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</row>
    <row r="908" spans="1:18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</row>
    <row r="909" spans="1:18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</row>
    <row r="910" spans="1:18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</row>
    <row r="911" spans="1:18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</row>
    <row r="912" spans="1:18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</row>
    <row r="913" spans="1:18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</row>
    <row r="914" spans="1:18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</row>
    <row r="915" spans="1:18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</row>
    <row r="916" spans="1:18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</row>
    <row r="917" spans="1:18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</row>
    <row r="918" spans="1:18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</row>
    <row r="919" spans="1:18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</row>
    <row r="920" spans="1:18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</row>
    <row r="921" spans="1:18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</row>
    <row r="922" spans="1:18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</row>
    <row r="923" spans="1:18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</row>
    <row r="924" spans="1:18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</row>
    <row r="925" spans="1:18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</row>
    <row r="926" spans="1:18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</row>
    <row r="927" spans="1:18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</row>
    <row r="928" spans="1:18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</row>
    <row r="929" spans="1:18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</row>
    <row r="930" spans="1:18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</row>
    <row r="931" spans="1:18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</row>
    <row r="932" spans="1:18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</row>
    <row r="933" spans="1:18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</row>
    <row r="934" spans="1:18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</row>
    <row r="935" spans="1:18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</row>
    <row r="936" spans="1:18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</row>
    <row r="937" spans="1:18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</row>
    <row r="938" spans="1:18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</row>
    <row r="939" spans="1:18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</row>
    <row r="940" spans="1:18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</row>
    <row r="941" spans="1:18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</row>
    <row r="942" spans="1:18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</row>
    <row r="943" spans="1:18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</row>
    <row r="944" spans="1:18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</row>
    <row r="945" spans="1:18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</row>
    <row r="946" spans="1:18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</row>
    <row r="947" spans="1:18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</row>
    <row r="948" spans="1:18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</row>
    <row r="949" spans="1:18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</row>
    <row r="950" spans="1:18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</row>
    <row r="951" spans="1:18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</row>
    <row r="952" spans="1:18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</row>
    <row r="953" spans="1:18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</row>
    <row r="954" spans="1:18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</row>
    <row r="955" spans="1:18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</row>
    <row r="956" spans="1:18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</row>
    <row r="957" spans="1:18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</row>
    <row r="958" spans="1:18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</row>
    <row r="959" spans="1:18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</row>
    <row r="960" spans="1:18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</row>
    <row r="961" spans="1:18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</row>
    <row r="962" spans="1:18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</row>
    <row r="963" spans="1:18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</row>
    <row r="964" spans="1:18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</row>
    <row r="965" spans="1:18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</row>
    <row r="966" spans="1:18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</row>
    <row r="967" spans="1:18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</row>
    <row r="968" spans="1:18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</row>
    <row r="969" spans="1:18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</row>
    <row r="970" spans="1:18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</row>
    <row r="971" spans="1:18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</row>
    <row r="972" spans="1:18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</row>
    <row r="973" spans="1:18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</row>
    <row r="974" spans="1:18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</row>
    <row r="975" spans="1:18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</row>
    <row r="976" spans="1:18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</row>
    <row r="977" spans="1:18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</row>
    <row r="978" spans="1:18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</row>
    <row r="979" spans="1:18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</row>
    <row r="980" spans="1:18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</row>
    <row r="981" spans="1:18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</row>
    <row r="982" spans="1:18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</row>
    <row r="983" spans="1:18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</row>
    <row r="984" spans="1:18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</row>
    <row r="985" spans="1:18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</row>
    <row r="986" spans="1:18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</row>
    <row r="987" spans="1:18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</row>
    <row r="988" spans="1:18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</row>
    <row r="989" spans="1:18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</row>
    <row r="990" spans="1:18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</row>
    <row r="991" spans="1:18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</row>
    <row r="992" spans="1:18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</row>
    <row r="993" spans="1:18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</row>
    <row r="994" spans="1:18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</row>
    <row r="995" spans="1:18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</row>
    <row r="996" spans="1:18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</row>
    <row r="997" spans="1:18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</row>
    <row r="998" spans="1:18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</row>
    <row r="999" spans="1:18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</row>
    <row r="1000" spans="1:18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</row>
    <row r="1001" spans="1:18" x14ac:dyDescent="0.25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</row>
  </sheetData>
  <sortState xmlns:xlrd2="http://schemas.microsoft.com/office/spreadsheetml/2017/richdata2" ref="A2:Q58">
    <sortCondition ref="A2:A58"/>
    <sortCondition ref="B2:B58"/>
  </sortState>
  <printOptions horizontalCentered="1" gridLines="1"/>
  <pageMargins left="0.25" right="0.25" top="0.75" bottom="0.75" header="0" footer="0"/>
  <pageSetup paperSize="9" orientation="portrait"/>
  <headerFooter>
    <oddHeader>&amp;L&amp;D&amp;CLIST OF STUDENTS PAYMENT STATUS&amp;R&amp;T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1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C29" sqref="C29"/>
    </sheetView>
  </sheetViews>
  <sheetFormatPr defaultColWidth="14.42578125" defaultRowHeight="15" customHeight="1" x14ac:dyDescent="0.25"/>
  <cols>
    <col min="1" max="1" width="15.85546875" customWidth="1"/>
    <col min="2" max="2" width="14.5703125" customWidth="1"/>
    <col min="3" max="3" width="54.5703125" customWidth="1"/>
    <col min="4" max="26" width="24.140625" customWidth="1"/>
  </cols>
  <sheetData>
    <row r="1" spans="1:26" x14ac:dyDescent="0.25">
      <c r="A1" s="82" t="s">
        <v>247</v>
      </c>
      <c r="B1" s="100" t="s">
        <v>250</v>
      </c>
      <c r="C1" s="82" t="s">
        <v>251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5">
      <c r="A2" s="101" t="s">
        <v>744</v>
      </c>
      <c r="B2" s="102">
        <v>5000</v>
      </c>
      <c r="C2" s="87" t="s">
        <v>627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25">
      <c r="A3" s="101" t="s">
        <v>745</v>
      </c>
      <c r="B3" s="102">
        <v>14000</v>
      </c>
      <c r="C3" s="87" t="s">
        <v>575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25">
      <c r="A4" s="101" t="s">
        <v>746</v>
      </c>
      <c r="B4" s="102">
        <v>20000</v>
      </c>
      <c r="C4" s="87" t="s">
        <v>546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25">
      <c r="A5" s="101" t="s">
        <v>747</v>
      </c>
      <c r="B5" s="103">
        <v>36000</v>
      </c>
      <c r="C5" s="87" t="s">
        <v>660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25">
      <c r="A6" s="101" t="s">
        <v>748</v>
      </c>
      <c r="B6" s="103">
        <v>30000</v>
      </c>
      <c r="C6" s="87" t="s">
        <v>569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5">
      <c r="A7" s="101" t="s">
        <v>748</v>
      </c>
      <c r="B7" s="103">
        <v>22500</v>
      </c>
      <c r="C7" s="87" t="s">
        <v>572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25">
      <c r="A8" s="101" t="s">
        <v>748</v>
      </c>
      <c r="B8" s="103">
        <v>10500</v>
      </c>
      <c r="C8" s="87" t="s">
        <v>539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5">
      <c r="A9" s="101" t="s">
        <v>749</v>
      </c>
      <c r="B9" s="103">
        <v>25000</v>
      </c>
      <c r="C9" s="87" t="s">
        <v>625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5">
      <c r="A10" s="101" t="s">
        <v>750</v>
      </c>
      <c r="B10" s="103">
        <v>20230</v>
      </c>
      <c r="C10" s="87" t="s">
        <v>647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 x14ac:dyDescent="0.25">
      <c r="A11" s="101" t="s">
        <v>750</v>
      </c>
      <c r="B11" s="103">
        <v>21500</v>
      </c>
      <c r="C11" s="87" t="s">
        <v>589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25">
      <c r="A12" s="101" t="s">
        <v>750</v>
      </c>
      <c r="B12" s="103">
        <v>34000</v>
      </c>
      <c r="C12" s="87" t="s">
        <v>559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5">
      <c r="A13" s="101" t="s">
        <v>751</v>
      </c>
      <c r="B13" s="103">
        <v>10000</v>
      </c>
      <c r="C13" s="87" t="s">
        <v>539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25">
      <c r="A14" s="101" t="s">
        <v>751</v>
      </c>
      <c r="B14" s="103">
        <v>21500</v>
      </c>
      <c r="C14" s="87" t="s">
        <v>566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25">
      <c r="A15" s="85" t="s">
        <v>752</v>
      </c>
      <c r="B15" s="102">
        <v>40000</v>
      </c>
      <c r="C15" s="87" t="s">
        <v>621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25">
      <c r="A16" s="85" t="s">
        <v>753</v>
      </c>
      <c r="B16" s="102">
        <v>21500</v>
      </c>
      <c r="C16" s="87" t="s">
        <v>601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25">
      <c r="A17" s="85" t="s">
        <v>754</v>
      </c>
      <c r="B17" s="102">
        <v>20000</v>
      </c>
      <c r="C17" s="87" t="s">
        <v>592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25">
      <c r="A18" s="85" t="s">
        <v>754</v>
      </c>
      <c r="B18" s="102">
        <v>12500</v>
      </c>
      <c r="C18" s="87" t="s">
        <v>755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25">
      <c r="A19" s="85" t="s">
        <v>756</v>
      </c>
      <c r="B19" s="102">
        <v>50000</v>
      </c>
      <c r="C19" s="87" t="s">
        <v>553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25">
      <c r="A20" s="85" t="s">
        <v>757</v>
      </c>
      <c r="B20" s="102">
        <v>32000</v>
      </c>
      <c r="C20" s="87" t="s">
        <v>627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5">
      <c r="A21" s="85" t="s">
        <v>757</v>
      </c>
      <c r="B21" s="102">
        <v>20000</v>
      </c>
      <c r="C21" s="87" t="s">
        <v>382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5">
      <c r="A22" s="85" t="s">
        <v>757</v>
      </c>
      <c r="B22" s="102">
        <v>20000</v>
      </c>
      <c r="C22" s="87" t="s">
        <v>595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5">
      <c r="A23" s="85" t="s">
        <v>758</v>
      </c>
      <c r="B23" s="102">
        <v>13750</v>
      </c>
      <c r="C23" s="87" t="s">
        <v>615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5">
      <c r="A24" s="85" t="s">
        <v>758</v>
      </c>
      <c r="B24" s="102">
        <v>12000</v>
      </c>
      <c r="C24" s="87" t="s">
        <v>636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5">
      <c r="A25" s="85" t="s">
        <v>759</v>
      </c>
      <c r="B25" s="102">
        <v>20000</v>
      </c>
      <c r="C25" s="87" t="s">
        <v>592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5">
      <c r="A26" s="85" t="s">
        <v>759</v>
      </c>
      <c r="B26" s="102">
        <v>20000</v>
      </c>
      <c r="C26" s="87" t="s">
        <v>535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5">
      <c r="A27" s="85" t="s">
        <v>759</v>
      </c>
      <c r="B27" s="102">
        <v>20000</v>
      </c>
      <c r="C27" s="87" t="s">
        <v>598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5">
      <c r="A28" s="85" t="s">
        <v>760</v>
      </c>
      <c r="B28" s="102">
        <v>10000</v>
      </c>
      <c r="C28" s="87" t="s">
        <v>608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5">
      <c r="A29" s="85" t="s">
        <v>761</v>
      </c>
      <c r="B29" s="102">
        <v>20000</v>
      </c>
      <c r="C29" s="87" t="s">
        <v>762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5">
      <c r="A30" s="85" t="s">
        <v>761</v>
      </c>
      <c r="B30" s="102">
        <v>15000</v>
      </c>
      <c r="C30" s="87" t="s">
        <v>763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5">
      <c r="A31" s="85" t="s">
        <v>764</v>
      </c>
      <c r="B31" s="102">
        <v>27500</v>
      </c>
      <c r="C31" s="87" t="s">
        <v>556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5">
      <c r="A32" s="85" t="s">
        <v>764</v>
      </c>
      <c r="B32" s="102">
        <v>25000</v>
      </c>
      <c r="C32" s="87" t="s">
        <v>563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5">
      <c r="A33" s="85" t="s">
        <v>765</v>
      </c>
      <c r="B33" s="102">
        <v>20000</v>
      </c>
      <c r="C33" s="87" t="s">
        <v>816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5">
      <c r="A34" s="85" t="s">
        <v>766</v>
      </c>
      <c r="B34" s="102">
        <v>21000</v>
      </c>
      <c r="C34" s="87" t="s">
        <v>581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5">
      <c r="A35" s="5" t="s">
        <v>767</v>
      </c>
      <c r="B35" s="102">
        <v>20000</v>
      </c>
      <c r="C35" s="87" t="s">
        <v>611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5">
      <c r="A36" s="5" t="s">
        <v>768</v>
      </c>
      <c r="B36" s="102">
        <v>23000</v>
      </c>
      <c r="C36" s="87" t="s">
        <v>636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5">
      <c r="A37" s="5" t="s">
        <v>769</v>
      </c>
      <c r="B37" s="102">
        <v>30000</v>
      </c>
      <c r="C37" s="48" t="s">
        <v>647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5">
      <c r="A38" s="5" t="s">
        <v>769</v>
      </c>
      <c r="B38" s="102">
        <v>11500</v>
      </c>
      <c r="C38" s="5" t="s">
        <v>307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5">
      <c r="A39" s="5" t="s">
        <v>770</v>
      </c>
      <c r="B39" s="102">
        <v>11000</v>
      </c>
      <c r="C39" s="5" t="s">
        <v>382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5">
      <c r="A40" s="5" t="s">
        <v>770</v>
      </c>
      <c r="B40" s="102">
        <v>10000</v>
      </c>
      <c r="C40" s="5" t="s">
        <v>771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5">
      <c r="A41" s="85" t="s">
        <v>772</v>
      </c>
      <c r="B41" s="102">
        <v>7520</v>
      </c>
      <c r="C41" s="87" t="s">
        <v>621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5">
      <c r="A42" s="85" t="s">
        <v>773</v>
      </c>
      <c r="B42" s="102">
        <v>30000</v>
      </c>
      <c r="C42" s="87" t="s">
        <v>660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5">
      <c r="A43" s="85" t="s">
        <v>773</v>
      </c>
      <c r="B43" s="102">
        <v>43000</v>
      </c>
      <c r="C43" s="87" t="s">
        <v>651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85" t="s">
        <v>774</v>
      </c>
      <c r="B44" s="102">
        <v>25000</v>
      </c>
      <c r="C44" s="87" t="s">
        <v>775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5">
      <c r="A45" s="85" t="s">
        <v>776</v>
      </c>
      <c r="B45" s="102">
        <v>20000</v>
      </c>
      <c r="C45" s="87" t="s">
        <v>556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5">
      <c r="A46" s="85" t="s">
        <v>777</v>
      </c>
      <c r="B46" s="102">
        <v>10000</v>
      </c>
      <c r="C46" s="87" t="s">
        <v>553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5">
      <c r="A47" s="85" t="s">
        <v>778</v>
      </c>
      <c r="B47" s="102">
        <v>10000</v>
      </c>
      <c r="C47" s="87" t="s">
        <v>382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5">
      <c r="A48" s="88" t="s">
        <v>778</v>
      </c>
      <c r="B48" s="102">
        <v>5500</v>
      </c>
      <c r="C48" s="87" t="s">
        <v>813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5">
      <c r="A49" s="88" t="s">
        <v>778</v>
      </c>
      <c r="B49" s="104">
        <v>10000</v>
      </c>
      <c r="C49" s="87" t="s">
        <v>755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5">
      <c r="A50" s="88" t="s">
        <v>779</v>
      </c>
      <c r="B50" s="104">
        <v>30000</v>
      </c>
      <c r="C50" s="87" t="s">
        <v>780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88" t="s">
        <v>781</v>
      </c>
      <c r="B51" s="105">
        <v>30000</v>
      </c>
      <c r="C51" s="90" t="s">
        <v>647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85" t="s">
        <v>781</v>
      </c>
      <c r="B52" s="102">
        <v>20000</v>
      </c>
      <c r="C52" s="87" t="s">
        <v>627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5">
      <c r="A53" s="88" t="s">
        <v>781</v>
      </c>
      <c r="B53" s="105">
        <v>6250</v>
      </c>
      <c r="C53" s="90" t="s">
        <v>581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5">
      <c r="A54" s="88" t="s">
        <v>782</v>
      </c>
      <c r="B54" s="104">
        <v>11500</v>
      </c>
      <c r="C54" s="88" t="s">
        <v>771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5">
      <c r="A55" s="88" t="s">
        <v>782</v>
      </c>
      <c r="B55" s="104">
        <v>34500</v>
      </c>
      <c r="C55" s="88" t="s">
        <v>553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5">
      <c r="A56" s="88" t="s">
        <v>783</v>
      </c>
      <c r="B56" s="104">
        <v>7000</v>
      </c>
      <c r="C56" s="88" t="s">
        <v>595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5">
      <c r="A57" s="88" t="s">
        <v>784</v>
      </c>
      <c r="B57" s="104">
        <v>25000</v>
      </c>
      <c r="C57" s="88" t="s">
        <v>625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5">
      <c r="A58" s="88" t="s">
        <v>784</v>
      </c>
      <c r="B58" s="104">
        <v>12500</v>
      </c>
      <c r="C58" s="88" t="s">
        <v>535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5">
      <c r="A59" s="88" t="s">
        <v>785</v>
      </c>
      <c r="B59" s="104">
        <v>21500</v>
      </c>
      <c r="C59" s="88" t="s">
        <v>546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5">
      <c r="A60" s="88" t="s">
        <v>786</v>
      </c>
      <c r="B60" s="104">
        <v>24000</v>
      </c>
      <c r="C60" s="88" t="s">
        <v>816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5">
      <c r="A61" s="88" t="s">
        <v>787</v>
      </c>
      <c r="B61" s="102">
        <v>23000</v>
      </c>
      <c r="C61" s="87" t="s">
        <v>660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5">
      <c r="A62" s="88" t="s">
        <v>788</v>
      </c>
      <c r="B62" s="104">
        <v>15000</v>
      </c>
      <c r="C62" s="88" t="s">
        <v>575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5">
      <c r="A63" s="88" t="s">
        <v>788</v>
      </c>
      <c r="B63" s="104">
        <v>20000</v>
      </c>
      <c r="C63" s="87" t="s">
        <v>592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5">
      <c r="A64" s="88" t="s">
        <v>788</v>
      </c>
      <c r="B64" s="104">
        <v>15180</v>
      </c>
      <c r="C64" s="87" t="s">
        <v>598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5">
      <c r="A65" s="88" t="s">
        <v>788</v>
      </c>
      <c r="B65" s="104">
        <v>9500</v>
      </c>
      <c r="C65" s="88" t="s">
        <v>608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5">
      <c r="A66" s="88" t="s">
        <v>789</v>
      </c>
      <c r="B66" s="104">
        <v>5000</v>
      </c>
      <c r="C66" s="88" t="s">
        <v>601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5">
      <c r="A67" s="88" t="s">
        <v>790</v>
      </c>
      <c r="B67" s="104">
        <v>5000</v>
      </c>
      <c r="C67" s="88" t="s">
        <v>572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5">
      <c r="A68" s="88" t="s">
        <v>790</v>
      </c>
      <c r="B68" s="104">
        <v>25000</v>
      </c>
      <c r="C68" s="88" t="s">
        <v>636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5">
      <c r="A69" s="88" t="s">
        <v>790</v>
      </c>
      <c r="B69" s="104">
        <v>10000</v>
      </c>
      <c r="C69" s="88" t="s">
        <v>621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5">
      <c r="A70" s="88" t="s">
        <v>790</v>
      </c>
      <c r="B70" s="104">
        <v>15000</v>
      </c>
      <c r="C70" s="88" t="s">
        <v>307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5">
      <c r="A71" s="5" t="s">
        <v>791</v>
      </c>
      <c r="B71" s="104">
        <v>12500</v>
      </c>
      <c r="C71" s="48" t="s">
        <v>611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5">
      <c r="A72" s="5" t="s">
        <v>791</v>
      </c>
      <c r="B72" s="104">
        <v>10000</v>
      </c>
      <c r="C72" s="48" t="s">
        <v>539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5">
      <c r="A73" s="5" t="s">
        <v>791</v>
      </c>
      <c r="B73" s="104">
        <v>11000</v>
      </c>
      <c r="C73" s="48" t="s">
        <v>762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5">
      <c r="A74" s="5" t="s">
        <v>791</v>
      </c>
      <c r="B74" s="104">
        <v>5000</v>
      </c>
      <c r="C74" s="48" t="s">
        <v>559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5">
      <c r="A75" s="5" t="s">
        <v>792</v>
      </c>
      <c r="B75" s="104">
        <v>5000</v>
      </c>
      <c r="C75" s="48" t="s">
        <v>608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5">
      <c r="A76" s="5" t="s">
        <v>792</v>
      </c>
      <c r="B76" s="104">
        <v>20000</v>
      </c>
      <c r="C76" s="48" t="s">
        <v>615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5">
      <c r="A77" s="5" t="s">
        <v>792</v>
      </c>
      <c r="B77" s="104">
        <v>24000</v>
      </c>
      <c r="C77" s="48" t="s">
        <v>763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5">
      <c r="A78" s="5" t="s">
        <v>793</v>
      </c>
      <c r="B78" s="104">
        <v>5000</v>
      </c>
      <c r="C78" s="48" t="s">
        <v>589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5">
      <c r="A79" s="5" t="s">
        <v>794</v>
      </c>
      <c r="B79" s="104">
        <v>10000</v>
      </c>
      <c r="C79" s="88" t="s">
        <v>813</v>
      </c>
      <c r="D79" s="20"/>
      <c r="E79" s="20"/>
      <c r="F79" s="20"/>
      <c r="G79" s="106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5">
      <c r="A80" s="5" t="s">
        <v>795</v>
      </c>
      <c r="B80" s="104">
        <v>5000</v>
      </c>
      <c r="C80" s="87" t="s">
        <v>556</v>
      </c>
      <c r="D80" s="20"/>
      <c r="E80" s="20"/>
      <c r="F80" s="20"/>
      <c r="G80" s="106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5">
      <c r="A81" s="5" t="s">
        <v>795</v>
      </c>
      <c r="B81" s="104">
        <v>12500</v>
      </c>
      <c r="C81" s="88" t="s">
        <v>627</v>
      </c>
      <c r="D81" s="20"/>
      <c r="E81" s="20"/>
      <c r="F81" s="20"/>
      <c r="G81" s="106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5">
      <c r="A82" s="5" t="s">
        <v>796</v>
      </c>
      <c r="B82" s="107">
        <v>19500</v>
      </c>
      <c r="C82" s="108" t="s">
        <v>569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5">
      <c r="A83" s="5" t="s">
        <v>797</v>
      </c>
      <c r="B83" s="104">
        <v>5000</v>
      </c>
      <c r="C83" s="88" t="s">
        <v>771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5">
      <c r="A84" s="88" t="s">
        <v>798</v>
      </c>
      <c r="B84" s="104">
        <v>15000</v>
      </c>
      <c r="C84" s="88" t="s">
        <v>575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5">
      <c r="A85" s="88" t="s">
        <v>798</v>
      </c>
      <c r="B85" s="104">
        <v>15000</v>
      </c>
      <c r="C85" s="88" t="s">
        <v>636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5">
      <c r="A86" s="88" t="s">
        <v>799</v>
      </c>
      <c r="B86" s="104">
        <v>3750</v>
      </c>
      <c r="C86" s="88" t="s">
        <v>780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5">
      <c r="A87" s="88" t="s">
        <v>800</v>
      </c>
      <c r="B87" s="104">
        <v>5000</v>
      </c>
      <c r="C87" s="87" t="s">
        <v>382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5">
      <c r="A88" s="88" t="s">
        <v>800</v>
      </c>
      <c r="B88" s="104">
        <v>5000</v>
      </c>
      <c r="C88" s="88" t="s">
        <v>755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5">
      <c r="A89" s="88" t="s">
        <v>801</v>
      </c>
      <c r="B89" s="104">
        <v>7000</v>
      </c>
      <c r="C89" s="88" t="s">
        <v>802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5">
      <c r="A90" s="88" t="s">
        <v>803</v>
      </c>
      <c r="B90" s="104">
        <v>5000</v>
      </c>
      <c r="C90" s="88" t="s">
        <v>816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5">
      <c r="A91" s="88"/>
      <c r="B91" s="104"/>
      <c r="C91" s="88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5">
      <c r="A92" s="88"/>
      <c r="B92" s="104"/>
      <c r="C92" s="88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5">
      <c r="A93" s="88"/>
      <c r="B93" s="104"/>
      <c r="C93" s="88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5">
      <c r="A94" s="88"/>
      <c r="B94" s="104"/>
      <c r="C94" s="88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5">
      <c r="A95" s="88"/>
      <c r="B95" s="104"/>
      <c r="C95" s="88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5">
      <c r="A96" s="88"/>
      <c r="B96" s="104"/>
      <c r="C96" s="88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5">
      <c r="A97" s="88"/>
      <c r="B97" s="104"/>
      <c r="C97" s="88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5">
      <c r="A98" s="88"/>
      <c r="B98" s="104"/>
      <c r="C98" s="88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5">
      <c r="A99" s="88"/>
      <c r="B99" s="104"/>
      <c r="C99" s="88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5">
      <c r="A100" s="88"/>
      <c r="B100" s="104"/>
      <c r="C100" s="88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5">
      <c r="A101" s="88"/>
      <c r="B101" s="104"/>
      <c r="C101" s="88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5">
      <c r="A102" s="88"/>
      <c r="B102" s="104"/>
      <c r="C102" s="88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5">
      <c r="A103" s="88"/>
      <c r="B103" s="104"/>
      <c r="C103" s="88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5">
      <c r="A104" s="88"/>
      <c r="B104" s="104"/>
      <c r="C104" s="88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5">
      <c r="A105" s="88"/>
      <c r="B105" s="104"/>
      <c r="C105" s="88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5">
      <c r="A106" s="88"/>
      <c r="B106" s="104"/>
      <c r="C106" s="88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5">
      <c r="A107" s="88"/>
      <c r="B107" s="104"/>
      <c r="C107" s="88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5">
      <c r="A108" s="88"/>
      <c r="B108" s="104"/>
      <c r="C108" s="88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5">
      <c r="A109" s="88"/>
      <c r="B109" s="104"/>
      <c r="C109" s="88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5">
      <c r="A110" s="88"/>
      <c r="B110" s="104"/>
      <c r="C110" s="88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5">
      <c r="A111" s="88"/>
      <c r="B111" s="104"/>
      <c r="C111" s="88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5">
      <c r="A112" s="88"/>
      <c r="B112" s="104"/>
      <c r="C112" s="88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5">
      <c r="A113" s="88"/>
      <c r="B113" s="104"/>
      <c r="C113" s="88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5">
      <c r="A114" s="88"/>
      <c r="B114" s="104"/>
      <c r="C114" s="88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5">
      <c r="A115" s="88"/>
      <c r="B115" s="104"/>
      <c r="C115" s="88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5">
      <c r="A116" s="88"/>
      <c r="B116" s="104"/>
      <c r="C116" s="88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5">
      <c r="A117" s="88"/>
      <c r="B117" s="104"/>
      <c r="C117" s="88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5">
      <c r="A118" s="88"/>
      <c r="B118" s="104"/>
      <c r="C118" s="88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5">
      <c r="A119" s="88"/>
      <c r="B119" s="104"/>
      <c r="C119" s="88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5">
      <c r="A120" s="88"/>
      <c r="B120" s="104"/>
      <c r="C120" s="88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5">
      <c r="A121" s="88"/>
      <c r="B121" s="104"/>
      <c r="C121" s="88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5">
      <c r="A122" s="88"/>
      <c r="B122" s="104"/>
      <c r="C122" s="88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5">
      <c r="A123" s="88"/>
      <c r="B123" s="104"/>
      <c r="C123" s="88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5">
      <c r="A124" s="88"/>
      <c r="B124" s="104"/>
      <c r="C124" s="88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5">
      <c r="A125" s="88"/>
      <c r="B125" s="104"/>
      <c r="C125" s="88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5">
      <c r="A126" s="88"/>
      <c r="B126" s="104"/>
      <c r="C126" s="88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5">
      <c r="A127" s="88"/>
      <c r="B127" s="104"/>
      <c r="C127" s="88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5">
      <c r="A128" s="88"/>
      <c r="B128" s="104"/>
      <c r="C128" s="88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5">
      <c r="A129" s="88"/>
      <c r="B129" s="104"/>
      <c r="C129" s="88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5">
      <c r="A130" s="88"/>
      <c r="B130" s="104"/>
      <c r="C130" s="88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5">
      <c r="A131" s="88"/>
      <c r="B131" s="104"/>
      <c r="C131" s="88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5">
      <c r="A132" s="88"/>
      <c r="B132" s="104"/>
      <c r="C132" s="88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5">
      <c r="A133" s="88"/>
      <c r="B133" s="104"/>
      <c r="C133" s="88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5">
      <c r="A134" s="88"/>
      <c r="B134" s="104"/>
      <c r="C134" s="88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5">
      <c r="A135" s="88"/>
      <c r="B135" s="104"/>
      <c r="C135" s="88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5">
      <c r="A136" s="88"/>
      <c r="B136" s="104"/>
      <c r="C136" s="88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5">
      <c r="A137" s="88"/>
      <c r="B137" s="104"/>
      <c r="C137" s="88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5">
      <c r="A138" s="88"/>
      <c r="B138" s="104"/>
      <c r="C138" s="88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5">
      <c r="A139" s="88"/>
      <c r="B139" s="104"/>
      <c r="C139" s="88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5">
      <c r="A140" s="88"/>
      <c r="B140" s="104"/>
      <c r="C140" s="88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5">
      <c r="A141" s="88"/>
      <c r="B141" s="104"/>
      <c r="C141" s="88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5">
      <c r="A142" s="88"/>
      <c r="B142" s="104"/>
      <c r="C142" s="88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5">
      <c r="A143" s="88"/>
      <c r="B143" s="104"/>
      <c r="C143" s="88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5">
      <c r="A144" s="88"/>
      <c r="B144" s="104"/>
      <c r="C144" s="88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5">
      <c r="A145" s="88"/>
      <c r="B145" s="104"/>
      <c r="C145" s="88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5">
      <c r="A146" s="88"/>
      <c r="B146" s="104"/>
      <c r="C146" s="88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5">
      <c r="A147" s="88"/>
      <c r="B147" s="104"/>
      <c r="C147" s="88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5">
      <c r="A148" s="88"/>
      <c r="B148" s="104"/>
      <c r="C148" s="88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5">
      <c r="A149" s="88"/>
      <c r="B149" s="104"/>
      <c r="C149" s="88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5">
      <c r="A150" s="88"/>
      <c r="B150" s="104"/>
      <c r="C150" s="88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5">
      <c r="A151" s="88"/>
      <c r="B151" s="104"/>
      <c r="C151" s="88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5">
      <c r="A152" s="88"/>
      <c r="B152" s="104"/>
      <c r="C152" s="88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5">
      <c r="A153" s="88"/>
      <c r="B153" s="104"/>
      <c r="C153" s="88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5">
      <c r="A154" s="88"/>
      <c r="B154" s="104"/>
      <c r="C154" s="88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5">
      <c r="A155" s="88"/>
      <c r="B155" s="104"/>
      <c r="C155" s="88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5">
      <c r="A156" s="88"/>
      <c r="B156" s="104"/>
      <c r="C156" s="88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5">
      <c r="A157" s="88"/>
      <c r="B157" s="104"/>
      <c r="C157" s="88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5">
      <c r="A158" s="88"/>
      <c r="B158" s="104"/>
      <c r="C158" s="88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5">
      <c r="A159" s="88"/>
      <c r="B159" s="104"/>
      <c r="C159" s="88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5">
      <c r="A160" s="88"/>
      <c r="B160" s="104"/>
      <c r="C160" s="88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5">
      <c r="A161" s="88"/>
      <c r="B161" s="104"/>
      <c r="C161" s="88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5">
      <c r="A162" s="88"/>
      <c r="B162" s="104"/>
      <c r="C162" s="88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5">
      <c r="A163" s="88"/>
      <c r="B163" s="104"/>
      <c r="C163" s="88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5">
      <c r="A164" s="88"/>
      <c r="B164" s="104"/>
      <c r="C164" s="88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5">
      <c r="A165" s="88"/>
      <c r="B165" s="104"/>
      <c r="C165" s="88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5">
      <c r="A166" s="88"/>
      <c r="B166" s="104"/>
      <c r="C166" s="88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5">
      <c r="A167" s="88"/>
      <c r="B167" s="104"/>
      <c r="C167" s="88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5">
      <c r="A168" s="88"/>
      <c r="B168" s="104"/>
      <c r="C168" s="88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5">
      <c r="A169" s="88"/>
      <c r="B169" s="104"/>
      <c r="C169" s="88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5">
      <c r="A170" s="88"/>
      <c r="B170" s="104"/>
      <c r="C170" s="88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5">
      <c r="A171" s="88"/>
      <c r="B171" s="104"/>
      <c r="C171" s="88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5">
      <c r="A172" s="88"/>
      <c r="B172" s="104"/>
      <c r="C172" s="88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5">
      <c r="A173" s="88"/>
      <c r="B173" s="104"/>
      <c r="C173" s="88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5">
      <c r="A174" s="88"/>
      <c r="B174" s="104"/>
      <c r="C174" s="88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5">
      <c r="A175" s="88"/>
      <c r="B175" s="104"/>
      <c r="C175" s="88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5">
      <c r="A176" s="88"/>
      <c r="B176" s="104"/>
      <c r="C176" s="88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5">
      <c r="A177" s="88"/>
      <c r="B177" s="104"/>
      <c r="C177" s="88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5">
      <c r="A178" s="88"/>
      <c r="B178" s="104"/>
      <c r="C178" s="88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5">
      <c r="A179" s="88"/>
      <c r="B179" s="104"/>
      <c r="C179" s="88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5">
      <c r="A180" s="88"/>
      <c r="B180" s="104"/>
      <c r="C180" s="88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5">
      <c r="A181" s="88"/>
      <c r="B181" s="104"/>
      <c r="C181" s="88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5">
      <c r="A182" s="88"/>
      <c r="B182" s="104"/>
      <c r="C182" s="88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5">
      <c r="A183" s="88"/>
      <c r="B183" s="104"/>
      <c r="C183" s="88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5">
      <c r="A184" s="88"/>
      <c r="B184" s="104"/>
      <c r="C184" s="88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5">
      <c r="A185" s="88"/>
      <c r="B185" s="104"/>
      <c r="C185" s="88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5">
      <c r="A186" s="88"/>
      <c r="B186" s="104"/>
      <c r="C186" s="88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5">
      <c r="A187" s="88"/>
      <c r="B187" s="104"/>
      <c r="C187" s="88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5">
      <c r="A188" s="88"/>
      <c r="B188" s="104"/>
      <c r="C188" s="88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5">
      <c r="A189" s="88"/>
      <c r="B189" s="104"/>
      <c r="C189" s="88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5">
      <c r="A190" s="88"/>
      <c r="B190" s="104"/>
      <c r="C190" s="88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5">
      <c r="A191" s="88"/>
      <c r="B191" s="104"/>
      <c r="C191" s="88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5">
      <c r="A192" s="88"/>
      <c r="B192" s="104"/>
      <c r="C192" s="88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5">
      <c r="A193" s="88"/>
      <c r="B193" s="104"/>
      <c r="C193" s="88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5">
      <c r="A194" s="88"/>
      <c r="B194" s="104"/>
      <c r="C194" s="88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5">
      <c r="A195" s="88"/>
      <c r="B195" s="104"/>
      <c r="C195" s="88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5">
      <c r="A196" s="88"/>
      <c r="B196" s="104"/>
      <c r="C196" s="88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5">
      <c r="A197" s="88"/>
      <c r="B197" s="104"/>
      <c r="C197" s="88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5">
      <c r="A198" s="88"/>
      <c r="B198" s="104"/>
      <c r="C198" s="88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5">
      <c r="A199" s="88"/>
      <c r="B199" s="104"/>
      <c r="C199" s="88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5">
      <c r="A200" s="88"/>
      <c r="B200" s="104"/>
      <c r="C200" s="88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5">
      <c r="A201" s="88"/>
      <c r="B201" s="104"/>
      <c r="C201" s="88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5">
      <c r="A202" s="88"/>
      <c r="B202" s="104"/>
      <c r="C202" s="88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5">
      <c r="A203" s="88"/>
      <c r="B203" s="104"/>
      <c r="C203" s="88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5">
      <c r="A204" s="88"/>
      <c r="B204" s="104"/>
      <c r="C204" s="88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5">
      <c r="A205" s="88"/>
      <c r="B205" s="104"/>
      <c r="C205" s="88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5">
      <c r="A206" s="88"/>
      <c r="B206" s="104"/>
      <c r="C206" s="88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5">
      <c r="A207" s="88"/>
      <c r="B207" s="104"/>
      <c r="C207" s="88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5">
      <c r="A208" s="88"/>
      <c r="B208" s="104"/>
      <c r="C208" s="88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5">
      <c r="A209" s="88"/>
      <c r="B209" s="104"/>
      <c r="C209" s="88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5">
      <c r="A210" s="88"/>
      <c r="B210" s="104"/>
      <c r="C210" s="88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5">
      <c r="A211" s="88"/>
      <c r="B211" s="104"/>
      <c r="C211" s="88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5">
      <c r="A212" s="88"/>
      <c r="B212" s="104"/>
      <c r="C212" s="88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5">
      <c r="A213" s="88"/>
      <c r="B213" s="104"/>
      <c r="C213" s="88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5">
      <c r="A214" s="88"/>
      <c r="B214" s="104"/>
      <c r="C214" s="88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5">
      <c r="A215" s="88"/>
      <c r="B215" s="104"/>
      <c r="C215" s="88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5">
      <c r="A216" s="88"/>
      <c r="B216" s="104"/>
      <c r="C216" s="88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5">
      <c r="A217" s="88"/>
      <c r="B217" s="104"/>
      <c r="C217" s="88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5">
      <c r="A218" s="88"/>
      <c r="B218" s="104"/>
      <c r="C218" s="88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5">
      <c r="A219" s="88"/>
      <c r="B219" s="104"/>
      <c r="C219" s="88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5">
      <c r="A220" s="88"/>
      <c r="B220" s="104"/>
      <c r="C220" s="88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5">
      <c r="A221" s="109"/>
      <c r="B221" s="11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5">
      <c r="A222" s="109"/>
      <c r="B222" s="11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>
      <c r="A223" s="109"/>
      <c r="B223" s="11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5">
      <c r="A224" s="109"/>
      <c r="B224" s="11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5">
      <c r="A225" s="109"/>
      <c r="B225" s="11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5">
      <c r="A226" s="109"/>
      <c r="B226" s="11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5">
      <c r="A227" s="109"/>
      <c r="B227" s="11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5">
      <c r="A228" s="109"/>
      <c r="B228" s="11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5">
      <c r="A229" s="109"/>
      <c r="B229" s="11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5">
      <c r="A230" s="109"/>
      <c r="B230" s="11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5">
      <c r="A231" s="109"/>
      <c r="B231" s="11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5">
      <c r="A232" s="109"/>
      <c r="B232" s="11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5">
      <c r="A233" s="109"/>
      <c r="B233" s="11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5">
      <c r="A234" s="109"/>
      <c r="B234" s="11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5">
      <c r="A235" s="109"/>
      <c r="B235" s="11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5">
      <c r="A236" s="109"/>
      <c r="B236" s="11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5">
      <c r="A237" s="109"/>
      <c r="B237" s="11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5">
      <c r="A238" s="109"/>
      <c r="B238" s="11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5">
      <c r="A239" s="109"/>
      <c r="B239" s="11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5">
      <c r="A240" s="109"/>
      <c r="B240" s="11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5">
      <c r="A241" s="109"/>
      <c r="B241" s="11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5">
      <c r="A242" s="109"/>
      <c r="B242" s="11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5">
      <c r="A243" s="109"/>
      <c r="B243" s="11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5">
      <c r="A244" s="109"/>
      <c r="B244" s="11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5">
      <c r="A245" s="109"/>
      <c r="B245" s="11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5">
      <c r="A246" s="109"/>
      <c r="B246" s="11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5">
      <c r="A247" s="109"/>
      <c r="B247" s="11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5">
      <c r="A248" s="109"/>
      <c r="B248" s="11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5">
      <c r="A249" s="109"/>
      <c r="B249" s="11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5">
      <c r="A250" s="109"/>
      <c r="B250" s="11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5">
      <c r="A251" s="109"/>
      <c r="B251" s="11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5">
      <c r="A252" s="109"/>
      <c r="B252" s="11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5">
      <c r="A253" s="109"/>
      <c r="B253" s="11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5">
      <c r="A254" s="109"/>
      <c r="B254" s="11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5">
      <c r="A255" s="109"/>
      <c r="B255" s="11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5">
      <c r="A256" s="109"/>
      <c r="B256" s="11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5">
      <c r="A257" s="109"/>
      <c r="B257" s="11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5">
      <c r="A258" s="109"/>
      <c r="B258" s="11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5">
      <c r="A259" s="109"/>
      <c r="B259" s="11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5">
      <c r="A260" s="109"/>
      <c r="B260" s="11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5">
      <c r="A261" s="109"/>
      <c r="B261" s="11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5">
      <c r="A262" s="109"/>
      <c r="B262" s="11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5">
      <c r="A263" s="109"/>
      <c r="B263" s="11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5">
      <c r="A264" s="109"/>
      <c r="B264" s="11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5">
      <c r="A265" s="109"/>
      <c r="B265" s="11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5">
      <c r="A266" s="109"/>
      <c r="B266" s="11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5">
      <c r="A267" s="109"/>
      <c r="B267" s="11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5">
      <c r="A268" s="109"/>
      <c r="B268" s="11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5">
      <c r="A269" s="109"/>
      <c r="B269" s="11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5">
      <c r="A270" s="109"/>
      <c r="B270" s="11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5">
      <c r="A271" s="109"/>
      <c r="B271" s="11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5">
      <c r="A272" s="109"/>
      <c r="B272" s="11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5">
      <c r="A273" s="109"/>
      <c r="B273" s="11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5">
      <c r="A274" s="109"/>
      <c r="B274" s="11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5">
      <c r="A275" s="109"/>
      <c r="B275" s="11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5">
      <c r="A276" s="109"/>
      <c r="B276" s="11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5">
      <c r="A277" s="109"/>
      <c r="B277" s="11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5">
      <c r="A278" s="109"/>
      <c r="B278" s="11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5">
      <c r="A279" s="109"/>
      <c r="B279" s="11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5">
      <c r="A280" s="109"/>
      <c r="B280" s="11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5">
      <c r="A281" s="109"/>
      <c r="B281" s="11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5">
      <c r="A282" s="109"/>
      <c r="B282" s="11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5">
      <c r="A283" s="109"/>
      <c r="B283" s="11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5">
      <c r="A284" s="109"/>
      <c r="B284" s="11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5">
      <c r="A285" s="109"/>
      <c r="B285" s="11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5">
      <c r="A286" s="109"/>
      <c r="B286" s="11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5">
      <c r="A287" s="109"/>
      <c r="B287" s="11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5">
      <c r="A288" s="109"/>
      <c r="B288" s="11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5">
      <c r="A289" s="109"/>
      <c r="B289" s="11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5">
      <c r="A290" s="109"/>
      <c r="B290" s="11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5">
      <c r="A291" s="109"/>
      <c r="B291" s="11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5">
      <c r="A292" s="109"/>
      <c r="B292" s="11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5">
      <c r="A293" s="109"/>
      <c r="B293" s="11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5">
      <c r="A294" s="109"/>
      <c r="B294" s="11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5">
      <c r="A295" s="109"/>
      <c r="B295" s="11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5">
      <c r="A296" s="109"/>
      <c r="B296" s="11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5">
      <c r="A297" s="109"/>
      <c r="B297" s="11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5">
      <c r="A298" s="109"/>
      <c r="B298" s="11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5">
      <c r="A299" s="109"/>
      <c r="B299" s="11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5">
      <c r="A300" s="109"/>
      <c r="B300" s="11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5">
      <c r="A301" s="109"/>
      <c r="B301" s="11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5">
      <c r="A302" s="109"/>
      <c r="B302" s="11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5">
      <c r="A303" s="109"/>
      <c r="B303" s="11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5">
      <c r="A304" s="109"/>
      <c r="B304" s="11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5">
      <c r="A305" s="109"/>
      <c r="B305" s="11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5">
      <c r="A306" s="109"/>
      <c r="B306" s="11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5">
      <c r="A307" s="109"/>
      <c r="B307" s="11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5">
      <c r="A308" s="109"/>
      <c r="B308" s="11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5">
      <c r="A309" s="109"/>
      <c r="B309" s="11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5">
      <c r="A310" s="109"/>
      <c r="B310" s="11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5">
      <c r="A311" s="109"/>
      <c r="B311" s="11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5">
      <c r="A312" s="109"/>
      <c r="B312" s="11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5">
      <c r="A313" s="109"/>
      <c r="B313" s="11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5">
      <c r="A314" s="109"/>
      <c r="B314" s="11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5">
      <c r="A315" s="109"/>
      <c r="B315" s="11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5">
      <c r="A316" s="109"/>
      <c r="B316" s="11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5">
      <c r="A317" s="109"/>
      <c r="B317" s="11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5">
      <c r="A318" s="109"/>
      <c r="B318" s="11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5">
      <c r="A319" s="109"/>
      <c r="B319" s="11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5">
      <c r="A320" s="109"/>
      <c r="B320" s="11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5">
      <c r="A321" s="109"/>
      <c r="B321" s="11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5">
      <c r="A322" s="109"/>
      <c r="B322" s="11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5">
      <c r="A323" s="109"/>
      <c r="B323" s="11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5">
      <c r="A324" s="109"/>
      <c r="B324" s="11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5">
      <c r="A325" s="109"/>
      <c r="B325" s="11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5">
      <c r="A326" s="109"/>
      <c r="B326" s="11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5">
      <c r="A327" s="109"/>
      <c r="B327" s="11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5">
      <c r="A328" s="109"/>
      <c r="B328" s="11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5">
      <c r="A329" s="109"/>
      <c r="B329" s="11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5">
      <c r="A330" s="109"/>
      <c r="B330" s="11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5">
      <c r="A331" s="109"/>
      <c r="B331" s="11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5">
      <c r="A332" s="109"/>
      <c r="B332" s="11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5">
      <c r="A333" s="109"/>
      <c r="B333" s="11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5">
      <c r="A334" s="109"/>
      <c r="B334" s="11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5">
      <c r="A335" s="109"/>
      <c r="B335" s="11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5">
      <c r="A336" s="109"/>
      <c r="B336" s="11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5">
      <c r="A337" s="109"/>
      <c r="B337" s="11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5">
      <c r="A338" s="109"/>
      <c r="B338" s="11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5">
      <c r="A339" s="109"/>
      <c r="B339" s="11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5">
      <c r="A340" s="109"/>
      <c r="B340" s="11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5">
      <c r="A341" s="109"/>
      <c r="B341" s="11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5">
      <c r="A342" s="109"/>
      <c r="B342" s="11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5">
      <c r="A343" s="109"/>
      <c r="B343" s="11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5">
      <c r="A344" s="109"/>
      <c r="B344" s="11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5">
      <c r="A345" s="109"/>
      <c r="B345" s="11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5">
      <c r="A346" s="109"/>
      <c r="B346" s="11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5">
      <c r="A347" s="109"/>
      <c r="B347" s="11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5">
      <c r="A348" s="109"/>
      <c r="B348" s="11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5">
      <c r="A349" s="109"/>
      <c r="B349" s="11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5">
      <c r="A350" s="109"/>
      <c r="B350" s="11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5">
      <c r="A351" s="109"/>
      <c r="B351" s="11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5">
      <c r="A352" s="109"/>
      <c r="B352" s="11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5">
      <c r="A353" s="109"/>
      <c r="B353" s="11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5">
      <c r="A354" s="109"/>
      <c r="B354" s="11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5">
      <c r="A355" s="109"/>
      <c r="B355" s="11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5">
      <c r="A356" s="109"/>
      <c r="B356" s="11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5">
      <c r="A357" s="109"/>
      <c r="B357" s="11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5">
      <c r="A358" s="109"/>
      <c r="B358" s="11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5">
      <c r="A359" s="109"/>
      <c r="B359" s="11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5">
      <c r="A360" s="109"/>
      <c r="B360" s="11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5">
      <c r="A361" s="109"/>
      <c r="B361" s="11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5">
      <c r="A362" s="109"/>
      <c r="B362" s="11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5">
      <c r="A363" s="109"/>
      <c r="B363" s="11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5">
      <c r="A364" s="109"/>
      <c r="B364" s="11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5">
      <c r="A365" s="109"/>
      <c r="B365" s="11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5">
      <c r="A366" s="109"/>
      <c r="B366" s="11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5">
      <c r="A367" s="109"/>
      <c r="B367" s="11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5">
      <c r="A368" s="109"/>
      <c r="B368" s="11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5">
      <c r="A369" s="109"/>
      <c r="B369" s="11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5">
      <c r="A370" s="109"/>
      <c r="B370" s="11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5">
      <c r="A371" s="109"/>
      <c r="B371" s="11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5">
      <c r="A372" s="109"/>
      <c r="B372" s="11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5">
      <c r="A373" s="109"/>
      <c r="B373" s="11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5">
      <c r="A374" s="109"/>
      <c r="B374" s="11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5">
      <c r="A375" s="109"/>
      <c r="B375" s="11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5">
      <c r="A376" s="109"/>
      <c r="B376" s="11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5">
      <c r="A377" s="109"/>
      <c r="B377" s="11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5">
      <c r="A378" s="109"/>
      <c r="B378" s="11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5">
      <c r="A379" s="109"/>
      <c r="B379" s="11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5">
      <c r="A380" s="109"/>
      <c r="B380" s="11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5">
      <c r="A381" s="109"/>
      <c r="B381" s="11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5">
      <c r="A382" s="109"/>
      <c r="B382" s="11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5">
      <c r="A383" s="109"/>
      <c r="B383" s="11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5">
      <c r="A384" s="109"/>
      <c r="B384" s="11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5">
      <c r="A385" s="109"/>
      <c r="B385" s="11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5">
      <c r="A386" s="109"/>
      <c r="B386" s="11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5">
      <c r="A387" s="109"/>
      <c r="B387" s="11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5">
      <c r="A388" s="109"/>
      <c r="B388" s="11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5">
      <c r="A389" s="109"/>
      <c r="B389" s="11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5">
      <c r="A390" s="109"/>
      <c r="B390" s="11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5">
      <c r="A391" s="109"/>
      <c r="B391" s="11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5">
      <c r="A392" s="109"/>
      <c r="B392" s="11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5">
      <c r="A393" s="109"/>
      <c r="B393" s="11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5">
      <c r="A394" s="109"/>
      <c r="B394" s="11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5">
      <c r="A395" s="109"/>
      <c r="B395" s="11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5">
      <c r="A396" s="109"/>
      <c r="B396" s="11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5">
      <c r="A397" s="109"/>
      <c r="B397" s="11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5">
      <c r="A398" s="109"/>
      <c r="B398" s="11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5">
      <c r="A399" s="109"/>
      <c r="B399" s="11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5">
      <c r="A400" s="109"/>
      <c r="B400" s="11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5">
      <c r="A401" s="109"/>
      <c r="B401" s="11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5">
      <c r="A402" s="109"/>
      <c r="B402" s="11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5">
      <c r="A403" s="109"/>
      <c r="B403" s="11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5">
      <c r="A404" s="109"/>
      <c r="B404" s="11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5">
      <c r="A405" s="109"/>
      <c r="B405" s="11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5">
      <c r="A406" s="109"/>
      <c r="B406" s="11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5">
      <c r="A407" s="109"/>
      <c r="B407" s="11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5">
      <c r="A408" s="109"/>
      <c r="B408" s="11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5">
      <c r="A409" s="109"/>
      <c r="B409" s="11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5">
      <c r="A410" s="109"/>
      <c r="B410" s="11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5">
      <c r="A411" s="109"/>
      <c r="B411" s="11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5">
      <c r="A412" s="109"/>
      <c r="B412" s="11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5">
      <c r="A413" s="109"/>
      <c r="B413" s="11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5">
      <c r="A414" s="109"/>
      <c r="B414" s="11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5">
      <c r="A415" s="109"/>
      <c r="B415" s="11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5">
      <c r="A416" s="109"/>
      <c r="B416" s="11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5">
      <c r="A417" s="109"/>
      <c r="B417" s="11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5">
      <c r="A418" s="109"/>
      <c r="B418" s="11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5">
      <c r="A419" s="109"/>
      <c r="B419" s="11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5">
      <c r="A420" s="109"/>
      <c r="B420" s="11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5">
      <c r="A421" s="109"/>
      <c r="B421" s="11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5">
      <c r="A422" s="109"/>
      <c r="B422" s="11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5">
      <c r="A423" s="109"/>
      <c r="B423" s="11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5">
      <c r="A424" s="109"/>
      <c r="B424" s="11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5">
      <c r="A425" s="109"/>
      <c r="B425" s="11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5">
      <c r="A426" s="109"/>
      <c r="B426" s="11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5">
      <c r="A427" s="109"/>
      <c r="B427" s="11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5">
      <c r="A428" s="109"/>
      <c r="B428" s="11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5">
      <c r="A429" s="109"/>
      <c r="B429" s="11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5">
      <c r="A430" s="109"/>
      <c r="B430" s="11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5">
      <c r="A431" s="109"/>
      <c r="B431" s="11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5">
      <c r="A432" s="109"/>
      <c r="B432" s="11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5">
      <c r="A433" s="109"/>
      <c r="B433" s="11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5">
      <c r="A434" s="109"/>
      <c r="B434" s="11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5">
      <c r="A435" s="109"/>
      <c r="B435" s="11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5">
      <c r="A436" s="109"/>
      <c r="B436" s="11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5">
      <c r="A437" s="109"/>
      <c r="B437" s="11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5">
      <c r="A438" s="109"/>
      <c r="B438" s="11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5">
      <c r="A439" s="109"/>
      <c r="B439" s="11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5">
      <c r="A440" s="109"/>
      <c r="B440" s="11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5">
      <c r="A441" s="109"/>
      <c r="B441" s="11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5">
      <c r="A442" s="109"/>
      <c r="B442" s="11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5">
      <c r="A443" s="109"/>
      <c r="B443" s="11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5">
      <c r="A444" s="109"/>
      <c r="B444" s="11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5">
      <c r="A445" s="109"/>
      <c r="B445" s="11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5">
      <c r="A446" s="109"/>
      <c r="B446" s="11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5">
      <c r="A447" s="109"/>
      <c r="B447" s="11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5">
      <c r="A448" s="109"/>
      <c r="B448" s="11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5">
      <c r="A449" s="109"/>
      <c r="B449" s="11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5">
      <c r="A450" s="109"/>
      <c r="B450" s="11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5">
      <c r="A451" s="109"/>
      <c r="B451" s="11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5">
      <c r="A452" s="109"/>
      <c r="B452" s="11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5">
      <c r="A453" s="109"/>
      <c r="B453" s="11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5">
      <c r="A454" s="109"/>
      <c r="B454" s="11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5">
      <c r="A455" s="109"/>
      <c r="B455" s="11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5">
      <c r="A456" s="109"/>
      <c r="B456" s="11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5">
      <c r="A457" s="109"/>
      <c r="B457" s="11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5">
      <c r="A458" s="109"/>
      <c r="B458" s="11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5">
      <c r="A459" s="109"/>
      <c r="B459" s="11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5">
      <c r="A460" s="109"/>
      <c r="B460" s="11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5">
      <c r="A461" s="109"/>
      <c r="B461" s="11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5">
      <c r="A462" s="109"/>
      <c r="B462" s="11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5">
      <c r="A463" s="109"/>
      <c r="B463" s="11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5">
      <c r="A464" s="109"/>
      <c r="B464" s="11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5">
      <c r="A465" s="109"/>
      <c r="B465" s="11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5">
      <c r="A466" s="109"/>
      <c r="B466" s="11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5">
      <c r="A467" s="109"/>
      <c r="B467" s="11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5">
      <c r="A468" s="109"/>
      <c r="B468" s="11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5">
      <c r="A469" s="109"/>
      <c r="B469" s="11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5">
      <c r="A470" s="109"/>
      <c r="B470" s="11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5">
      <c r="A471" s="109"/>
      <c r="B471" s="11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5">
      <c r="A472" s="109"/>
      <c r="B472" s="11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5">
      <c r="A473" s="109"/>
      <c r="B473" s="11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5">
      <c r="A474" s="109"/>
      <c r="B474" s="11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5">
      <c r="A475" s="109"/>
      <c r="B475" s="11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5">
      <c r="A476" s="109"/>
      <c r="B476" s="11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5">
      <c r="A477" s="109"/>
      <c r="B477" s="11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5">
      <c r="A478" s="109"/>
      <c r="B478" s="11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5">
      <c r="A479" s="109"/>
      <c r="B479" s="11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5">
      <c r="A480" s="109"/>
      <c r="B480" s="11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5">
      <c r="A481" s="109"/>
      <c r="B481" s="11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5">
      <c r="A482" s="109"/>
      <c r="B482" s="11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5">
      <c r="A483" s="109"/>
      <c r="B483" s="11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5">
      <c r="A484" s="109"/>
      <c r="B484" s="11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5">
      <c r="A485" s="109"/>
      <c r="B485" s="11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5">
      <c r="A486" s="109"/>
      <c r="B486" s="11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5">
      <c r="A487" s="109"/>
      <c r="B487" s="11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5">
      <c r="A488" s="109"/>
      <c r="B488" s="11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5">
      <c r="A489" s="109"/>
      <c r="B489" s="11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5">
      <c r="A490" s="109"/>
      <c r="B490" s="11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5">
      <c r="A491" s="109"/>
      <c r="B491" s="11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5">
      <c r="A492" s="109"/>
      <c r="B492" s="11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5">
      <c r="A493" s="109"/>
      <c r="B493" s="11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5">
      <c r="A494" s="109"/>
      <c r="B494" s="11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5">
      <c r="A495" s="109"/>
      <c r="B495" s="11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5">
      <c r="A496" s="109"/>
      <c r="B496" s="11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5">
      <c r="A497" s="109"/>
      <c r="B497" s="11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5">
      <c r="A498" s="109"/>
      <c r="B498" s="11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5">
      <c r="A499" s="109"/>
      <c r="B499" s="11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5">
      <c r="A500" s="109"/>
      <c r="B500" s="11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5">
      <c r="A501" s="109"/>
      <c r="B501" s="11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5">
      <c r="A502" s="109"/>
      <c r="B502" s="11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5">
      <c r="A503" s="109"/>
      <c r="B503" s="11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5">
      <c r="A504" s="109"/>
      <c r="B504" s="11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5">
      <c r="A505" s="109"/>
      <c r="B505" s="11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5">
      <c r="A506" s="109"/>
      <c r="B506" s="11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5">
      <c r="A507" s="109"/>
      <c r="B507" s="11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5">
      <c r="A508" s="109"/>
      <c r="B508" s="11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5">
      <c r="A509" s="109"/>
      <c r="B509" s="11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5">
      <c r="A510" s="109"/>
      <c r="B510" s="11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5">
      <c r="A511" s="109"/>
      <c r="B511" s="11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5">
      <c r="A512" s="109"/>
      <c r="B512" s="11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5">
      <c r="A513" s="109"/>
      <c r="B513" s="11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5">
      <c r="A514" s="109"/>
      <c r="B514" s="11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5">
      <c r="A515" s="109"/>
      <c r="B515" s="11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5">
      <c r="A516" s="109"/>
      <c r="B516" s="11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5">
      <c r="A517" s="109"/>
      <c r="B517" s="11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5">
      <c r="A518" s="109"/>
      <c r="B518" s="11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5">
      <c r="A519" s="109"/>
      <c r="B519" s="11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5">
      <c r="A520" s="109"/>
      <c r="B520" s="11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5">
      <c r="A521" s="109"/>
      <c r="B521" s="11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5">
      <c r="A522" s="109"/>
      <c r="B522" s="11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5">
      <c r="A523" s="109"/>
      <c r="B523" s="11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5">
      <c r="A524" s="109"/>
      <c r="B524" s="11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5">
      <c r="A525" s="109"/>
      <c r="B525" s="11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5">
      <c r="A526" s="109"/>
      <c r="B526" s="11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5">
      <c r="A527" s="109"/>
      <c r="B527" s="11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5">
      <c r="A528" s="109"/>
      <c r="B528" s="11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5">
      <c r="A529" s="109"/>
      <c r="B529" s="11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5">
      <c r="A530" s="109"/>
      <c r="B530" s="11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5">
      <c r="A531" s="109"/>
      <c r="B531" s="11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5">
      <c r="A532" s="109"/>
      <c r="B532" s="11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5">
      <c r="A533" s="109"/>
      <c r="B533" s="11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5">
      <c r="A534" s="109"/>
      <c r="B534" s="11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5">
      <c r="A535" s="109"/>
      <c r="B535" s="11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5">
      <c r="A536" s="109"/>
      <c r="B536" s="11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5">
      <c r="A537" s="109"/>
      <c r="B537" s="11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5">
      <c r="A538" s="109"/>
      <c r="B538" s="11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5">
      <c r="A539" s="109"/>
      <c r="B539" s="11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5">
      <c r="A540" s="109"/>
      <c r="B540" s="11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5">
      <c r="A541" s="109"/>
      <c r="B541" s="11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5">
      <c r="A542" s="109"/>
      <c r="B542" s="11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5">
      <c r="A543" s="109"/>
      <c r="B543" s="11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5">
      <c r="A544" s="109"/>
      <c r="B544" s="11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5">
      <c r="A545" s="109"/>
      <c r="B545" s="11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5">
      <c r="A546" s="109"/>
      <c r="B546" s="11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5">
      <c r="A547" s="109"/>
      <c r="B547" s="11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5">
      <c r="A548" s="109"/>
      <c r="B548" s="11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5">
      <c r="A549" s="109"/>
      <c r="B549" s="11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5">
      <c r="A550" s="109"/>
      <c r="B550" s="11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5">
      <c r="A551" s="109"/>
      <c r="B551" s="11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5">
      <c r="A552" s="109"/>
      <c r="B552" s="11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5">
      <c r="A553" s="109"/>
      <c r="B553" s="11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5">
      <c r="A554" s="109"/>
      <c r="B554" s="11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5">
      <c r="A555" s="109"/>
      <c r="B555" s="11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5">
      <c r="A556" s="109"/>
      <c r="B556" s="11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5">
      <c r="A557" s="109"/>
      <c r="B557" s="11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5">
      <c r="A558" s="109"/>
      <c r="B558" s="11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5">
      <c r="A559" s="109"/>
      <c r="B559" s="11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5">
      <c r="A560" s="109"/>
      <c r="B560" s="11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5">
      <c r="A561" s="109"/>
      <c r="B561" s="11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5">
      <c r="A562" s="109"/>
      <c r="B562" s="11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5">
      <c r="A563" s="109"/>
      <c r="B563" s="11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5">
      <c r="A564" s="109"/>
      <c r="B564" s="11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5">
      <c r="A565" s="109"/>
      <c r="B565" s="11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5">
      <c r="A566" s="109"/>
      <c r="B566" s="11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5">
      <c r="A567" s="109"/>
      <c r="B567" s="11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5">
      <c r="A568" s="109"/>
      <c r="B568" s="11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5">
      <c r="A569" s="109"/>
      <c r="B569" s="11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5">
      <c r="A570" s="109"/>
      <c r="B570" s="11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5">
      <c r="A571" s="109"/>
      <c r="B571" s="11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5">
      <c r="A572" s="109"/>
      <c r="B572" s="11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5">
      <c r="A573" s="109"/>
      <c r="B573" s="11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5">
      <c r="A574" s="109"/>
      <c r="B574" s="11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5">
      <c r="A575" s="109"/>
      <c r="B575" s="11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5">
      <c r="A576" s="109"/>
      <c r="B576" s="11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5">
      <c r="A577" s="109"/>
      <c r="B577" s="11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5">
      <c r="A578" s="109"/>
      <c r="B578" s="11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5">
      <c r="A579" s="109"/>
      <c r="B579" s="11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5">
      <c r="A580" s="109"/>
      <c r="B580" s="11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5">
      <c r="A581" s="109"/>
      <c r="B581" s="11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5">
      <c r="A582" s="109"/>
      <c r="B582" s="11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5">
      <c r="A583" s="109"/>
      <c r="B583" s="11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5">
      <c r="A584" s="109"/>
      <c r="B584" s="11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5">
      <c r="A585" s="109"/>
      <c r="B585" s="11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5">
      <c r="A586" s="109"/>
      <c r="B586" s="11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5">
      <c r="A587" s="109"/>
      <c r="B587" s="11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5">
      <c r="A588" s="109"/>
      <c r="B588" s="11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5">
      <c r="A589" s="109"/>
      <c r="B589" s="11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5">
      <c r="A590" s="109"/>
      <c r="B590" s="11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5">
      <c r="A591" s="109"/>
      <c r="B591" s="11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5">
      <c r="A592" s="109"/>
      <c r="B592" s="11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5">
      <c r="A593" s="109"/>
      <c r="B593" s="11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5">
      <c r="A594" s="109"/>
      <c r="B594" s="11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5">
      <c r="A595" s="109"/>
      <c r="B595" s="11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5">
      <c r="A596" s="109"/>
      <c r="B596" s="11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5">
      <c r="A597" s="109"/>
      <c r="B597" s="11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5">
      <c r="A598" s="109"/>
      <c r="B598" s="11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5">
      <c r="A599" s="109"/>
      <c r="B599" s="11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5">
      <c r="A600" s="109"/>
      <c r="B600" s="11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5">
      <c r="A601" s="109"/>
      <c r="B601" s="11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5">
      <c r="A602" s="109"/>
      <c r="B602" s="11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5">
      <c r="A603" s="109"/>
      <c r="B603" s="11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5">
      <c r="A604" s="109"/>
      <c r="B604" s="11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5">
      <c r="A605" s="109"/>
      <c r="B605" s="11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5">
      <c r="A606" s="109"/>
      <c r="B606" s="11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5">
      <c r="A607" s="109"/>
      <c r="B607" s="11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5">
      <c r="A608" s="109"/>
      <c r="B608" s="11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5">
      <c r="A609" s="109"/>
      <c r="B609" s="11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5">
      <c r="A610" s="109"/>
      <c r="B610" s="11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5">
      <c r="A611" s="109"/>
      <c r="B611" s="11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5">
      <c r="A612" s="109"/>
      <c r="B612" s="11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5">
      <c r="A613" s="109"/>
      <c r="B613" s="11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5">
      <c r="A614" s="109"/>
      <c r="B614" s="11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5">
      <c r="A615" s="109"/>
      <c r="B615" s="11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5">
      <c r="A616" s="109"/>
      <c r="B616" s="11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5">
      <c r="A617" s="109"/>
      <c r="B617" s="11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5">
      <c r="A618" s="109"/>
      <c r="B618" s="11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5">
      <c r="A619" s="109"/>
      <c r="B619" s="11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5">
      <c r="A620" s="109"/>
      <c r="B620" s="11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5">
      <c r="A621" s="109"/>
      <c r="B621" s="11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5">
      <c r="A622" s="109"/>
      <c r="B622" s="11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5">
      <c r="A623" s="109"/>
      <c r="B623" s="11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5">
      <c r="A624" s="109"/>
      <c r="B624" s="11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5">
      <c r="A625" s="109"/>
      <c r="B625" s="11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5">
      <c r="A626" s="109"/>
      <c r="B626" s="11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5">
      <c r="A627" s="109"/>
      <c r="B627" s="11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5">
      <c r="A628" s="109"/>
      <c r="B628" s="11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5">
      <c r="A629" s="109"/>
      <c r="B629" s="11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5">
      <c r="A630" s="109"/>
      <c r="B630" s="11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5">
      <c r="A631" s="109"/>
      <c r="B631" s="11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5">
      <c r="A632" s="109"/>
      <c r="B632" s="11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5">
      <c r="A633" s="109"/>
      <c r="B633" s="11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5">
      <c r="A634" s="109"/>
      <c r="B634" s="11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5">
      <c r="A635" s="109"/>
      <c r="B635" s="11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5">
      <c r="A636" s="109"/>
      <c r="B636" s="11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5">
      <c r="A637" s="109"/>
      <c r="B637" s="11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5">
      <c r="A638" s="109"/>
      <c r="B638" s="11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5">
      <c r="A639" s="109"/>
      <c r="B639" s="11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5">
      <c r="A640" s="109"/>
      <c r="B640" s="11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5">
      <c r="A641" s="109"/>
      <c r="B641" s="11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5">
      <c r="A642" s="109"/>
      <c r="B642" s="11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5">
      <c r="A643" s="109"/>
      <c r="B643" s="11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5">
      <c r="A644" s="109"/>
      <c r="B644" s="11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5">
      <c r="A645" s="109"/>
      <c r="B645" s="11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5">
      <c r="A646" s="109"/>
      <c r="B646" s="11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5">
      <c r="A647" s="109"/>
      <c r="B647" s="11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5">
      <c r="A648" s="109"/>
      <c r="B648" s="11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5">
      <c r="A649" s="109"/>
      <c r="B649" s="11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5">
      <c r="A650" s="109"/>
      <c r="B650" s="11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5">
      <c r="A651" s="109"/>
      <c r="B651" s="11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5">
      <c r="A652" s="109"/>
      <c r="B652" s="11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5">
      <c r="A653" s="109"/>
      <c r="B653" s="11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5">
      <c r="A654" s="109"/>
      <c r="B654" s="11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5">
      <c r="A655" s="109"/>
      <c r="B655" s="11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5">
      <c r="A656" s="109"/>
      <c r="B656" s="11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5">
      <c r="A657" s="109"/>
      <c r="B657" s="11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5">
      <c r="A658" s="109"/>
      <c r="B658" s="11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5">
      <c r="A659" s="109"/>
      <c r="B659" s="11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5">
      <c r="A660" s="109"/>
      <c r="B660" s="11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5">
      <c r="A661" s="109"/>
      <c r="B661" s="11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5">
      <c r="A662" s="109"/>
      <c r="B662" s="11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5">
      <c r="A663" s="109"/>
      <c r="B663" s="11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5">
      <c r="A664" s="109"/>
      <c r="B664" s="11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5">
      <c r="A665" s="109"/>
      <c r="B665" s="11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5">
      <c r="A666" s="109"/>
      <c r="B666" s="11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5">
      <c r="A667" s="109"/>
      <c r="B667" s="11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5">
      <c r="A668" s="109"/>
      <c r="B668" s="11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5">
      <c r="A669" s="109"/>
      <c r="B669" s="11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5">
      <c r="A670" s="109"/>
      <c r="B670" s="11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5">
      <c r="A671" s="109"/>
      <c r="B671" s="11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5">
      <c r="A672" s="109"/>
      <c r="B672" s="11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5">
      <c r="A673" s="109"/>
      <c r="B673" s="11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5">
      <c r="A674" s="109"/>
      <c r="B674" s="11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5">
      <c r="A675" s="109"/>
      <c r="B675" s="11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5">
      <c r="A676" s="109"/>
      <c r="B676" s="11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5">
      <c r="A677" s="109"/>
      <c r="B677" s="11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5">
      <c r="A678" s="109"/>
      <c r="B678" s="11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5">
      <c r="A679" s="109"/>
      <c r="B679" s="11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5">
      <c r="A680" s="109"/>
      <c r="B680" s="11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5">
      <c r="A681" s="109"/>
      <c r="B681" s="11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5">
      <c r="A682" s="109"/>
      <c r="B682" s="11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5">
      <c r="A683" s="109"/>
      <c r="B683" s="11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5">
      <c r="A684" s="109"/>
      <c r="B684" s="11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5">
      <c r="A685" s="109"/>
      <c r="B685" s="11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5">
      <c r="A686" s="109"/>
      <c r="B686" s="11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5">
      <c r="A687" s="109"/>
      <c r="B687" s="11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5">
      <c r="A688" s="109"/>
      <c r="B688" s="11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5">
      <c r="A689" s="109"/>
      <c r="B689" s="11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5">
      <c r="A690" s="109"/>
      <c r="B690" s="11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5">
      <c r="A691" s="109"/>
      <c r="B691" s="11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5">
      <c r="A692" s="109"/>
      <c r="B692" s="11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5">
      <c r="A693" s="109"/>
      <c r="B693" s="11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5">
      <c r="A694" s="109"/>
      <c r="B694" s="11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5">
      <c r="A695" s="109"/>
      <c r="B695" s="11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5">
      <c r="A696" s="109"/>
      <c r="B696" s="11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5">
      <c r="A697" s="109"/>
      <c r="B697" s="11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5">
      <c r="A698" s="109"/>
      <c r="B698" s="11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5">
      <c r="A699" s="109"/>
      <c r="B699" s="11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5">
      <c r="A700" s="109"/>
      <c r="B700" s="11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5">
      <c r="A701" s="109"/>
      <c r="B701" s="11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5">
      <c r="A702" s="109"/>
      <c r="B702" s="11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5">
      <c r="A703" s="109"/>
      <c r="B703" s="11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5">
      <c r="A704" s="109"/>
      <c r="B704" s="11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5">
      <c r="A705" s="109"/>
      <c r="B705" s="11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5">
      <c r="A706" s="109"/>
      <c r="B706" s="11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5">
      <c r="A707" s="109"/>
      <c r="B707" s="11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5">
      <c r="A708" s="109"/>
      <c r="B708" s="11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5">
      <c r="A709" s="109"/>
      <c r="B709" s="11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5">
      <c r="A710" s="109"/>
      <c r="B710" s="11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5">
      <c r="A711" s="109"/>
      <c r="B711" s="11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5">
      <c r="A712" s="109"/>
      <c r="B712" s="11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5">
      <c r="A713" s="109"/>
      <c r="B713" s="11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5">
      <c r="A714" s="109"/>
      <c r="B714" s="11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5">
      <c r="A715" s="109"/>
      <c r="B715" s="11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5">
      <c r="A716" s="109"/>
      <c r="B716" s="11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5">
      <c r="A717" s="109"/>
      <c r="B717" s="11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5">
      <c r="A718" s="109"/>
      <c r="B718" s="11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5">
      <c r="A719" s="109"/>
      <c r="B719" s="11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5">
      <c r="A720" s="109"/>
      <c r="B720" s="11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5">
      <c r="A721" s="109"/>
      <c r="B721" s="11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5">
      <c r="A722" s="109"/>
      <c r="B722" s="11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5">
      <c r="A723" s="109"/>
      <c r="B723" s="11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5">
      <c r="A724" s="109"/>
      <c r="B724" s="11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5">
      <c r="A725" s="109"/>
      <c r="B725" s="11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5">
      <c r="A726" s="109"/>
      <c r="B726" s="11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5">
      <c r="A727" s="109"/>
      <c r="B727" s="11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5">
      <c r="A728" s="109"/>
      <c r="B728" s="11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5">
      <c r="A729" s="109"/>
      <c r="B729" s="11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5">
      <c r="A730" s="109"/>
      <c r="B730" s="11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5">
      <c r="A731" s="109"/>
      <c r="B731" s="11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5">
      <c r="A732" s="109"/>
      <c r="B732" s="11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5">
      <c r="A733" s="109"/>
      <c r="B733" s="11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5">
      <c r="A734" s="109"/>
      <c r="B734" s="11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5">
      <c r="A735" s="109"/>
      <c r="B735" s="11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5">
      <c r="A736" s="109"/>
      <c r="B736" s="11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5">
      <c r="A737" s="109"/>
      <c r="B737" s="11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5">
      <c r="A738" s="109"/>
      <c r="B738" s="11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5">
      <c r="A739" s="109"/>
      <c r="B739" s="11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5">
      <c r="A740" s="109"/>
      <c r="B740" s="11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5">
      <c r="A741" s="109"/>
      <c r="B741" s="11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5">
      <c r="A742" s="109"/>
      <c r="B742" s="11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5">
      <c r="A743" s="109"/>
      <c r="B743" s="11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5">
      <c r="A744" s="109"/>
      <c r="B744" s="11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5">
      <c r="A745" s="109"/>
      <c r="B745" s="11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5">
      <c r="A746" s="109"/>
      <c r="B746" s="11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5">
      <c r="A747" s="109"/>
      <c r="B747" s="11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5">
      <c r="A748" s="109"/>
      <c r="B748" s="11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5">
      <c r="A749" s="109"/>
      <c r="B749" s="11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5">
      <c r="A750" s="109"/>
      <c r="B750" s="11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5">
      <c r="A751" s="109"/>
      <c r="B751" s="11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5">
      <c r="A752" s="109"/>
      <c r="B752" s="11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5">
      <c r="A753" s="109"/>
      <c r="B753" s="11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5">
      <c r="A754" s="109"/>
      <c r="B754" s="11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5">
      <c r="A755" s="109"/>
      <c r="B755" s="11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5">
      <c r="A756" s="109"/>
      <c r="B756" s="11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5">
      <c r="A757" s="109"/>
      <c r="B757" s="11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5">
      <c r="A758" s="109"/>
      <c r="B758" s="11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5">
      <c r="A759" s="109"/>
      <c r="B759" s="11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5">
      <c r="A760" s="109"/>
      <c r="B760" s="11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5">
      <c r="A761" s="109"/>
      <c r="B761" s="11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5">
      <c r="A762" s="109"/>
      <c r="B762" s="11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5">
      <c r="A763" s="109"/>
      <c r="B763" s="11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5">
      <c r="A764" s="109"/>
      <c r="B764" s="11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5">
      <c r="A765" s="109"/>
      <c r="B765" s="11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5">
      <c r="A766" s="109"/>
      <c r="B766" s="11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5">
      <c r="A767" s="109"/>
      <c r="B767" s="11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5">
      <c r="A768" s="109"/>
      <c r="B768" s="11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5">
      <c r="A769" s="109"/>
      <c r="B769" s="11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5">
      <c r="A770" s="109"/>
      <c r="B770" s="11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5">
      <c r="A771" s="109"/>
      <c r="B771" s="11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5">
      <c r="A772" s="109"/>
      <c r="B772" s="11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5">
      <c r="A773" s="109"/>
      <c r="B773" s="11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5">
      <c r="A774" s="109"/>
      <c r="B774" s="11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5">
      <c r="A775" s="109"/>
      <c r="B775" s="11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5">
      <c r="A776" s="109"/>
      <c r="B776" s="11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5">
      <c r="A777" s="109"/>
      <c r="B777" s="11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5">
      <c r="A778" s="109"/>
      <c r="B778" s="11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5">
      <c r="A779" s="109"/>
      <c r="B779" s="11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5">
      <c r="A780" s="109"/>
      <c r="B780" s="11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5">
      <c r="A781" s="109"/>
      <c r="B781" s="11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5">
      <c r="A782" s="109"/>
      <c r="B782" s="11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5">
      <c r="A783" s="109"/>
      <c r="B783" s="11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5">
      <c r="A784" s="109"/>
      <c r="B784" s="11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5">
      <c r="A785" s="109"/>
      <c r="B785" s="11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5">
      <c r="A786" s="109"/>
      <c r="B786" s="11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5">
      <c r="A787" s="109"/>
      <c r="B787" s="11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5">
      <c r="A788" s="109"/>
      <c r="B788" s="11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5">
      <c r="A789" s="109"/>
      <c r="B789" s="11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5">
      <c r="A790" s="109"/>
      <c r="B790" s="11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5">
      <c r="A791" s="109"/>
      <c r="B791" s="11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5">
      <c r="A792" s="109"/>
      <c r="B792" s="11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5">
      <c r="A793" s="109"/>
      <c r="B793" s="11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5">
      <c r="A794" s="109"/>
      <c r="B794" s="11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5">
      <c r="A795" s="109"/>
      <c r="B795" s="11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5">
      <c r="A796" s="109"/>
      <c r="B796" s="11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5">
      <c r="A797" s="109"/>
      <c r="B797" s="11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5">
      <c r="A798" s="109"/>
      <c r="B798" s="11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5">
      <c r="A799" s="109"/>
      <c r="B799" s="11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5">
      <c r="A800" s="109"/>
      <c r="B800" s="11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5">
      <c r="A801" s="109"/>
      <c r="B801" s="11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5">
      <c r="A802" s="109"/>
      <c r="B802" s="11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5">
      <c r="A803" s="109"/>
      <c r="B803" s="11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5">
      <c r="A804" s="109"/>
      <c r="B804" s="11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5">
      <c r="A805" s="109"/>
      <c r="B805" s="11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5">
      <c r="A806" s="109"/>
      <c r="B806" s="11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5">
      <c r="A807" s="109"/>
      <c r="B807" s="11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5">
      <c r="A808" s="109"/>
      <c r="B808" s="11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5">
      <c r="A809" s="109"/>
      <c r="B809" s="11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5">
      <c r="A810" s="109"/>
      <c r="B810" s="11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5">
      <c r="A811" s="109"/>
      <c r="B811" s="11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5">
      <c r="A812" s="109"/>
      <c r="B812" s="11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5">
      <c r="A813" s="109"/>
      <c r="B813" s="11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5">
      <c r="A814" s="109"/>
      <c r="B814" s="11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5">
      <c r="A815" s="109"/>
      <c r="B815" s="11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5">
      <c r="A816" s="109"/>
      <c r="B816" s="11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5">
      <c r="A817" s="109"/>
      <c r="B817" s="11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5">
      <c r="A818" s="109"/>
      <c r="B818" s="11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5">
      <c r="A819" s="109"/>
      <c r="B819" s="11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5">
      <c r="A820" s="109"/>
      <c r="B820" s="11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5">
      <c r="A821" s="109"/>
      <c r="B821" s="11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5">
      <c r="A822" s="109"/>
      <c r="B822" s="11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5">
      <c r="A823" s="109"/>
      <c r="B823" s="11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5">
      <c r="A824" s="109"/>
      <c r="B824" s="11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5">
      <c r="A825" s="109"/>
      <c r="B825" s="11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5">
      <c r="A826" s="109"/>
      <c r="B826" s="11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5">
      <c r="A827" s="109"/>
      <c r="B827" s="11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5">
      <c r="A828" s="109"/>
      <c r="B828" s="11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5">
      <c r="A829" s="109"/>
      <c r="B829" s="11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5">
      <c r="A830" s="109"/>
      <c r="B830" s="11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5">
      <c r="A831" s="109"/>
      <c r="B831" s="11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5">
      <c r="A832" s="109"/>
      <c r="B832" s="11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5">
      <c r="A833" s="109"/>
      <c r="B833" s="11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5">
      <c r="A834" s="109"/>
      <c r="B834" s="11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5">
      <c r="A835" s="109"/>
      <c r="B835" s="11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5">
      <c r="A836" s="109"/>
      <c r="B836" s="11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5">
      <c r="A837" s="109"/>
      <c r="B837" s="11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5">
      <c r="A838" s="109"/>
      <c r="B838" s="11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5">
      <c r="A839" s="109"/>
      <c r="B839" s="11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5">
      <c r="A840" s="109"/>
      <c r="B840" s="11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5">
      <c r="A841" s="109"/>
      <c r="B841" s="11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5">
      <c r="A842" s="109"/>
      <c r="B842" s="11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5">
      <c r="A843" s="109"/>
      <c r="B843" s="11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5">
      <c r="A844" s="109"/>
      <c r="B844" s="11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5">
      <c r="A845" s="109"/>
      <c r="B845" s="11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5">
      <c r="A846" s="109"/>
      <c r="B846" s="11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5">
      <c r="A847" s="109"/>
      <c r="B847" s="11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5">
      <c r="A848" s="109"/>
      <c r="B848" s="11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5">
      <c r="A849" s="109"/>
      <c r="B849" s="11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5">
      <c r="A850" s="109"/>
      <c r="B850" s="11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5">
      <c r="A851" s="109"/>
      <c r="B851" s="11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5">
      <c r="A852" s="109"/>
      <c r="B852" s="11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5">
      <c r="A853" s="109"/>
      <c r="B853" s="11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5">
      <c r="A854" s="109"/>
      <c r="B854" s="11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5">
      <c r="A855" s="109"/>
      <c r="B855" s="11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5">
      <c r="A856" s="109"/>
      <c r="B856" s="11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5">
      <c r="A857" s="109"/>
      <c r="B857" s="11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5">
      <c r="A858" s="109"/>
      <c r="B858" s="11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5">
      <c r="A859" s="109"/>
      <c r="B859" s="11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5">
      <c r="A860" s="109"/>
      <c r="B860" s="11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5">
      <c r="A861" s="109"/>
      <c r="B861" s="11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5">
      <c r="A862" s="109"/>
      <c r="B862" s="11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5">
      <c r="A863" s="109"/>
      <c r="B863" s="11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5">
      <c r="A864" s="109"/>
      <c r="B864" s="11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5">
      <c r="A865" s="109"/>
      <c r="B865" s="11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5">
      <c r="A866" s="109"/>
      <c r="B866" s="11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5">
      <c r="A867" s="109"/>
      <c r="B867" s="11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5">
      <c r="A868" s="109"/>
      <c r="B868" s="11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5">
      <c r="A869" s="109"/>
      <c r="B869" s="11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5">
      <c r="A870" s="109"/>
      <c r="B870" s="11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5">
      <c r="A871" s="109"/>
      <c r="B871" s="11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5">
      <c r="A872" s="109"/>
      <c r="B872" s="11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5">
      <c r="A873" s="109"/>
      <c r="B873" s="11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5">
      <c r="A874" s="109"/>
      <c r="B874" s="11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5">
      <c r="A875" s="109"/>
      <c r="B875" s="11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5">
      <c r="A876" s="109"/>
      <c r="B876" s="11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5">
      <c r="A877" s="109"/>
      <c r="B877" s="11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5">
      <c r="A878" s="109"/>
      <c r="B878" s="11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5">
      <c r="A879" s="109"/>
      <c r="B879" s="11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5">
      <c r="A880" s="109"/>
      <c r="B880" s="11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5">
      <c r="A881" s="109"/>
      <c r="B881" s="11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5">
      <c r="A882" s="109"/>
      <c r="B882" s="11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5">
      <c r="A883" s="109"/>
      <c r="B883" s="11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5">
      <c r="A884" s="109"/>
      <c r="B884" s="11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5">
      <c r="A885" s="109"/>
      <c r="B885" s="11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5">
      <c r="A886" s="109"/>
      <c r="B886" s="11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5">
      <c r="A887" s="109"/>
      <c r="B887" s="11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5">
      <c r="A888" s="109"/>
      <c r="B888" s="11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5">
      <c r="A889" s="109"/>
      <c r="B889" s="11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5">
      <c r="A890" s="109"/>
      <c r="B890" s="11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5">
      <c r="A891" s="109"/>
      <c r="B891" s="11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5">
      <c r="A892" s="109"/>
      <c r="B892" s="11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5">
      <c r="A893" s="109"/>
      <c r="B893" s="11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5">
      <c r="A894" s="109"/>
      <c r="B894" s="11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5">
      <c r="A895" s="109"/>
      <c r="B895" s="11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5">
      <c r="A896" s="109"/>
      <c r="B896" s="11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5">
      <c r="A897" s="109"/>
      <c r="B897" s="11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5">
      <c r="A898" s="109"/>
      <c r="B898" s="11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5">
      <c r="A899" s="109"/>
      <c r="B899" s="11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5">
      <c r="A900" s="109"/>
      <c r="B900" s="11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5">
      <c r="A901" s="109"/>
      <c r="B901" s="11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5">
      <c r="A902" s="109"/>
      <c r="B902" s="11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5">
      <c r="A903" s="109"/>
      <c r="B903" s="11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5">
      <c r="A904" s="109"/>
      <c r="B904" s="11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5">
      <c r="A905" s="109"/>
      <c r="B905" s="11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5">
      <c r="A906" s="109"/>
      <c r="B906" s="11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5">
      <c r="A907" s="109"/>
      <c r="B907" s="11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5">
      <c r="A908" s="109"/>
      <c r="B908" s="11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5">
      <c r="A909" s="109"/>
      <c r="B909" s="11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5">
      <c r="A910" s="109"/>
      <c r="B910" s="11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5">
      <c r="A911" s="109"/>
      <c r="B911" s="11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5">
      <c r="A912" s="109"/>
      <c r="B912" s="11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5">
      <c r="A913" s="109"/>
      <c r="B913" s="11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5">
      <c r="A914" s="109"/>
      <c r="B914" s="11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5">
      <c r="A915" s="109"/>
      <c r="B915" s="11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5">
      <c r="A916" s="109"/>
      <c r="B916" s="11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5">
      <c r="A917" s="109"/>
      <c r="B917" s="11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5">
      <c r="A918" s="109"/>
      <c r="B918" s="11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5">
      <c r="A919" s="109"/>
      <c r="B919" s="11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5">
      <c r="A920" s="109"/>
      <c r="B920" s="11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5">
      <c r="A921" s="109"/>
      <c r="B921" s="11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5">
      <c r="A922" s="109"/>
      <c r="B922" s="11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5">
      <c r="A923" s="109"/>
      <c r="B923" s="11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5">
      <c r="A924" s="109"/>
      <c r="B924" s="11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5">
      <c r="A925" s="109"/>
      <c r="B925" s="11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5">
      <c r="A926" s="109"/>
      <c r="B926" s="11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5">
      <c r="A927" s="109"/>
      <c r="B927" s="11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5">
      <c r="A928" s="109"/>
      <c r="B928" s="11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5">
      <c r="A929" s="109"/>
      <c r="B929" s="11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5">
      <c r="A930" s="109"/>
      <c r="B930" s="11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5">
      <c r="A931" s="109"/>
      <c r="B931" s="11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5">
      <c r="A932" s="109"/>
      <c r="B932" s="11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5">
      <c r="A933" s="109"/>
      <c r="B933" s="11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5">
      <c r="A934" s="109"/>
      <c r="B934" s="11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5">
      <c r="A935" s="109"/>
      <c r="B935" s="11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5">
      <c r="A936" s="109"/>
      <c r="B936" s="11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5">
      <c r="A937" s="109"/>
      <c r="B937" s="11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5">
      <c r="A938" s="109"/>
      <c r="B938" s="11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5">
      <c r="A939" s="109"/>
      <c r="B939" s="11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5">
      <c r="A940" s="109"/>
      <c r="B940" s="11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5">
      <c r="A941" s="109"/>
      <c r="B941" s="11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5">
      <c r="A942" s="109"/>
      <c r="B942" s="11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5">
      <c r="A943" s="109"/>
      <c r="B943" s="11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5">
      <c r="A944" s="109"/>
      <c r="B944" s="11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5">
      <c r="A945" s="109"/>
      <c r="B945" s="11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5">
      <c r="A946" s="109"/>
      <c r="B946" s="11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5">
      <c r="A947" s="109"/>
      <c r="B947" s="11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5">
      <c r="A948" s="109"/>
      <c r="B948" s="11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5">
      <c r="A949" s="109"/>
      <c r="B949" s="11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5">
      <c r="A950" s="109"/>
      <c r="B950" s="11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5">
      <c r="A951" s="109"/>
      <c r="B951" s="11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5">
      <c r="A952" s="109"/>
      <c r="B952" s="11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5">
      <c r="A953" s="109"/>
      <c r="B953" s="11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5">
      <c r="A954" s="109"/>
      <c r="B954" s="11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5">
      <c r="A955" s="109"/>
      <c r="B955" s="11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5">
      <c r="A956" s="109"/>
      <c r="B956" s="11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5">
      <c r="A957" s="109"/>
      <c r="B957" s="11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5">
      <c r="A958" s="109"/>
      <c r="B958" s="11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5">
      <c r="A959" s="109"/>
      <c r="B959" s="11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5">
      <c r="A960" s="109"/>
      <c r="B960" s="11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5">
      <c r="A961" s="109"/>
      <c r="B961" s="11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5">
      <c r="A962" s="109"/>
      <c r="B962" s="11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5">
      <c r="A963" s="109"/>
      <c r="B963" s="11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5">
      <c r="A964" s="109"/>
      <c r="B964" s="11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5">
      <c r="A965" s="109"/>
      <c r="B965" s="11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5">
      <c r="A966" s="109"/>
      <c r="B966" s="11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5">
      <c r="A967" s="109"/>
      <c r="B967" s="11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5">
      <c r="A968" s="109"/>
      <c r="B968" s="11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5">
      <c r="A969" s="109"/>
      <c r="B969" s="11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5">
      <c r="A970" s="109"/>
      <c r="B970" s="11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5">
      <c r="A971" s="109"/>
      <c r="B971" s="11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5">
      <c r="A972" s="109"/>
      <c r="B972" s="11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5">
      <c r="A973" s="109"/>
      <c r="B973" s="11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5">
      <c r="A974" s="109"/>
      <c r="B974" s="11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5">
      <c r="A975" s="109"/>
      <c r="B975" s="11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5">
      <c r="A976" s="109"/>
      <c r="B976" s="11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5">
      <c r="A977" s="109"/>
      <c r="B977" s="11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5">
      <c r="A978" s="109"/>
      <c r="B978" s="11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5">
      <c r="A979" s="109"/>
      <c r="B979" s="11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5">
      <c r="A980" s="109"/>
      <c r="B980" s="11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5">
      <c r="A981" s="109"/>
      <c r="B981" s="11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5">
      <c r="A982" s="109"/>
      <c r="B982" s="11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5">
      <c r="A983" s="109"/>
      <c r="B983" s="11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5">
      <c r="A984" s="109"/>
      <c r="B984" s="11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5">
      <c r="A985" s="109"/>
      <c r="B985" s="11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5">
      <c r="A986" s="109"/>
      <c r="B986" s="11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5">
      <c r="A987" s="109"/>
      <c r="B987" s="11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5">
      <c r="A988" s="109"/>
      <c r="B988" s="11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5">
      <c r="A989" s="109"/>
      <c r="B989" s="11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5">
      <c r="A990" s="109"/>
      <c r="B990" s="11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5">
      <c r="A991" s="109"/>
      <c r="B991" s="11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5">
      <c r="A992" s="109"/>
      <c r="B992" s="11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5">
      <c r="A993" s="109"/>
      <c r="B993" s="11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5">
      <c r="A994" s="109"/>
      <c r="B994" s="11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5">
      <c r="A995" s="109"/>
      <c r="B995" s="11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5">
      <c r="A996" s="109"/>
      <c r="B996" s="11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5">
      <c r="A997" s="109"/>
      <c r="B997" s="11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5">
      <c r="A998" s="109"/>
      <c r="B998" s="11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5">
      <c r="A999" s="109"/>
      <c r="B999" s="11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5">
      <c r="A1000" s="109"/>
      <c r="B1000" s="11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5.75" customHeight="1" x14ac:dyDescent="0.25">
      <c r="A1001" s="20"/>
      <c r="B1001" s="11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1ST TERM 2021-2022</vt:lpstr>
      <vt:lpstr>2ND TERM 2021-2022</vt:lpstr>
      <vt:lpstr>3RD TERM 2021-2022</vt:lpstr>
      <vt:lpstr>AFTERSCHOOL STIPEND</vt:lpstr>
      <vt:lpstr>1ST TERM 2022-2023</vt:lpstr>
      <vt:lpstr>1ST TERM PAYMENT SHEET</vt:lpstr>
      <vt:lpstr>2ND TERM 2022-2023</vt:lpstr>
      <vt:lpstr>2ND TERM PAYMENT SHEET</vt:lpstr>
      <vt:lpstr>3RD TERM 2022-2023</vt:lpstr>
      <vt:lpstr>3RD TERM PAYMENT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dcterms:created xsi:type="dcterms:W3CDTF">2022-01-11T08:30:00Z</dcterms:created>
  <dcterms:modified xsi:type="dcterms:W3CDTF">2026-08-20T14:23:07Z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