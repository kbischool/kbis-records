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0F6A5254-C1DE-4AEE-9DE6-2ACAE2A61EE3}" xr6:coauthVersionLast="47" xr6:coauthVersionMax="47" xr10:uidLastSave="{00000000-0000-0000-0000-000000000000}"/>
  <bookViews>
    <workbookView xWindow="-110" yWindow="-110" windowWidth="19420" windowHeight="10300" tabRatio="733" firstSheet="6" activeTab="6" xr2:uid="{00000000-000D-0000-FFFF-FFFF00000000}"/>
  </bookViews>
  <sheets>
    <sheet name="1ST TERM 2023-2024" sheetId="1" r:id="rId1"/>
    <sheet name="1ST TERM PAYMENT SHEET" sheetId="2" state="hidden" r:id="rId2"/>
    <sheet name="2ND TERM 2023-2024" sheetId="3" state="hidden" r:id="rId3"/>
    <sheet name="2ND TERM PAYMENT SHEET" sheetId="4" state="hidden" r:id="rId4"/>
    <sheet name="3RD TERM 2023-2024" sheetId="5" state="hidden" r:id="rId5"/>
    <sheet name="3RD TERM PAYMENT SHEET" sheetId="6" state="hidden" r:id="rId6"/>
    <sheet name="1ST TERM 2024-2025" sheetId="7" r:id="rId7"/>
    <sheet name="1ST TERM LOG 2024-2025" sheetId="8" r:id="rId8"/>
    <sheet name="2ND TERM 2024-2025 " sheetId="10" r:id="rId9"/>
    <sheet name="2ND TERM LOG 2024-2025 " sheetId="11" r:id="rId10"/>
  </sheets>
  <definedNames>
    <definedName name="_xlnm._FilterDatabase" localSheetId="6" hidden="1">'1ST TERM 2024-2025'!$A$1:$AC$995</definedName>
    <definedName name="_xlnm._FilterDatabase" localSheetId="7" hidden="1">'1ST TERM LOG 2024-2025'!$A$1:$F$210</definedName>
    <definedName name="_xlnm._FilterDatabase" localSheetId="8" hidden="1">'2ND TERM 2024-2025 '!$A$1:$AC$994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2" roundtripDataChecksum="UARjU3KZMX0uCZvxea088GJyjcml7JXnAGN7GWUe/4k="/>
    </ext>
  </extLst>
</workbook>
</file>

<file path=xl/calcChain.xml><?xml version="1.0" encoding="utf-8"?>
<calcChain xmlns="http://schemas.openxmlformats.org/spreadsheetml/2006/main">
  <c r="N10" i="10" l="1"/>
  <c r="M10" i="10"/>
  <c r="L10" i="10"/>
  <c r="K10" i="10"/>
  <c r="J10" i="10"/>
  <c r="N9" i="10"/>
  <c r="M9" i="10"/>
  <c r="L9" i="10"/>
  <c r="K9" i="10"/>
  <c r="J9" i="10"/>
  <c r="N44" i="10"/>
  <c r="M44" i="10"/>
  <c r="L44" i="10"/>
  <c r="K44" i="10"/>
  <c r="J44" i="10"/>
  <c r="N27" i="10"/>
  <c r="M27" i="10"/>
  <c r="L27" i="10"/>
  <c r="K27" i="10"/>
  <c r="J27" i="10"/>
  <c r="N21" i="10"/>
  <c r="M21" i="10"/>
  <c r="L21" i="10"/>
  <c r="K21" i="10"/>
  <c r="J21" i="10"/>
  <c r="N69" i="10"/>
  <c r="M69" i="10"/>
  <c r="L69" i="10"/>
  <c r="K69" i="10"/>
  <c r="J69" i="10"/>
  <c r="N102" i="10"/>
  <c r="M102" i="10"/>
  <c r="L102" i="10"/>
  <c r="K102" i="10"/>
  <c r="J102" i="10"/>
  <c r="N92" i="10"/>
  <c r="M92" i="10"/>
  <c r="L92" i="10"/>
  <c r="K92" i="10"/>
  <c r="J92" i="10"/>
  <c r="N57" i="10"/>
  <c r="M57" i="10"/>
  <c r="L57" i="10"/>
  <c r="K57" i="10"/>
  <c r="J57" i="10"/>
  <c r="N43" i="10"/>
  <c r="M43" i="10"/>
  <c r="L43" i="10"/>
  <c r="K43" i="10"/>
  <c r="J43" i="10"/>
  <c r="N26" i="10"/>
  <c r="M26" i="10"/>
  <c r="L26" i="10"/>
  <c r="K26" i="10"/>
  <c r="J26" i="10"/>
  <c r="N56" i="10"/>
  <c r="M56" i="10"/>
  <c r="L56" i="10"/>
  <c r="K56" i="10"/>
  <c r="J56" i="10"/>
  <c r="N68" i="10"/>
  <c r="M68" i="10"/>
  <c r="L68" i="10"/>
  <c r="K68" i="10"/>
  <c r="J68" i="10"/>
  <c r="N78" i="10"/>
  <c r="M78" i="10"/>
  <c r="L78" i="10"/>
  <c r="K78" i="10"/>
  <c r="J78" i="10"/>
  <c r="N55" i="10"/>
  <c r="M55" i="10"/>
  <c r="L55" i="10"/>
  <c r="K55" i="10"/>
  <c r="J55" i="10"/>
  <c r="N20" i="10"/>
  <c r="M20" i="10"/>
  <c r="L20" i="10"/>
  <c r="K20" i="10"/>
  <c r="J20" i="10"/>
  <c r="N54" i="10"/>
  <c r="M54" i="10"/>
  <c r="L54" i="10"/>
  <c r="K54" i="10"/>
  <c r="J54" i="10"/>
  <c r="N42" i="10"/>
  <c r="M42" i="10"/>
  <c r="L42" i="10"/>
  <c r="K42" i="10"/>
  <c r="J42" i="10"/>
  <c r="N8" i="10"/>
  <c r="M8" i="10"/>
  <c r="L8" i="10"/>
  <c r="K8" i="10"/>
  <c r="J8" i="10"/>
  <c r="N19" i="10"/>
  <c r="M19" i="10"/>
  <c r="L19" i="10"/>
  <c r="K19" i="10"/>
  <c r="J19" i="10"/>
  <c r="N36" i="10"/>
  <c r="M36" i="10"/>
  <c r="L36" i="10"/>
  <c r="K36" i="10"/>
  <c r="J36" i="10"/>
  <c r="N101" i="10"/>
  <c r="M101" i="10"/>
  <c r="L101" i="10"/>
  <c r="K101" i="10"/>
  <c r="J101" i="10"/>
  <c r="N85" i="10"/>
  <c r="M85" i="10"/>
  <c r="L85" i="10"/>
  <c r="K85" i="10"/>
  <c r="J85" i="10"/>
  <c r="N94" i="10"/>
  <c r="M94" i="10"/>
  <c r="L94" i="10"/>
  <c r="K94" i="10"/>
  <c r="J94" i="10"/>
  <c r="N84" i="10"/>
  <c r="M84" i="10"/>
  <c r="L84" i="10"/>
  <c r="K84" i="10"/>
  <c r="J84" i="10"/>
  <c r="N35" i="10"/>
  <c r="M35" i="10"/>
  <c r="L35" i="10"/>
  <c r="K35" i="10"/>
  <c r="J35" i="10"/>
  <c r="N77" i="10"/>
  <c r="M77" i="10"/>
  <c r="L77" i="10"/>
  <c r="K77" i="10"/>
  <c r="J77" i="10"/>
  <c r="N53" i="10"/>
  <c r="M53" i="10"/>
  <c r="L53" i="10"/>
  <c r="K53" i="10"/>
  <c r="J53" i="10"/>
  <c r="N34" i="10"/>
  <c r="M34" i="10"/>
  <c r="L34" i="10"/>
  <c r="K34" i="10"/>
  <c r="J34" i="10"/>
  <c r="N52" i="10"/>
  <c r="M52" i="10"/>
  <c r="L52" i="10"/>
  <c r="K52" i="10"/>
  <c r="J52" i="10"/>
  <c r="N7" i="10"/>
  <c r="M7" i="10"/>
  <c r="L7" i="10"/>
  <c r="K7" i="10"/>
  <c r="J7" i="10"/>
  <c r="N91" i="10"/>
  <c r="M91" i="10"/>
  <c r="L91" i="10"/>
  <c r="K91" i="10"/>
  <c r="J91" i="10"/>
  <c r="N76" i="10"/>
  <c r="M76" i="10"/>
  <c r="L76" i="10"/>
  <c r="K76" i="10"/>
  <c r="J76" i="10"/>
  <c r="N51" i="10"/>
  <c r="M51" i="10"/>
  <c r="L51" i="10"/>
  <c r="K51" i="10"/>
  <c r="J51" i="10"/>
  <c r="N50" i="10"/>
  <c r="M50" i="10"/>
  <c r="L50" i="10"/>
  <c r="K50" i="10"/>
  <c r="J50" i="10"/>
  <c r="N104" i="10"/>
  <c r="M104" i="10"/>
  <c r="L104" i="10"/>
  <c r="K104" i="10"/>
  <c r="J104" i="10"/>
  <c r="N49" i="10"/>
  <c r="M49" i="10"/>
  <c r="L49" i="10"/>
  <c r="K49" i="10"/>
  <c r="J49" i="10"/>
  <c r="N33" i="10"/>
  <c r="M33" i="10"/>
  <c r="L33" i="10"/>
  <c r="K33" i="10"/>
  <c r="J33" i="10"/>
  <c r="N100" i="10"/>
  <c r="M100" i="10"/>
  <c r="L100" i="10"/>
  <c r="K100" i="10"/>
  <c r="J100" i="10"/>
  <c r="N97" i="10"/>
  <c r="M97" i="10"/>
  <c r="L97" i="10"/>
  <c r="K97" i="10"/>
  <c r="J97" i="10"/>
  <c r="N67" i="10"/>
  <c r="M67" i="10"/>
  <c r="L67" i="10"/>
  <c r="K67" i="10"/>
  <c r="J67" i="10"/>
  <c r="N41" i="10"/>
  <c r="M41" i="10"/>
  <c r="L41" i="10"/>
  <c r="K41" i="10"/>
  <c r="J41" i="10"/>
  <c r="N6" i="10"/>
  <c r="M6" i="10"/>
  <c r="L6" i="10"/>
  <c r="K6" i="10"/>
  <c r="J6" i="10"/>
  <c r="N48" i="10"/>
  <c r="M48" i="10"/>
  <c r="L48" i="10"/>
  <c r="K48" i="10"/>
  <c r="J48" i="10"/>
  <c r="N96" i="10"/>
  <c r="M96" i="10"/>
  <c r="L96" i="10"/>
  <c r="K96" i="10"/>
  <c r="J96" i="10"/>
  <c r="N75" i="10"/>
  <c r="M75" i="10"/>
  <c r="L75" i="10"/>
  <c r="K75" i="10"/>
  <c r="J75" i="10"/>
  <c r="N25" i="10"/>
  <c r="M25" i="10"/>
  <c r="L25" i="10"/>
  <c r="K25" i="10"/>
  <c r="J25" i="10"/>
  <c r="N90" i="10"/>
  <c r="M90" i="10"/>
  <c r="L90" i="10"/>
  <c r="K90" i="10"/>
  <c r="J90" i="10"/>
  <c r="N66" i="10"/>
  <c r="M66" i="10"/>
  <c r="L66" i="10"/>
  <c r="K66" i="10"/>
  <c r="J66" i="10"/>
  <c r="N32" i="10"/>
  <c r="M32" i="10"/>
  <c r="L32" i="10"/>
  <c r="K32" i="10"/>
  <c r="J32" i="10"/>
  <c r="N83" i="10"/>
  <c r="M83" i="10"/>
  <c r="L83" i="10"/>
  <c r="K83" i="10"/>
  <c r="J83" i="10"/>
  <c r="N82" i="10"/>
  <c r="M82" i="10"/>
  <c r="L82" i="10"/>
  <c r="K82" i="10"/>
  <c r="J82" i="10"/>
  <c r="N18" i="10"/>
  <c r="M18" i="10"/>
  <c r="L18" i="10"/>
  <c r="K18" i="10"/>
  <c r="J18" i="10"/>
  <c r="N74" i="10"/>
  <c r="M74" i="10"/>
  <c r="L74" i="10"/>
  <c r="K74" i="10"/>
  <c r="J74" i="10"/>
  <c r="N31" i="10"/>
  <c r="M31" i="10"/>
  <c r="L31" i="10"/>
  <c r="K31" i="10"/>
  <c r="J31" i="10"/>
  <c r="N47" i="10"/>
  <c r="M47" i="10"/>
  <c r="L47" i="10"/>
  <c r="K47" i="10"/>
  <c r="J47" i="10"/>
  <c r="N17" i="10"/>
  <c r="M17" i="10"/>
  <c r="L17" i="10"/>
  <c r="K17" i="10"/>
  <c r="J17" i="10"/>
  <c r="N30" i="10"/>
  <c r="M30" i="10"/>
  <c r="L30" i="10"/>
  <c r="K30" i="10"/>
  <c r="J30" i="10"/>
  <c r="N89" i="10"/>
  <c r="M89" i="10"/>
  <c r="L89" i="10"/>
  <c r="K89" i="10"/>
  <c r="J89" i="10"/>
  <c r="N65" i="10"/>
  <c r="M65" i="10"/>
  <c r="L65" i="10"/>
  <c r="K65" i="10"/>
  <c r="J65" i="10"/>
  <c r="N73" i="10"/>
  <c r="M73" i="10"/>
  <c r="L73" i="10"/>
  <c r="K73" i="10"/>
  <c r="J73" i="10"/>
  <c r="N29" i="10"/>
  <c r="M29" i="10"/>
  <c r="L29" i="10"/>
  <c r="K29" i="10"/>
  <c r="J29" i="10"/>
  <c r="N99" i="10"/>
  <c r="M99" i="10"/>
  <c r="L99" i="10"/>
  <c r="K99" i="10"/>
  <c r="J99" i="10"/>
  <c r="N16" i="10"/>
  <c r="M16" i="10"/>
  <c r="L16" i="10"/>
  <c r="K16" i="10"/>
  <c r="J16" i="10"/>
  <c r="N64" i="10"/>
  <c r="M64" i="10"/>
  <c r="L64" i="10"/>
  <c r="K64" i="10"/>
  <c r="J64" i="10"/>
  <c r="N24" i="10"/>
  <c r="M24" i="10"/>
  <c r="L24" i="10"/>
  <c r="K24" i="10"/>
  <c r="J24" i="10"/>
  <c r="N98" i="10"/>
  <c r="M98" i="10"/>
  <c r="L98" i="10"/>
  <c r="K98" i="10"/>
  <c r="J98" i="10"/>
  <c r="N15" i="10"/>
  <c r="M15" i="10"/>
  <c r="L15" i="10"/>
  <c r="K15" i="10"/>
  <c r="J15" i="10"/>
  <c r="N23" i="10"/>
  <c r="M23" i="10"/>
  <c r="L23" i="10"/>
  <c r="K23" i="10"/>
  <c r="J23" i="10"/>
  <c r="N14" i="10"/>
  <c r="M14" i="10"/>
  <c r="L14" i="10"/>
  <c r="K14" i="10"/>
  <c r="J14" i="10"/>
  <c r="N88" i="10"/>
  <c r="M88" i="10"/>
  <c r="L88" i="10"/>
  <c r="K88" i="10"/>
  <c r="J88" i="10"/>
  <c r="N81" i="10"/>
  <c r="M81" i="10"/>
  <c r="L81" i="10"/>
  <c r="K81" i="10"/>
  <c r="J81" i="10"/>
  <c r="N46" i="10"/>
  <c r="M46" i="10"/>
  <c r="L46" i="10"/>
  <c r="K46" i="10"/>
  <c r="J46" i="10"/>
  <c r="N63" i="10"/>
  <c r="M63" i="10"/>
  <c r="L63" i="10"/>
  <c r="K63" i="10"/>
  <c r="J63" i="10"/>
  <c r="N40" i="10"/>
  <c r="M40" i="10"/>
  <c r="L40" i="10"/>
  <c r="K40" i="10"/>
  <c r="J40" i="10"/>
  <c r="N103" i="10"/>
  <c r="M103" i="10"/>
  <c r="L103" i="10"/>
  <c r="K103" i="10"/>
  <c r="J103" i="10"/>
  <c r="N93" i="10"/>
  <c r="M93" i="10"/>
  <c r="L93" i="10"/>
  <c r="K93" i="10"/>
  <c r="J93" i="10"/>
  <c r="N13" i="10"/>
  <c r="M13" i="10"/>
  <c r="L13" i="10"/>
  <c r="K13" i="10"/>
  <c r="J13" i="10"/>
  <c r="N80" i="10"/>
  <c r="M80" i="10"/>
  <c r="L80" i="10"/>
  <c r="K80" i="10"/>
  <c r="J80" i="10"/>
  <c r="N62" i="10"/>
  <c r="M62" i="10"/>
  <c r="L62" i="10"/>
  <c r="K62" i="10"/>
  <c r="J62" i="10"/>
  <c r="N95" i="10"/>
  <c r="M95" i="10"/>
  <c r="L95" i="10"/>
  <c r="K95" i="10"/>
  <c r="J95" i="10"/>
  <c r="N39" i="10"/>
  <c r="M39" i="10"/>
  <c r="L39" i="10"/>
  <c r="K39" i="10"/>
  <c r="J39" i="10"/>
  <c r="N38" i="10"/>
  <c r="M38" i="10"/>
  <c r="L38" i="10"/>
  <c r="K38" i="10"/>
  <c r="J38" i="10"/>
  <c r="N12" i="10"/>
  <c r="M12" i="10"/>
  <c r="L12" i="10"/>
  <c r="K12" i="10"/>
  <c r="J12" i="10"/>
  <c r="N45" i="10"/>
  <c r="M45" i="10"/>
  <c r="L45" i="10"/>
  <c r="K45" i="10"/>
  <c r="J45" i="10"/>
  <c r="N11" i="10"/>
  <c r="M11" i="10"/>
  <c r="L11" i="10"/>
  <c r="K11" i="10"/>
  <c r="J11" i="10"/>
  <c r="N79" i="10"/>
  <c r="M79" i="10"/>
  <c r="L79" i="10"/>
  <c r="K79" i="10"/>
  <c r="J79" i="10"/>
  <c r="N37" i="10"/>
  <c r="M37" i="10"/>
  <c r="L37" i="10"/>
  <c r="K37" i="10"/>
  <c r="J37" i="10"/>
  <c r="N5" i="10"/>
  <c r="M5" i="10"/>
  <c r="L5" i="10"/>
  <c r="K5" i="10"/>
  <c r="J5" i="10"/>
  <c r="N87" i="10"/>
  <c r="M87" i="10"/>
  <c r="L87" i="10"/>
  <c r="K87" i="10"/>
  <c r="J87" i="10"/>
  <c r="N4" i="10"/>
  <c r="M4" i="10"/>
  <c r="L4" i="10"/>
  <c r="K4" i="10"/>
  <c r="J4" i="10"/>
  <c r="N86" i="10"/>
  <c r="M86" i="10"/>
  <c r="L86" i="10"/>
  <c r="K86" i="10"/>
  <c r="J86" i="10"/>
  <c r="N28" i="10"/>
  <c r="M28" i="10"/>
  <c r="L28" i="10"/>
  <c r="K28" i="10"/>
  <c r="J28" i="10"/>
  <c r="N72" i="10"/>
  <c r="M72" i="10"/>
  <c r="L72" i="10"/>
  <c r="K72" i="10"/>
  <c r="J72" i="10"/>
  <c r="N61" i="10"/>
  <c r="M61" i="10"/>
  <c r="L61" i="10"/>
  <c r="K61" i="10"/>
  <c r="J61" i="10"/>
  <c r="N71" i="10"/>
  <c r="M71" i="10"/>
  <c r="L71" i="10"/>
  <c r="K71" i="10"/>
  <c r="J71" i="10"/>
  <c r="N60" i="10"/>
  <c r="M60" i="10"/>
  <c r="L60" i="10"/>
  <c r="K60" i="10"/>
  <c r="J60" i="10"/>
  <c r="N22" i="10"/>
  <c r="M22" i="10"/>
  <c r="L22" i="10"/>
  <c r="K22" i="10"/>
  <c r="J22" i="10"/>
  <c r="N70" i="10"/>
  <c r="M70" i="10"/>
  <c r="L70" i="10"/>
  <c r="K70" i="10"/>
  <c r="J70" i="10"/>
  <c r="N59" i="10"/>
  <c r="M59" i="10"/>
  <c r="L59" i="10"/>
  <c r="K59" i="10"/>
  <c r="J59" i="10"/>
  <c r="N58" i="10"/>
  <c r="M58" i="10"/>
  <c r="L58" i="10"/>
  <c r="K58" i="10"/>
  <c r="J58" i="10"/>
  <c r="N3" i="10"/>
  <c r="M3" i="10"/>
  <c r="L3" i="10"/>
  <c r="K3" i="10"/>
  <c r="J3" i="10"/>
  <c r="N2" i="10"/>
  <c r="M2" i="10"/>
  <c r="L2" i="10"/>
  <c r="K2" i="10"/>
  <c r="J2" i="10"/>
  <c r="J12" i="7"/>
  <c r="K12" i="7"/>
  <c r="L12" i="7"/>
  <c r="M12" i="7"/>
  <c r="N12" i="7"/>
  <c r="N70" i="7"/>
  <c r="M70" i="7"/>
  <c r="L70" i="7"/>
  <c r="K70" i="7"/>
  <c r="J70" i="7"/>
  <c r="N30" i="7"/>
  <c r="M30" i="7"/>
  <c r="L30" i="7"/>
  <c r="K30" i="7"/>
  <c r="J30" i="7"/>
  <c r="N22" i="7"/>
  <c r="M22" i="7"/>
  <c r="L22" i="7"/>
  <c r="K22" i="7"/>
  <c r="J22" i="7"/>
  <c r="N99" i="7"/>
  <c r="M99" i="7"/>
  <c r="L99" i="7"/>
  <c r="K99" i="7"/>
  <c r="J99" i="7"/>
  <c r="N84" i="7"/>
  <c r="M84" i="7"/>
  <c r="L84" i="7"/>
  <c r="K84" i="7"/>
  <c r="J84" i="7"/>
  <c r="N67" i="7"/>
  <c r="M67" i="7"/>
  <c r="L67" i="7"/>
  <c r="K67" i="7"/>
  <c r="J67" i="7"/>
  <c r="N43" i="7"/>
  <c r="M43" i="7"/>
  <c r="L43" i="7"/>
  <c r="K43" i="7"/>
  <c r="J43" i="7"/>
  <c r="N39" i="7"/>
  <c r="M39" i="7"/>
  <c r="L39" i="7"/>
  <c r="K39" i="7"/>
  <c r="J39" i="7"/>
  <c r="N66" i="7"/>
  <c r="M66" i="7"/>
  <c r="L66" i="7"/>
  <c r="K66" i="7"/>
  <c r="J66" i="7"/>
  <c r="N61" i="7"/>
  <c r="M61" i="7"/>
  <c r="L61" i="7"/>
  <c r="K61" i="7"/>
  <c r="J61" i="7"/>
  <c r="N25" i="7"/>
  <c r="M25" i="7"/>
  <c r="L25" i="7"/>
  <c r="K25" i="7"/>
  <c r="J25" i="7"/>
  <c r="N82" i="7"/>
  <c r="M82" i="7"/>
  <c r="L82" i="7"/>
  <c r="K82" i="7"/>
  <c r="J82" i="7"/>
  <c r="N29" i="7"/>
  <c r="M29" i="7"/>
  <c r="L29" i="7"/>
  <c r="K29" i="7"/>
  <c r="J29" i="7"/>
  <c r="N98" i="7"/>
  <c r="M98" i="7"/>
  <c r="L98" i="7"/>
  <c r="K98" i="7"/>
  <c r="J98" i="7"/>
  <c r="N74" i="7"/>
  <c r="M74" i="7"/>
  <c r="L74" i="7"/>
  <c r="K74" i="7"/>
  <c r="J74" i="7"/>
  <c r="N58" i="7"/>
  <c r="M58" i="7"/>
  <c r="L58" i="7"/>
  <c r="K58" i="7"/>
  <c r="J58" i="7"/>
  <c r="N47" i="7"/>
  <c r="M47" i="7"/>
  <c r="L47" i="7"/>
  <c r="K47" i="7"/>
  <c r="J47" i="7"/>
  <c r="N35" i="7"/>
  <c r="M35" i="7"/>
  <c r="L35" i="7"/>
  <c r="K35" i="7"/>
  <c r="J35" i="7"/>
  <c r="N15" i="7"/>
  <c r="M15" i="7"/>
  <c r="L15" i="7"/>
  <c r="K15" i="7"/>
  <c r="J15" i="7"/>
  <c r="N14" i="7"/>
  <c r="M14" i="7"/>
  <c r="L14" i="7"/>
  <c r="K14" i="7"/>
  <c r="J14" i="7"/>
  <c r="N83" i="7"/>
  <c r="M83" i="7"/>
  <c r="L83" i="7"/>
  <c r="K83" i="7"/>
  <c r="J83" i="7"/>
  <c r="N81" i="7"/>
  <c r="M81" i="7"/>
  <c r="L81" i="7"/>
  <c r="K81" i="7"/>
  <c r="J81" i="7"/>
  <c r="N55" i="7"/>
  <c r="M55" i="7"/>
  <c r="L55" i="7"/>
  <c r="K55" i="7"/>
  <c r="J55" i="7"/>
  <c r="N54" i="7"/>
  <c r="M54" i="7"/>
  <c r="L54" i="7"/>
  <c r="K54" i="7"/>
  <c r="J54" i="7"/>
  <c r="N34" i="7"/>
  <c r="M34" i="7"/>
  <c r="L34" i="7"/>
  <c r="K34" i="7"/>
  <c r="J34" i="7"/>
  <c r="N27" i="7"/>
  <c r="M27" i="7"/>
  <c r="L27" i="7"/>
  <c r="K27" i="7"/>
  <c r="J27" i="7"/>
  <c r="N18" i="7"/>
  <c r="M18" i="7"/>
  <c r="L18" i="7"/>
  <c r="K18" i="7"/>
  <c r="J18" i="7"/>
  <c r="N92" i="7"/>
  <c r="M92" i="7"/>
  <c r="L92" i="7"/>
  <c r="K92" i="7"/>
  <c r="J92" i="7"/>
  <c r="N79" i="7"/>
  <c r="M79" i="7"/>
  <c r="L79" i="7"/>
  <c r="K79" i="7"/>
  <c r="J79" i="7"/>
  <c r="N73" i="7"/>
  <c r="M73" i="7"/>
  <c r="L73" i="7"/>
  <c r="K73" i="7"/>
  <c r="J73" i="7"/>
  <c r="N60" i="7"/>
  <c r="M60" i="7"/>
  <c r="L60" i="7"/>
  <c r="K60" i="7"/>
  <c r="J60" i="7"/>
  <c r="N52" i="7"/>
  <c r="M52" i="7"/>
  <c r="L52" i="7"/>
  <c r="K52" i="7"/>
  <c r="J52" i="7"/>
  <c r="N45" i="7"/>
  <c r="M45" i="7"/>
  <c r="L45" i="7"/>
  <c r="K45" i="7"/>
  <c r="J45" i="7"/>
  <c r="N11" i="7"/>
  <c r="M11" i="7"/>
  <c r="L11" i="7"/>
  <c r="K11" i="7"/>
  <c r="J11" i="7"/>
  <c r="N9" i="7"/>
  <c r="M9" i="7"/>
  <c r="L9" i="7"/>
  <c r="K9" i="7"/>
  <c r="J9" i="7"/>
  <c r="N6" i="7"/>
  <c r="M6" i="7"/>
  <c r="L6" i="7"/>
  <c r="K6" i="7"/>
  <c r="J6" i="7"/>
  <c r="N100" i="7"/>
  <c r="M100" i="7"/>
  <c r="L100" i="7"/>
  <c r="K100" i="7"/>
  <c r="J100" i="7"/>
  <c r="N93" i="7"/>
  <c r="M93" i="7"/>
  <c r="L93" i="7"/>
  <c r="K93" i="7"/>
  <c r="J93" i="7"/>
  <c r="N65" i="7"/>
  <c r="M65" i="7"/>
  <c r="L65" i="7"/>
  <c r="K65" i="7"/>
  <c r="J65" i="7"/>
  <c r="N57" i="7"/>
  <c r="M57" i="7"/>
  <c r="L57" i="7"/>
  <c r="K57" i="7"/>
  <c r="J57" i="7"/>
  <c r="N46" i="7"/>
  <c r="M46" i="7"/>
  <c r="L46" i="7"/>
  <c r="K46" i="7"/>
  <c r="J46" i="7"/>
  <c r="N41" i="7"/>
  <c r="M41" i="7"/>
  <c r="L41" i="7"/>
  <c r="K41" i="7"/>
  <c r="J41" i="7"/>
  <c r="N32" i="7"/>
  <c r="M32" i="7"/>
  <c r="L32" i="7"/>
  <c r="K32" i="7"/>
  <c r="J32" i="7"/>
  <c r="N26" i="7"/>
  <c r="M26" i="7"/>
  <c r="L26" i="7"/>
  <c r="K26" i="7"/>
  <c r="J26" i="7"/>
  <c r="N10" i="7"/>
  <c r="M10" i="7"/>
  <c r="L10" i="7"/>
  <c r="K10" i="7"/>
  <c r="J10" i="7"/>
  <c r="N8" i="7"/>
  <c r="M8" i="7"/>
  <c r="L8" i="7"/>
  <c r="K8" i="7"/>
  <c r="J8" i="7"/>
  <c r="N5" i="7"/>
  <c r="M5" i="7"/>
  <c r="L5" i="7"/>
  <c r="K5" i="7"/>
  <c r="J5" i="7"/>
  <c r="N4" i="7"/>
  <c r="M4" i="7"/>
  <c r="L4" i="7"/>
  <c r="K4" i="7"/>
  <c r="J4" i="7"/>
  <c r="N97" i="7"/>
  <c r="M97" i="7"/>
  <c r="L97" i="7"/>
  <c r="K97" i="7"/>
  <c r="J97" i="7"/>
  <c r="N94" i="7"/>
  <c r="M94" i="7"/>
  <c r="L94" i="7"/>
  <c r="K94" i="7"/>
  <c r="J94" i="7"/>
  <c r="N91" i="7"/>
  <c r="M91" i="7"/>
  <c r="L91" i="7"/>
  <c r="K91" i="7"/>
  <c r="J91" i="7"/>
  <c r="N89" i="7"/>
  <c r="M89" i="7"/>
  <c r="L89" i="7"/>
  <c r="K89" i="7"/>
  <c r="J89" i="7"/>
  <c r="O78" i="7"/>
  <c r="N78" i="7"/>
  <c r="M78" i="7"/>
  <c r="L78" i="7"/>
  <c r="K78" i="7"/>
  <c r="J78" i="7"/>
  <c r="N76" i="7"/>
  <c r="M76" i="7"/>
  <c r="L76" i="7"/>
  <c r="K76" i="7"/>
  <c r="J76" i="7"/>
  <c r="N72" i="7"/>
  <c r="M72" i="7"/>
  <c r="L72" i="7"/>
  <c r="K72" i="7"/>
  <c r="J72" i="7"/>
  <c r="N71" i="7"/>
  <c r="M71" i="7"/>
  <c r="L71" i="7"/>
  <c r="K71" i="7"/>
  <c r="J71" i="7"/>
  <c r="O69" i="7"/>
  <c r="N69" i="7"/>
  <c r="M69" i="7"/>
  <c r="L69" i="7"/>
  <c r="K69" i="7"/>
  <c r="J69" i="7"/>
  <c r="O62" i="7"/>
  <c r="N62" i="7"/>
  <c r="M62" i="7"/>
  <c r="L62" i="7"/>
  <c r="K62" i="7"/>
  <c r="J62" i="7"/>
  <c r="N50" i="7"/>
  <c r="M50" i="7"/>
  <c r="L50" i="7"/>
  <c r="K50" i="7"/>
  <c r="J50" i="7"/>
  <c r="O33" i="7"/>
  <c r="N33" i="7"/>
  <c r="M33" i="7"/>
  <c r="L33" i="7"/>
  <c r="K33" i="7"/>
  <c r="J33" i="7"/>
  <c r="N20" i="7"/>
  <c r="M20" i="7"/>
  <c r="L20" i="7"/>
  <c r="K20" i="7"/>
  <c r="J20" i="7"/>
  <c r="N103" i="7"/>
  <c r="M103" i="7"/>
  <c r="L103" i="7"/>
  <c r="K103" i="7"/>
  <c r="J103" i="7"/>
  <c r="N96" i="7"/>
  <c r="M96" i="7"/>
  <c r="L96" i="7"/>
  <c r="K96" i="7"/>
  <c r="J96" i="7"/>
  <c r="N88" i="7"/>
  <c r="M88" i="7"/>
  <c r="L88" i="7"/>
  <c r="K88" i="7"/>
  <c r="J88" i="7"/>
  <c r="N64" i="7"/>
  <c r="M64" i="7"/>
  <c r="L64" i="7"/>
  <c r="K64" i="7"/>
  <c r="J64" i="7"/>
  <c r="N31" i="7"/>
  <c r="M31" i="7"/>
  <c r="L31" i="7"/>
  <c r="K31" i="7"/>
  <c r="J31" i="7"/>
  <c r="N24" i="7"/>
  <c r="M24" i="7"/>
  <c r="L24" i="7"/>
  <c r="K24" i="7"/>
  <c r="J24" i="7"/>
  <c r="N23" i="7"/>
  <c r="M23" i="7"/>
  <c r="L23" i="7"/>
  <c r="K23" i="7"/>
  <c r="J23" i="7"/>
  <c r="N17" i="7"/>
  <c r="M17" i="7"/>
  <c r="L17" i="7"/>
  <c r="K17" i="7"/>
  <c r="J17" i="7"/>
  <c r="N85" i="7"/>
  <c r="M85" i="7"/>
  <c r="L85" i="7"/>
  <c r="K85" i="7"/>
  <c r="J85" i="7"/>
  <c r="N80" i="7"/>
  <c r="M80" i="7"/>
  <c r="L80" i="7"/>
  <c r="K80" i="7"/>
  <c r="J80" i="7"/>
  <c r="N77" i="7"/>
  <c r="M77" i="7"/>
  <c r="L77" i="7"/>
  <c r="K77" i="7"/>
  <c r="J77" i="7"/>
  <c r="N68" i="7"/>
  <c r="M68" i="7"/>
  <c r="L68" i="7"/>
  <c r="K68" i="7"/>
  <c r="J68" i="7"/>
  <c r="N56" i="7"/>
  <c r="M56" i="7"/>
  <c r="L56" i="7"/>
  <c r="K56" i="7"/>
  <c r="J56" i="7"/>
  <c r="N51" i="7"/>
  <c r="M51" i="7"/>
  <c r="L51" i="7"/>
  <c r="K51" i="7"/>
  <c r="J51" i="7"/>
  <c r="N48" i="7"/>
  <c r="M48" i="7"/>
  <c r="L48" i="7"/>
  <c r="K48" i="7"/>
  <c r="J48" i="7"/>
  <c r="N44" i="7"/>
  <c r="M44" i="7"/>
  <c r="L44" i="7"/>
  <c r="K44" i="7"/>
  <c r="J44" i="7"/>
  <c r="N13" i="7"/>
  <c r="M13" i="7"/>
  <c r="L13" i="7"/>
  <c r="K13" i="7"/>
  <c r="J13" i="7"/>
  <c r="N102" i="7"/>
  <c r="M102" i="7"/>
  <c r="L102" i="7"/>
  <c r="K102" i="7"/>
  <c r="J102" i="7"/>
  <c r="N95" i="7"/>
  <c r="M95" i="7"/>
  <c r="L95" i="7"/>
  <c r="K95" i="7"/>
  <c r="J95" i="7"/>
  <c r="N59" i="7"/>
  <c r="M59" i="7"/>
  <c r="L59" i="7"/>
  <c r="K59" i="7"/>
  <c r="J59" i="7"/>
  <c r="N40" i="7"/>
  <c r="M40" i="7"/>
  <c r="L40" i="7"/>
  <c r="K40" i="7"/>
  <c r="J40" i="7"/>
  <c r="N37" i="7"/>
  <c r="M37" i="7"/>
  <c r="L37" i="7"/>
  <c r="K37" i="7"/>
  <c r="J37" i="7"/>
  <c r="N7" i="7"/>
  <c r="M7" i="7"/>
  <c r="L7" i="7"/>
  <c r="K7" i="7"/>
  <c r="J7" i="7"/>
  <c r="N101" i="7"/>
  <c r="M101" i="7"/>
  <c r="L101" i="7"/>
  <c r="K101" i="7"/>
  <c r="J101" i="7"/>
  <c r="N90" i="7"/>
  <c r="M90" i="7"/>
  <c r="L90" i="7"/>
  <c r="K90" i="7"/>
  <c r="J90" i="7"/>
  <c r="N86" i="7"/>
  <c r="M86" i="7"/>
  <c r="L86" i="7"/>
  <c r="K86" i="7"/>
  <c r="J86" i="7"/>
  <c r="N53" i="7"/>
  <c r="M53" i="7"/>
  <c r="L53" i="7"/>
  <c r="K53" i="7"/>
  <c r="J53" i="7"/>
  <c r="N49" i="7"/>
  <c r="M49" i="7"/>
  <c r="L49" i="7"/>
  <c r="K49" i="7"/>
  <c r="J49" i="7"/>
  <c r="N42" i="7"/>
  <c r="M42" i="7"/>
  <c r="L42" i="7"/>
  <c r="K42" i="7"/>
  <c r="J42" i="7"/>
  <c r="N38" i="7"/>
  <c r="M38" i="7"/>
  <c r="L38" i="7"/>
  <c r="K38" i="7"/>
  <c r="J38" i="7"/>
  <c r="N36" i="7"/>
  <c r="M36" i="7"/>
  <c r="L36" i="7"/>
  <c r="K36" i="7"/>
  <c r="J36" i="7"/>
  <c r="N28" i="7"/>
  <c r="M28" i="7"/>
  <c r="L28" i="7"/>
  <c r="K28" i="7"/>
  <c r="J28" i="7"/>
  <c r="N21" i="7"/>
  <c r="M21" i="7"/>
  <c r="L21" i="7"/>
  <c r="K21" i="7"/>
  <c r="J21" i="7"/>
  <c r="N19" i="7"/>
  <c r="M19" i="7"/>
  <c r="L19" i="7"/>
  <c r="K19" i="7"/>
  <c r="J19" i="7"/>
  <c r="N105" i="7"/>
  <c r="M105" i="7"/>
  <c r="L105" i="7"/>
  <c r="K105" i="7"/>
  <c r="J105" i="7"/>
  <c r="N104" i="7"/>
  <c r="M104" i="7"/>
  <c r="L104" i="7"/>
  <c r="K104" i="7"/>
  <c r="J104" i="7"/>
  <c r="N87" i="7"/>
  <c r="M87" i="7"/>
  <c r="L87" i="7"/>
  <c r="K87" i="7"/>
  <c r="J87" i="7"/>
  <c r="N75" i="7"/>
  <c r="M75" i="7"/>
  <c r="L75" i="7"/>
  <c r="K75" i="7"/>
  <c r="J75" i="7"/>
  <c r="N63" i="7"/>
  <c r="M63" i="7"/>
  <c r="L63" i="7"/>
  <c r="K63" i="7"/>
  <c r="J63" i="7"/>
  <c r="N16" i="7"/>
  <c r="M16" i="7"/>
  <c r="L16" i="7"/>
  <c r="K16" i="7"/>
  <c r="J16" i="7"/>
  <c r="N3" i="7"/>
  <c r="M3" i="7"/>
  <c r="L3" i="7"/>
  <c r="K3" i="7"/>
  <c r="J3" i="7"/>
  <c r="N2" i="7"/>
  <c r="M2" i="7"/>
  <c r="L2" i="7"/>
  <c r="K2" i="7"/>
  <c r="J2" i="7"/>
  <c r="E1" i="6"/>
  <c r="V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U71" i="5"/>
  <c r="W71" i="5" s="1"/>
  <c r="F71" i="5"/>
  <c r="F70" i="5"/>
  <c r="U70" i="5" s="1"/>
  <c r="W70" i="5" s="1"/>
  <c r="U69" i="5"/>
  <c r="W69" i="5" s="1"/>
  <c r="F69" i="5"/>
  <c r="F68" i="5"/>
  <c r="U68" i="5" s="1"/>
  <c r="W68" i="5" s="1"/>
  <c r="F67" i="5"/>
  <c r="U67" i="5" s="1"/>
  <c r="W67" i="5" s="1"/>
  <c r="F66" i="5"/>
  <c r="U66" i="5" s="1"/>
  <c r="W66" i="5" s="1"/>
  <c r="F65" i="5"/>
  <c r="U65" i="5" s="1"/>
  <c r="W65" i="5" s="1"/>
  <c r="W64" i="5"/>
  <c r="U64" i="5"/>
  <c r="U63" i="5"/>
  <c r="W63" i="5" s="1"/>
  <c r="F62" i="5"/>
  <c r="U62" i="5" s="1"/>
  <c r="W62" i="5" s="1"/>
  <c r="U61" i="5"/>
  <c r="W61" i="5" s="1"/>
  <c r="F61" i="5"/>
  <c r="F60" i="5"/>
  <c r="U60" i="5" s="1"/>
  <c r="W60" i="5" s="1"/>
  <c r="U59" i="5"/>
  <c r="W59" i="5" s="1"/>
  <c r="F59" i="5"/>
  <c r="G58" i="5"/>
  <c r="F58" i="5"/>
  <c r="F57" i="5"/>
  <c r="U57" i="5" s="1"/>
  <c r="W57" i="5" s="1"/>
  <c r="U56" i="5"/>
  <c r="W56" i="5" s="1"/>
  <c r="F56" i="5"/>
  <c r="F55" i="5"/>
  <c r="U55" i="5" s="1"/>
  <c r="W55" i="5" s="1"/>
  <c r="U54" i="5"/>
  <c r="W54" i="5" s="1"/>
  <c r="F54" i="5"/>
  <c r="F53" i="5"/>
  <c r="U53" i="5" s="1"/>
  <c r="W53" i="5" s="1"/>
  <c r="F52" i="5"/>
  <c r="U52" i="5" s="1"/>
  <c r="W52" i="5" s="1"/>
  <c r="F51" i="5"/>
  <c r="U51" i="5" s="1"/>
  <c r="W51" i="5" s="1"/>
  <c r="F50" i="5"/>
  <c r="U50" i="5" s="1"/>
  <c r="W50" i="5" s="1"/>
  <c r="F49" i="5"/>
  <c r="U49" i="5" s="1"/>
  <c r="W49" i="5" s="1"/>
  <c r="U48" i="5"/>
  <c r="W48" i="5" s="1"/>
  <c r="F48" i="5"/>
  <c r="F47" i="5"/>
  <c r="U47" i="5" s="1"/>
  <c r="W47" i="5" s="1"/>
  <c r="U46" i="5"/>
  <c r="W46" i="5" s="1"/>
  <c r="F46" i="5"/>
  <c r="F45" i="5"/>
  <c r="U45" i="5" s="1"/>
  <c r="W45" i="5" s="1"/>
  <c r="F44" i="5"/>
  <c r="U44" i="5" s="1"/>
  <c r="W44" i="5" s="1"/>
  <c r="F43" i="5"/>
  <c r="U43" i="5" s="1"/>
  <c r="W43" i="5" s="1"/>
  <c r="F42" i="5"/>
  <c r="U42" i="5" s="1"/>
  <c r="W42" i="5" s="1"/>
  <c r="F41" i="5"/>
  <c r="U41" i="5" s="1"/>
  <c r="W41" i="5" s="1"/>
  <c r="U40" i="5"/>
  <c r="W40" i="5" s="1"/>
  <c r="F40" i="5"/>
  <c r="F39" i="5"/>
  <c r="U39" i="5" s="1"/>
  <c r="W39" i="5" s="1"/>
  <c r="U38" i="5"/>
  <c r="W38" i="5" s="1"/>
  <c r="F38" i="5"/>
  <c r="G37" i="5"/>
  <c r="F37" i="5"/>
  <c r="W36" i="5"/>
  <c r="F36" i="5"/>
  <c r="U36" i="5" s="1"/>
  <c r="F35" i="5"/>
  <c r="U35" i="5" s="1"/>
  <c r="W35" i="5" s="1"/>
  <c r="W34" i="5"/>
  <c r="F34" i="5"/>
  <c r="U34" i="5" s="1"/>
  <c r="F33" i="5"/>
  <c r="U33" i="5" s="1"/>
  <c r="W33" i="5" s="1"/>
  <c r="W32" i="5"/>
  <c r="F32" i="5"/>
  <c r="U32" i="5" s="1"/>
  <c r="F31" i="5"/>
  <c r="U31" i="5" s="1"/>
  <c r="W31" i="5" s="1"/>
  <c r="W30" i="5"/>
  <c r="F30" i="5"/>
  <c r="U30" i="5" s="1"/>
  <c r="F29" i="5"/>
  <c r="U29" i="5" s="1"/>
  <c r="W29" i="5" s="1"/>
  <c r="W28" i="5"/>
  <c r="F28" i="5"/>
  <c r="U28" i="5" s="1"/>
  <c r="G27" i="5"/>
  <c r="G72" i="5" s="1"/>
  <c r="F27" i="5"/>
  <c r="U27" i="5" s="1"/>
  <c r="W27" i="5" s="1"/>
  <c r="U26" i="5"/>
  <c r="W26" i="5" s="1"/>
  <c r="F26" i="5"/>
  <c r="F25" i="5"/>
  <c r="U25" i="5" s="1"/>
  <c r="W25" i="5" s="1"/>
  <c r="F24" i="5"/>
  <c r="U24" i="5" s="1"/>
  <c r="W24" i="5" s="1"/>
  <c r="F23" i="5"/>
  <c r="U23" i="5" s="1"/>
  <c r="W23" i="5" s="1"/>
  <c r="F22" i="5"/>
  <c r="U22" i="5" s="1"/>
  <c r="W22" i="5" s="1"/>
  <c r="F21" i="5"/>
  <c r="U21" i="5" s="1"/>
  <c r="W21" i="5" s="1"/>
  <c r="U20" i="5"/>
  <c r="W20" i="5" s="1"/>
  <c r="F20" i="5"/>
  <c r="F19" i="5"/>
  <c r="U19" i="5" s="1"/>
  <c r="W19" i="5" s="1"/>
  <c r="U18" i="5"/>
  <c r="W18" i="5" s="1"/>
  <c r="F18" i="5"/>
  <c r="F17" i="5"/>
  <c r="U17" i="5" s="1"/>
  <c r="W17" i="5" s="1"/>
  <c r="F16" i="5"/>
  <c r="U16" i="5" s="1"/>
  <c r="W16" i="5" s="1"/>
  <c r="F15" i="5"/>
  <c r="U15" i="5" s="1"/>
  <c r="W15" i="5" s="1"/>
  <c r="F14" i="5"/>
  <c r="U14" i="5" s="1"/>
  <c r="W14" i="5" s="1"/>
  <c r="F13" i="5"/>
  <c r="U13" i="5" s="1"/>
  <c r="W13" i="5" s="1"/>
  <c r="U12" i="5"/>
  <c r="W12" i="5" s="1"/>
  <c r="F12" i="5"/>
  <c r="F11" i="5"/>
  <c r="U11" i="5" s="1"/>
  <c r="W11" i="5" s="1"/>
  <c r="U10" i="5"/>
  <c r="W10" i="5" s="1"/>
  <c r="F10" i="5"/>
  <c r="F9" i="5"/>
  <c r="U9" i="5" s="1"/>
  <c r="W9" i="5" s="1"/>
  <c r="F8" i="5"/>
  <c r="U8" i="5" s="1"/>
  <c r="W8" i="5" s="1"/>
  <c r="F7" i="5"/>
  <c r="U7" i="5" s="1"/>
  <c r="W7" i="5" s="1"/>
  <c r="F6" i="5"/>
  <c r="U6" i="5" s="1"/>
  <c r="W6" i="5" s="1"/>
  <c r="F5" i="5"/>
  <c r="U5" i="5" s="1"/>
  <c r="W5" i="5" s="1"/>
  <c r="F4" i="5"/>
  <c r="U4" i="5" s="1"/>
  <c r="W4" i="5" s="1"/>
  <c r="F3" i="5"/>
  <c r="F2" i="5"/>
  <c r="U2" i="5" s="1"/>
  <c r="W2" i="5" s="1"/>
  <c r="F1" i="4"/>
  <c r="V72" i="3"/>
  <c r="F71" i="3"/>
  <c r="U71" i="3" s="1"/>
  <c r="W71" i="3" s="1"/>
  <c r="F70" i="3"/>
  <c r="U70" i="3" s="1"/>
  <c r="W70" i="3" s="1"/>
  <c r="W69" i="3"/>
  <c r="F69" i="3"/>
  <c r="U69" i="3" s="1"/>
  <c r="F68" i="3"/>
  <c r="U68" i="3" s="1"/>
  <c r="W68" i="3" s="1"/>
  <c r="F67" i="3"/>
  <c r="U67" i="3" s="1"/>
  <c r="W67" i="3" s="1"/>
  <c r="F66" i="3"/>
  <c r="U66" i="3" s="1"/>
  <c r="W66" i="3" s="1"/>
  <c r="F65" i="3"/>
  <c r="U65" i="3" s="1"/>
  <c r="W65" i="3" s="1"/>
  <c r="U64" i="3"/>
  <c r="W64" i="3" s="1"/>
  <c r="F64" i="3"/>
  <c r="F63" i="3"/>
  <c r="U63" i="3" s="1"/>
  <c r="W63" i="3" s="1"/>
  <c r="F62" i="3"/>
  <c r="U62" i="3" s="1"/>
  <c r="W62" i="3" s="1"/>
  <c r="W61" i="3"/>
  <c r="F61" i="3"/>
  <c r="U61" i="3" s="1"/>
  <c r="F60" i="3"/>
  <c r="U60" i="3" s="1"/>
  <c r="W60" i="3" s="1"/>
  <c r="F59" i="3"/>
  <c r="U59" i="3" s="1"/>
  <c r="W59" i="3" s="1"/>
  <c r="G58" i="3"/>
  <c r="F58" i="3"/>
  <c r="U58" i="3" s="1"/>
  <c r="W58" i="3" s="1"/>
  <c r="F57" i="3"/>
  <c r="U57" i="3" s="1"/>
  <c r="W57" i="3" s="1"/>
  <c r="F56" i="3"/>
  <c r="U56" i="3" s="1"/>
  <c r="W56" i="3" s="1"/>
  <c r="F55" i="3"/>
  <c r="U55" i="3" s="1"/>
  <c r="W55" i="3" s="1"/>
  <c r="F54" i="3"/>
  <c r="U54" i="3" s="1"/>
  <c r="W54" i="3" s="1"/>
  <c r="F53" i="3"/>
  <c r="U53" i="3" s="1"/>
  <c r="W53" i="3" s="1"/>
  <c r="F52" i="3"/>
  <c r="U52" i="3" s="1"/>
  <c r="W52" i="3" s="1"/>
  <c r="W51" i="3"/>
  <c r="U51" i="3"/>
  <c r="F51" i="3"/>
  <c r="F50" i="3"/>
  <c r="U50" i="3" s="1"/>
  <c r="W50" i="3" s="1"/>
  <c r="F49" i="3"/>
  <c r="U49" i="3" s="1"/>
  <c r="W49" i="3" s="1"/>
  <c r="F48" i="3"/>
  <c r="U48" i="3" s="1"/>
  <c r="W48" i="3" s="1"/>
  <c r="F47" i="3"/>
  <c r="U47" i="3" s="1"/>
  <c r="W47" i="3" s="1"/>
  <c r="F46" i="3"/>
  <c r="U46" i="3" s="1"/>
  <c r="W46" i="3" s="1"/>
  <c r="F45" i="3"/>
  <c r="U45" i="3" s="1"/>
  <c r="W45" i="3" s="1"/>
  <c r="F44" i="3"/>
  <c r="U44" i="3" s="1"/>
  <c r="W44" i="3" s="1"/>
  <c r="W43" i="3"/>
  <c r="U43" i="3"/>
  <c r="F43" i="3"/>
  <c r="F42" i="3"/>
  <c r="U42" i="3" s="1"/>
  <c r="W42" i="3" s="1"/>
  <c r="G41" i="3"/>
  <c r="F41" i="3"/>
  <c r="F40" i="3"/>
  <c r="U40" i="3" s="1"/>
  <c r="W40" i="3" s="1"/>
  <c r="F39" i="3"/>
  <c r="U39" i="3" s="1"/>
  <c r="W39" i="3" s="1"/>
  <c r="U38" i="3"/>
  <c r="W38" i="3" s="1"/>
  <c r="F38" i="3"/>
  <c r="F37" i="3"/>
  <c r="U37" i="3" s="1"/>
  <c r="W37" i="3" s="1"/>
  <c r="F36" i="3"/>
  <c r="U36" i="3" s="1"/>
  <c r="W36" i="3" s="1"/>
  <c r="W35" i="3"/>
  <c r="F35" i="3"/>
  <c r="U35" i="3" s="1"/>
  <c r="F34" i="3"/>
  <c r="U34" i="3" s="1"/>
  <c r="W34" i="3" s="1"/>
  <c r="F33" i="3"/>
  <c r="U33" i="3" s="1"/>
  <c r="W33" i="3" s="1"/>
  <c r="F32" i="3"/>
  <c r="U32" i="3" s="1"/>
  <c r="W32" i="3" s="1"/>
  <c r="F31" i="3"/>
  <c r="U31" i="3" s="1"/>
  <c r="W31" i="3" s="1"/>
  <c r="U30" i="3"/>
  <c r="W30" i="3" s="1"/>
  <c r="F30" i="3"/>
  <c r="F29" i="3"/>
  <c r="U29" i="3" s="1"/>
  <c r="W29" i="3" s="1"/>
  <c r="G28" i="3"/>
  <c r="F28" i="3"/>
  <c r="F27" i="3"/>
  <c r="U27" i="3" s="1"/>
  <c r="W27" i="3" s="1"/>
  <c r="F26" i="3"/>
  <c r="U26" i="3" s="1"/>
  <c r="W26" i="3" s="1"/>
  <c r="W25" i="3"/>
  <c r="U25" i="3"/>
  <c r="F25" i="3"/>
  <c r="F24" i="3"/>
  <c r="U24" i="3" s="1"/>
  <c r="W24" i="3" s="1"/>
  <c r="F23" i="3"/>
  <c r="U23" i="3" s="1"/>
  <c r="W23" i="3" s="1"/>
  <c r="F22" i="3"/>
  <c r="U22" i="3" s="1"/>
  <c r="W22" i="3" s="1"/>
  <c r="F21" i="3"/>
  <c r="U21" i="3" s="1"/>
  <c r="W21" i="3" s="1"/>
  <c r="F20" i="3"/>
  <c r="U20" i="3" s="1"/>
  <c r="W20" i="3" s="1"/>
  <c r="F19" i="3"/>
  <c r="U19" i="3" s="1"/>
  <c r="W19" i="3" s="1"/>
  <c r="F18" i="3"/>
  <c r="U18" i="3" s="1"/>
  <c r="W18" i="3" s="1"/>
  <c r="W17" i="3"/>
  <c r="U17" i="3"/>
  <c r="F17" i="3"/>
  <c r="F16" i="3"/>
  <c r="U16" i="3" s="1"/>
  <c r="W16" i="3" s="1"/>
  <c r="F15" i="3"/>
  <c r="U15" i="3" s="1"/>
  <c r="W15" i="3" s="1"/>
  <c r="F14" i="3"/>
  <c r="U14" i="3" s="1"/>
  <c r="W14" i="3" s="1"/>
  <c r="F13" i="3"/>
  <c r="U13" i="3" s="1"/>
  <c r="W13" i="3" s="1"/>
  <c r="F12" i="3"/>
  <c r="U12" i="3" s="1"/>
  <c r="W12" i="3" s="1"/>
  <c r="F11" i="3"/>
  <c r="U11" i="3" s="1"/>
  <c r="W11" i="3" s="1"/>
  <c r="F10" i="3"/>
  <c r="U10" i="3" s="1"/>
  <c r="W10" i="3" s="1"/>
  <c r="W9" i="3"/>
  <c r="U9" i="3"/>
  <c r="F9" i="3"/>
  <c r="F8" i="3"/>
  <c r="U8" i="3" s="1"/>
  <c r="W8" i="3" s="1"/>
  <c r="F7" i="3"/>
  <c r="U7" i="3" s="1"/>
  <c r="W7" i="3" s="1"/>
  <c r="F6" i="3"/>
  <c r="U6" i="3" s="1"/>
  <c r="W6" i="3" s="1"/>
  <c r="F5" i="3"/>
  <c r="U5" i="3" s="1"/>
  <c r="W5" i="3" s="1"/>
  <c r="F4" i="3"/>
  <c r="U4" i="3" s="1"/>
  <c r="W4" i="3" s="1"/>
  <c r="F3" i="3"/>
  <c r="U3" i="3" s="1"/>
  <c r="W3" i="3" s="1"/>
  <c r="F2" i="3"/>
  <c r="U2" i="3" s="1"/>
  <c r="W2" i="3" s="1"/>
  <c r="F1" i="2"/>
  <c r="F70" i="1"/>
  <c r="U70" i="1" s="1"/>
  <c r="W70" i="1" s="1"/>
  <c r="F69" i="1"/>
  <c r="U69" i="1" s="1"/>
  <c r="W69" i="1" s="1"/>
  <c r="F68" i="1"/>
  <c r="U68" i="1" s="1"/>
  <c r="W68" i="1" s="1"/>
  <c r="F67" i="1"/>
  <c r="U67" i="1" s="1"/>
  <c r="W67" i="1" s="1"/>
  <c r="F66" i="1"/>
  <c r="U66" i="1" s="1"/>
  <c r="W66" i="1" s="1"/>
  <c r="F65" i="1"/>
  <c r="U65" i="1" s="1"/>
  <c r="W65" i="1" s="1"/>
  <c r="F64" i="1"/>
  <c r="U64" i="1" s="1"/>
  <c r="W64" i="1" s="1"/>
  <c r="F63" i="1"/>
  <c r="U63" i="1" s="1"/>
  <c r="W63" i="1" s="1"/>
  <c r="F62" i="1"/>
  <c r="U62" i="1" s="1"/>
  <c r="W62" i="1" s="1"/>
  <c r="U61" i="1"/>
  <c r="W61" i="1" s="1"/>
  <c r="F61" i="1"/>
  <c r="F60" i="1"/>
  <c r="U60" i="1" s="1"/>
  <c r="W60" i="1" s="1"/>
  <c r="F59" i="1"/>
  <c r="U59" i="1" s="1"/>
  <c r="W59" i="1" s="1"/>
  <c r="G58" i="1"/>
  <c r="F58" i="1"/>
  <c r="F57" i="1"/>
  <c r="U57" i="1" s="1"/>
  <c r="W57" i="1" s="1"/>
  <c r="U56" i="1"/>
  <c r="W56" i="1" s="1"/>
  <c r="F56" i="1"/>
  <c r="F55" i="1"/>
  <c r="U55" i="1" s="1"/>
  <c r="W55" i="1" s="1"/>
  <c r="F54" i="1"/>
  <c r="U54" i="1" s="1"/>
  <c r="W54" i="1" s="1"/>
  <c r="W53" i="1"/>
  <c r="F53" i="1"/>
  <c r="U53" i="1" s="1"/>
  <c r="F52" i="1"/>
  <c r="U52" i="1" s="1"/>
  <c r="W52" i="1" s="1"/>
  <c r="F51" i="1"/>
  <c r="U51" i="1" s="1"/>
  <c r="W51" i="1" s="1"/>
  <c r="F50" i="1"/>
  <c r="U50" i="1" s="1"/>
  <c r="W50" i="1" s="1"/>
  <c r="F49" i="1"/>
  <c r="U49" i="1" s="1"/>
  <c r="W49" i="1" s="1"/>
  <c r="U48" i="1"/>
  <c r="W48" i="1" s="1"/>
  <c r="F48" i="1"/>
  <c r="F47" i="1"/>
  <c r="U47" i="1" s="1"/>
  <c r="W47" i="1" s="1"/>
  <c r="F46" i="1"/>
  <c r="U46" i="1" s="1"/>
  <c r="W46" i="1" s="1"/>
  <c r="W45" i="1"/>
  <c r="F45" i="1"/>
  <c r="U45" i="1" s="1"/>
  <c r="F44" i="1"/>
  <c r="U44" i="1" s="1"/>
  <c r="W44" i="1" s="1"/>
  <c r="F43" i="1"/>
  <c r="U43" i="1" s="1"/>
  <c r="W43" i="1" s="1"/>
  <c r="F42" i="1"/>
  <c r="U42" i="1" s="1"/>
  <c r="W42" i="1" s="1"/>
  <c r="F41" i="1"/>
  <c r="U41" i="1" s="1"/>
  <c r="W41" i="1" s="1"/>
  <c r="U40" i="1"/>
  <c r="W40" i="1" s="1"/>
  <c r="G40" i="1"/>
  <c r="F40" i="1"/>
  <c r="F39" i="1"/>
  <c r="U39" i="1" s="1"/>
  <c r="W39" i="1" s="1"/>
  <c r="F38" i="1"/>
  <c r="U38" i="1" s="1"/>
  <c r="W38" i="1" s="1"/>
  <c r="F37" i="1"/>
  <c r="U37" i="1" s="1"/>
  <c r="W37" i="1" s="1"/>
  <c r="F36" i="1"/>
  <c r="U36" i="1" s="1"/>
  <c r="W36" i="1" s="1"/>
  <c r="U35" i="1"/>
  <c r="W35" i="1" s="1"/>
  <c r="F35" i="1"/>
  <c r="F34" i="1"/>
  <c r="U34" i="1" s="1"/>
  <c r="W34" i="1" s="1"/>
  <c r="F33" i="1"/>
  <c r="U33" i="1" s="1"/>
  <c r="W33" i="1" s="1"/>
  <c r="W32" i="1"/>
  <c r="F32" i="1"/>
  <c r="U32" i="1" s="1"/>
  <c r="F31" i="1"/>
  <c r="U31" i="1" s="1"/>
  <c r="W31" i="1" s="1"/>
  <c r="F30" i="1"/>
  <c r="U30" i="1" s="1"/>
  <c r="W30" i="1" s="1"/>
  <c r="F29" i="1"/>
  <c r="U29" i="1" s="1"/>
  <c r="W29" i="1" s="1"/>
  <c r="G28" i="1"/>
  <c r="F28" i="1"/>
  <c r="F27" i="1"/>
  <c r="U27" i="1" s="1"/>
  <c r="W27" i="1" s="1"/>
  <c r="F26" i="1"/>
  <c r="U26" i="1" s="1"/>
  <c r="W26" i="1" s="1"/>
  <c r="U25" i="1"/>
  <c r="W25" i="1" s="1"/>
  <c r="F25" i="1"/>
  <c r="F24" i="1"/>
  <c r="U24" i="1" s="1"/>
  <c r="W24" i="1" s="1"/>
  <c r="F23" i="1"/>
  <c r="U23" i="1" s="1"/>
  <c r="W23" i="1" s="1"/>
  <c r="U22" i="1"/>
  <c r="W22" i="1" s="1"/>
  <c r="F22" i="1"/>
  <c r="F21" i="1"/>
  <c r="U21" i="1" s="1"/>
  <c r="W21" i="1" s="1"/>
  <c r="F20" i="1"/>
  <c r="U20" i="1" s="1"/>
  <c r="W20" i="1" s="1"/>
  <c r="F19" i="1"/>
  <c r="U19" i="1" s="1"/>
  <c r="W19" i="1" s="1"/>
  <c r="F18" i="1"/>
  <c r="U18" i="1" s="1"/>
  <c r="W18" i="1" s="1"/>
  <c r="U17" i="1"/>
  <c r="W17" i="1" s="1"/>
  <c r="F17" i="1"/>
  <c r="F16" i="1"/>
  <c r="U16" i="1" s="1"/>
  <c r="W16" i="1" s="1"/>
  <c r="F15" i="1"/>
  <c r="U15" i="1" s="1"/>
  <c r="W15" i="1" s="1"/>
  <c r="U14" i="1"/>
  <c r="W14" i="1" s="1"/>
  <c r="F14" i="1"/>
  <c r="F13" i="1"/>
  <c r="U13" i="1" s="1"/>
  <c r="W13" i="1" s="1"/>
  <c r="F12" i="1"/>
  <c r="U12" i="1" s="1"/>
  <c r="W12" i="1" s="1"/>
  <c r="F11" i="1"/>
  <c r="U11" i="1" s="1"/>
  <c r="W11" i="1" s="1"/>
  <c r="F10" i="1"/>
  <c r="U10" i="1" s="1"/>
  <c r="W10" i="1" s="1"/>
  <c r="U9" i="1"/>
  <c r="W9" i="1" s="1"/>
  <c r="F9" i="1"/>
  <c r="F8" i="1"/>
  <c r="U8" i="1" s="1"/>
  <c r="W8" i="1" s="1"/>
  <c r="F7" i="1"/>
  <c r="U7" i="1" s="1"/>
  <c r="W7" i="1" s="1"/>
  <c r="U6" i="1"/>
  <c r="W6" i="1" s="1"/>
  <c r="F6" i="1"/>
  <c r="F5" i="1"/>
  <c r="U5" i="1" s="1"/>
  <c r="W5" i="1" s="1"/>
  <c r="F4" i="1"/>
  <c r="U4" i="1" s="1"/>
  <c r="W4" i="1" s="1"/>
  <c r="F3" i="1"/>
  <c r="U3" i="1" s="1"/>
  <c r="W3" i="1" s="1"/>
  <c r="F2" i="1"/>
  <c r="U2" i="1" s="1"/>
  <c r="W2" i="1" s="1"/>
  <c r="Z64" i="10" l="1"/>
  <c r="AB64" i="10" s="1"/>
  <c r="Z17" i="10"/>
  <c r="AB17" i="10" s="1"/>
  <c r="Z66" i="10"/>
  <c r="AB66" i="10" s="1"/>
  <c r="Z38" i="10"/>
  <c r="AB38" i="10" s="1"/>
  <c r="Z16" i="10"/>
  <c r="AB16" i="10" s="1"/>
  <c r="Z47" i="10"/>
  <c r="AB47" i="10" s="1"/>
  <c r="Z48" i="10"/>
  <c r="AB48" i="10" s="1"/>
  <c r="Z67" i="10"/>
  <c r="AB67" i="10" s="1"/>
  <c r="Z51" i="10"/>
  <c r="AB51" i="10" s="1"/>
  <c r="Z52" i="10"/>
  <c r="AB52" i="10" s="1"/>
  <c r="Z77" i="10"/>
  <c r="AB77" i="10" s="1"/>
  <c r="Z8" i="10"/>
  <c r="AB8" i="10" s="1"/>
  <c r="Z55" i="10"/>
  <c r="AB55" i="10" s="1"/>
  <c r="Z102" i="10"/>
  <c r="AB102" i="10" s="1"/>
  <c r="Z44" i="10"/>
  <c r="AB44" i="10" s="1"/>
  <c r="Z58" i="10"/>
  <c r="AB58" i="10" s="1"/>
  <c r="Z28" i="10"/>
  <c r="AB28" i="10" s="1"/>
  <c r="Z45" i="10"/>
  <c r="AB45" i="10" s="1"/>
  <c r="Z13" i="10"/>
  <c r="AB13" i="10" s="1"/>
  <c r="Z101" i="10"/>
  <c r="AB101" i="10" s="1"/>
  <c r="Z42" i="10"/>
  <c r="AB42" i="10" s="1"/>
  <c r="Z78" i="10"/>
  <c r="AB78" i="10" s="1"/>
  <c r="Z43" i="10"/>
  <c r="AB43" i="10" s="1"/>
  <c r="Z69" i="10"/>
  <c r="AB69" i="10" s="1"/>
  <c r="Z22" i="10"/>
  <c r="AB22" i="10" s="1"/>
  <c r="Z87" i="10"/>
  <c r="AB87" i="10" s="1"/>
  <c r="Z40" i="10"/>
  <c r="AB40" i="10" s="1"/>
  <c r="Z81" i="10"/>
  <c r="AB81" i="10" s="1"/>
  <c r="Z15" i="10"/>
  <c r="AB15" i="10" s="1"/>
  <c r="Z65" i="10"/>
  <c r="AB65" i="10" s="1"/>
  <c r="Z82" i="10"/>
  <c r="AB82" i="10" s="1"/>
  <c r="Z90" i="10"/>
  <c r="AB90" i="10" s="1"/>
  <c r="Z85" i="10"/>
  <c r="AB85" i="10" s="1"/>
  <c r="Z26" i="10"/>
  <c r="AB26" i="10" s="1"/>
  <c r="Z59" i="10"/>
  <c r="AB59" i="10" s="1"/>
  <c r="Z71" i="10"/>
  <c r="AB71" i="10" s="1"/>
  <c r="Z86" i="10"/>
  <c r="AB86" i="10" s="1"/>
  <c r="Z37" i="10"/>
  <c r="AB37" i="10" s="1"/>
  <c r="Z12" i="10"/>
  <c r="AB12" i="10" s="1"/>
  <c r="Z95" i="10"/>
  <c r="AB95" i="10" s="1"/>
  <c r="Z93" i="10"/>
  <c r="AB93" i="10" s="1"/>
  <c r="Z46" i="10"/>
  <c r="AB46" i="10" s="1"/>
  <c r="Z88" i="10"/>
  <c r="AB88" i="10" s="1"/>
  <c r="Z14" i="10"/>
  <c r="AB14" i="10" s="1"/>
  <c r="Z29" i="10"/>
  <c r="AB29" i="10" s="1"/>
  <c r="Z74" i="10"/>
  <c r="AB74" i="10" s="1"/>
  <c r="Z75" i="10"/>
  <c r="AB75" i="10" s="1"/>
  <c r="Z6" i="10"/>
  <c r="AB6" i="10" s="1"/>
  <c r="Z100" i="10"/>
  <c r="AB100" i="10" s="1"/>
  <c r="Z104" i="10"/>
  <c r="AB104" i="10" s="1"/>
  <c r="Z84" i="10"/>
  <c r="AB84" i="10" s="1"/>
  <c r="Z36" i="10"/>
  <c r="AB36" i="10" s="1"/>
  <c r="Z54" i="10"/>
  <c r="AB54" i="10" s="1"/>
  <c r="Z68" i="10"/>
  <c r="AB68" i="10" s="1"/>
  <c r="Z57" i="10"/>
  <c r="AB57" i="10" s="1"/>
  <c r="Z21" i="10"/>
  <c r="AB21" i="10" s="1"/>
  <c r="Z9" i="10"/>
  <c r="AB9" i="10" s="1"/>
  <c r="Z10" i="10"/>
  <c r="AB10" i="10" s="1"/>
  <c r="Z53" i="10"/>
  <c r="AB53" i="10" s="1"/>
  <c r="Z2" i="10"/>
  <c r="AB2" i="10" s="1"/>
  <c r="Z70" i="10"/>
  <c r="AB70" i="10" s="1"/>
  <c r="Z61" i="10"/>
  <c r="AB61" i="10" s="1"/>
  <c r="Z79" i="10"/>
  <c r="AB79" i="10" s="1"/>
  <c r="Z62" i="10"/>
  <c r="AB62" i="10" s="1"/>
  <c r="Z94" i="10"/>
  <c r="AB94" i="10" s="1"/>
  <c r="Z20" i="10"/>
  <c r="AB20" i="10" s="1"/>
  <c r="Z92" i="10"/>
  <c r="AB92" i="10" s="1"/>
  <c r="Z27" i="10"/>
  <c r="AB27" i="10" s="1"/>
  <c r="Z4" i="10"/>
  <c r="AB4" i="10" s="1"/>
  <c r="Z103" i="10"/>
  <c r="AB103" i="10" s="1"/>
  <c r="Z41" i="10"/>
  <c r="AB41" i="10" s="1"/>
  <c r="Z33" i="10"/>
  <c r="AB33" i="10" s="1"/>
  <c r="Z19" i="10"/>
  <c r="AB19" i="10" s="1"/>
  <c r="Z56" i="10"/>
  <c r="AB56" i="10" s="1"/>
  <c r="Z98" i="10"/>
  <c r="AB98" i="10" s="1"/>
  <c r="Z99" i="10"/>
  <c r="AB99" i="10" s="1"/>
  <c r="Z89" i="10"/>
  <c r="AB89" i="10" s="1"/>
  <c r="Z31" i="10"/>
  <c r="AB31" i="10" s="1"/>
  <c r="Z83" i="10"/>
  <c r="AB83" i="10" s="1"/>
  <c r="Z25" i="10"/>
  <c r="AB25" i="10" s="1"/>
  <c r="Z49" i="10"/>
  <c r="AB49" i="10" s="1"/>
  <c r="Z76" i="10"/>
  <c r="AB76" i="10" s="1"/>
  <c r="Z34" i="10"/>
  <c r="AB34" i="10" s="1"/>
  <c r="Z3" i="10"/>
  <c r="AB3" i="10" s="1"/>
  <c r="Z60" i="10"/>
  <c r="AB60" i="10" s="1"/>
  <c r="Z72" i="10"/>
  <c r="AB72" i="10" s="1"/>
  <c r="Z5" i="10"/>
  <c r="AB5" i="10" s="1"/>
  <c r="Z11" i="10"/>
  <c r="AB11" i="10" s="1"/>
  <c r="Z39" i="10"/>
  <c r="AB39" i="10" s="1"/>
  <c r="Z80" i="10"/>
  <c r="AB80" i="10" s="1"/>
  <c r="Z63" i="10"/>
  <c r="AB63" i="10" s="1"/>
  <c r="Z23" i="10"/>
  <c r="AB23" i="10" s="1"/>
  <c r="Z24" i="10"/>
  <c r="AB24" i="10" s="1"/>
  <c r="Z73" i="10"/>
  <c r="AB73" i="10" s="1"/>
  <c r="Z30" i="10"/>
  <c r="AB30" i="10" s="1"/>
  <c r="Z18" i="10"/>
  <c r="AB18" i="10" s="1"/>
  <c r="Z32" i="10"/>
  <c r="AB32" i="10" s="1"/>
  <c r="Z96" i="10"/>
  <c r="AB96" i="10" s="1"/>
  <c r="Z97" i="10"/>
  <c r="AB97" i="10" s="1"/>
  <c r="Z35" i="10"/>
  <c r="AB35" i="10" s="1"/>
  <c r="Z7" i="10"/>
  <c r="AB7" i="10" s="1"/>
  <c r="Z50" i="10"/>
  <c r="AB50" i="10" s="1"/>
  <c r="Z91" i="10"/>
  <c r="AB91" i="10" s="1"/>
  <c r="U37" i="5"/>
  <c r="W37" i="5" s="1"/>
  <c r="U58" i="5"/>
  <c r="W58" i="5" s="1"/>
  <c r="U28" i="1"/>
  <c r="W28" i="1" s="1"/>
  <c r="U58" i="1"/>
  <c r="W58" i="1" s="1"/>
  <c r="U28" i="3"/>
  <c r="W28" i="3" s="1"/>
  <c r="U41" i="3"/>
  <c r="W41" i="3" s="1"/>
  <c r="Z12" i="7"/>
  <c r="AB12" i="7" s="1"/>
  <c r="Z33" i="7"/>
  <c r="AB33" i="7" s="1"/>
  <c r="Z2" i="7"/>
  <c r="AB2" i="7" s="1"/>
  <c r="Z63" i="7"/>
  <c r="AB63" i="7" s="1"/>
  <c r="Z19" i="7"/>
  <c r="AB19" i="7" s="1"/>
  <c r="Z36" i="7"/>
  <c r="AB36" i="7" s="1"/>
  <c r="Z86" i="7"/>
  <c r="AB86" i="7" s="1"/>
  <c r="Z37" i="7"/>
  <c r="AB37" i="7" s="1"/>
  <c r="Z95" i="7"/>
  <c r="AB95" i="7" s="1"/>
  <c r="Z51" i="7"/>
  <c r="AB51" i="7" s="1"/>
  <c r="Z77" i="7"/>
  <c r="AB77" i="7" s="1"/>
  <c r="Z24" i="7"/>
  <c r="AB24" i="7" s="1"/>
  <c r="Z88" i="7"/>
  <c r="AB88" i="7" s="1"/>
  <c r="Z69" i="7"/>
  <c r="AB69" i="7" s="1"/>
  <c r="Z76" i="7"/>
  <c r="AB76" i="7" s="1"/>
  <c r="Z91" i="7"/>
  <c r="AB91" i="7" s="1"/>
  <c r="Z5" i="7"/>
  <c r="AB5" i="7" s="1"/>
  <c r="Z26" i="7"/>
  <c r="AB26" i="7" s="1"/>
  <c r="Z57" i="7"/>
  <c r="AB57" i="7" s="1"/>
  <c r="Z9" i="7"/>
  <c r="AB9" i="7" s="1"/>
  <c r="Z52" i="7"/>
  <c r="AB52" i="7" s="1"/>
  <c r="Z18" i="7"/>
  <c r="AB18" i="7" s="1"/>
  <c r="Z55" i="7"/>
  <c r="AB55" i="7" s="1"/>
  <c r="Z14" i="7"/>
  <c r="AB14" i="7" s="1"/>
  <c r="Z74" i="7"/>
  <c r="AB74" i="7" s="1"/>
  <c r="Z25" i="7"/>
  <c r="AB25" i="7" s="1"/>
  <c r="Z39" i="7"/>
  <c r="AB39" i="7" s="1"/>
  <c r="Z43" i="7"/>
  <c r="AB43" i="7" s="1"/>
  <c r="Z99" i="7"/>
  <c r="AB99" i="7" s="1"/>
  <c r="Z22" i="7"/>
  <c r="AB22" i="7" s="1"/>
  <c r="Z78" i="7"/>
  <c r="AB78" i="7" s="1"/>
  <c r="Z75" i="7"/>
  <c r="AB75" i="7" s="1"/>
  <c r="Z105" i="7"/>
  <c r="AB105" i="7" s="1"/>
  <c r="Z38" i="7"/>
  <c r="AB38" i="7" s="1"/>
  <c r="Z53" i="7"/>
  <c r="AB53" i="7" s="1"/>
  <c r="Z7" i="7"/>
  <c r="AB7" i="7" s="1"/>
  <c r="Z102" i="7"/>
  <c r="AB102" i="7" s="1"/>
  <c r="Z48" i="7"/>
  <c r="AB48" i="7" s="1"/>
  <c r="Z80" i="7"/>
  <c r="AB80" i="7" s="1"/>
  <c r="Z23" i="7"/>
  <c r="AB23" i="7" s="1"/>
  <c r="Z96" i="7"/>
  <c r="AB96" i="7" s="1"/>
  <c r="Z72" i="7"/>
  <c r="AB72" i="7" s="1"/>
  <c r="Z89" i="7"/>
  <c r="AB89" i="7" s="1"/>
  <c r="Z4" i="7"/>
  <c r="AB4" i="7" s="1"/>
  <c r="Z32" i="7"/>
  <c r="AB32" i="7" s="1"/>
  <c r="Z65" i="7"/>
  <c r="AB65" i="7" s="1"/>
  <c r="Z6" i="7"/>
  <c r="AB6" i="7" s="1"/>
  <c r="Z60" i="7"/>
  <c r="AB60" i="7" s="1"/>
  <c r="Z92" i="7"/>
  <c r="AB92" i="7" s="1"/>
  <c r="Z54" i="7"/>
  <c r="AB54" i="7" s="1"/>
  <c r="Z15" i="7"/>
  <c r="AB15" i="7" s="1"/>
  <c r="Z58" i="7"/>
  <c r="AB58" i="7" s="1"/>
  <c r="Z82" i="7"/>
  <c r="AB82" i="7" s="1"/>
  <c r="Z3" i="7"/>
  <c r="AB3" i="7" s="1"/>
  <c r="Z16" i="7"/>
  <c r="AB16" i="7" s="1"/>
  <c r="Z87" i="7"/>
  <c r="AB87" i="7" s="1"/>
  <c r="Z104" i="7"/>
  <c r="AB104" i="7" s="1"/>
  <c r="Z21" i="7"/>
  <c r="AB21" i="7" s="1"/>
  <c r="Z28" i="7"/>
  <c r="AB28" i="7" s="1"/>
  <c r="Z42" i="7"/>
  <c r="AB42" i="7" s="1"/>
  <c r="Z49" i="7"/>
  <c r="AB49" i="7" s="1"/>
  <c r="Z90" i="7"/>
  <c r="AB90" i="7" s="1"/>
  <c r="Z101" i="7"/>
  <c r="AB101" i="7" s="1"/>
  <c r="Z40" i="7"/>
  <c r="AB40" i="7" s="1"/>
  <c r="Z59" i="7"/>
  <c r="AB59" i="7" s="1"/>
  <c r="Z13" i="7"/>
  <c r="AB13" i="7" s="1"/>
  <c r="Z44" i="7"/>
  <c r="AB44" i="7" s="1"/>
  <c r="Z56" i="7"/>
  <c r="AB56" i="7" s="1"/>
  <c r="Z68" i="7"/>
  <c r="AB68" i="7" s="1"/>
  <c r="Z85" i="7"/>
  <c r="AB85" i="7" s="1"/>
  <c r="Z17" i="7"/>
  <c r="AB17" i="7" s="1"/>
  <c r="Z31" i="7"/>
  <c r="AB31" i="7" s="1"/>
  <c r="Z64" i="7"/>
  <c r="AB64" i="7" s="1"/>
  <c r="Z103" i="7"/>
  <c r="AB103" i="7" s="1"/>
  <c r="Z20" i="7"/>
  <c r="AB20" i="7" s="1"/>
  <c r="Z50" i="7"/>
  <c r="AB50" i="7" s="1"/>
  <c r="Z62" i="7"/>
  <c r="AB62" i="7" s="1"/>
  <c r="Z71" i="7"/>
  <c r="AB71" i="7" s="1"/>
  <c r="Z94" i="7"/>
  <c r="AB94" i="7" s="1"/>
  <c r="Z97" i="7"/>
  <c r="AB97" i="7" s="1"/>
  <c r="Z8" i="7"/>
  <c r="AB8" i="7" s="1"/>
  <c r="Z10" i="7"/>
  <c r="AB10" i="7" s="1"/>
  <c r="Z41" i="7"/>
  <c r="AB41" i="7" s="1"/>
  <c r="Z46" i="7"/>
  <c r="AB46" i="7" s="1"/>
  <c r="Z93" i="7"/>
  <c r="AB93" i="7" s="1"/>
  <c r="Z100" i="7"/>
  <c r="AB100" i="7" s="1"/>
  <c r="Z11" i="7"/>
  <c r="AB11" i="7" s="1"/>
  <c r="Z45" i="7"/>
  <c r="AB45" i="7" s="1"/>
  <c r="Z73" i="7"/>
  <c r="AB73" i="7" s="1"/>
  <c r="Z79" i="7"/>
  <c r="AB79" i="7" s="1"/>
  <c r="Z27" i="7"/>
  <c r="AB27" i="7" s="1"/>
  <c r="Z34" i="7"/>
  <c r="AB34" i="7" s="1"/>
  <c r="Z81" i="7"/>
  <c r="AB81" i="7" s="1"/>
  <c r="Z83" i="7"/>
  <c r="AB83" i="7" s="1"/>
  <c r="Z35" i="7"/>
  <c r="AB35" i="7" s="1"/>
  <c r="Z47" i="7"/>
  <c r="AB47" i="7" s="1"/>
  <c r="Z98" i="7"/>
  <c r="AB98" i="7" s="1"/>
  <c r="Z29" i="7"/>
  <c r="AB29" i="7" s="1"/>
  <c r="Z61" i="7"/>
  <c r="AB61" i="7" s="1"/>
  <c r="Z66" i="7"/>
  <c r="AB66" i="7" s="1"/>
  <c r="Z67" i="7"/>
  <c r="AB67" i="7" s="1"/>
  <c r="Z84" i="7"/>
  <c r="AB84" i="7" s="1"/>
  <c r="Z30" i="7"/>
  <c r="AB30" i="7" s="1"/>
  <c r="Z70" i="7"/>
  <c r="AB70" i="7" s="1"/>
  <c r="W72" i="3"/>
  <c r="U3" i="5"/>
  <c r="W3" i="5" s="1"/>
  <c r="F72" i="5"/>
  <c r="W72" i="5"/>
  <c r="U72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33" authorId="0" shapeId="0" xr:uid="{00000000-0006-0000-0600-000001000000}">
      <text>
        <r>
          <rPr>
            <sz val="11"/>
            <color rgb="FF000000"/>
            <rFont val="Calibri"/>
            <scheme val="minor"/>
          </rPr>
          <t>======
ID#AAABX2cOvkM
Babatunde Awoyemi    (2024-10-29 07:25:46)
removed 1380 for draw clean</t>
        </r>
      </text>
    </comment>
    <comment ref="O41" authorId="0" shapeId="0" xr:uid="{00000000-0006-0000-0600-000004000000}">
      <text>
        <r>
          <rPr>
            <sz val="11"/>
            <color rgb="FF000000"/>
            <rFont val="Calibri"/>
            <scheme val="minor"/>
          </rPr>
          <t>======
ID#AAABX2cOvkA
Babatunde Awoyemi    (2024-10-29 07:25:46)
deducted 3000 for QR and VR</t>
        </r>
      </text>
    </comment>
    <comment ref="O62" authorId="0" shapeId="0" xr:uid="{00000000-0006-0000-0600-000003000000}">
      <text>
        <r>
          <rPr>
            <sz val="11"/>
            <color rgb="FF000000"/>
            <rFont val="Calibri"/>
            <scheme val="minor"/>
          </rPr>
          <t>======
ID#AAABX2cOvj8
Babatunde Awoyemi    (2024-10-29 07:25:46)
removed 1380 for draw clean</t>
        </r>
      </text>
    </comment>
    <comment ref="O69" authorId="0" shapeId="0" xr:uid="{00000000-0006-0000-0600-000006000000}">
      <text>
        <r>
          <rPr>
            <sz val="11"/>
            <color rgb="FF000000"/>
            <rFont val="Calibri"/>
            <scheme val="minor"/>
          </rPr>
          <t>======
ID#AAABX2cOvj4
Babatunde Awoyemi    (2024-10-29 07:25:46)
removed 4140</t>
        </r>
      </text>
    </comment>
    <comment ref="O78" authorId="0" shapeId="0" xr:uid="{00000000-0006-0000-0600-000005000000}">
      <text>
        <r>
          <rPr>
            <sz val="11"/>
            <color rgb="FF000000"/>
            <rFont val="Calibri"/>
            <scheme val="minor"/>
          </rPr>
          <t>======
ID#AAABX2cOvkE
Babatunde Awoyemi    (2024-10-29 07:25:46)
removed 1380 for draw clean</t>
        </r>
      </text>
    </comment>
    <comment ref="O93" authorId="0" shapeId="0" xr:uid="{00000000-0006-0000-0600-000002000000}">
      <text>
        <r>
          <rPr>
            <sz val="11"/>
            <color rgb="FF000000"/>
            <rFont val="Calibri"/>
            <scheme val="minor"/>
          </rPr>
          <t>======
ID#AAABX2cOvkI
Babatunde Awoyemi    (2024-10-29 07:25:46)
reduced 4400 for math and english textbook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6ujQCvxCnrN+p37rYf4BsyYyun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46" authorId="0" shapeId="0" xr:uid="{14877B70-DECF-4302-82E5-F1D6CB7F6B08}">
      <text>
        <r>
          <rPr>
            <sz val="11"/>
            <color rgb="FF000000"/>
            <rFont val="Calibri"/>
            <scheme val="minor"/>
          </rPr>
          <t>======
ID#AAABX2cOvkM
Babatunde Awoyemi    (2024-10-29 07:25:46)
removed 1380 for draw clean</t>
        </r>
      </text>
    </comment>
    <comment ref="O48" authorId="0" shapeId="0" xr:uid="{C6CA7067-D7A0-40A8-900B-83D842624293}">
      <text>
        <r>
          <rPr>
            <sz val="11"/>
            <color rgb="FF000000"/>
            <rFont val="Calibri"/>
            <scheme val="minor"/>
          </rPr>
          <t>======
ID#AAABX2cOvj8
Babatunde Awoyemi    (2024-10-29 07:25:46)
removed 1380 for draw clean</t>
        </r>
      </text>
    </comment>
    <comment ref="O49" authorId="0" shapeId="0" xr:uid="{832D6740-B3C5-48D6-A2F4-C17AB38C9DEB}">
      <text>
        <r>
          <rPr>
            <sz val="11"/>
            <color rgb="FF000000"/>
            <rFont val="Calibri"/>
            <scheme val="minor"/>
          </rPr>
          <t>======
ID#AAABX2cOvj4
Babatunde Awoyemi    (2024-10-29 07:25:46)
removed 4140</t>
        </r>
      </text>
    </comment>
    <comment ref="O53" authorId="0" shapeId="0" xr:uid="{8D69D278-60F7-4B57-AE83-F9F7E4C3B886}">
      <text>
        <r>
          <rPr>
            <sz val="11"/>
            <color rgb="FF000000"/>
            <rFont val="Calibri"/>
            <scheme val="minor"/>
          </rPr>
          <t>======
ID#AAABX2cOvkE
Babatunde Awoyemi    (2024-10-29 07:25:46)
removed 1380 for draw clean</t>
        </r>
      </text>
    </comment>
    <comment ref="O64" authorId="0" shapeId="0" xr:uid="{FE81D7F5-7C6E-46BA-808B-510238246A9C}">
      <text>
        <r>
          <rPr>
            <sz val="11"/>
            <color rgb="FF000000"/>
            <rFont val="Calibri"/>
            <scheme val="minor"/>
          </rPr>
          <t>======
ID#AAABX2cOvkA
Babatunde Awoyemi    (2024-10-29 07:25:46)
deducted 3000 for QR and VR</t>
        </r>
      </text>
    </comment>
    <comment ref="O68" authorId="0" shapeId="0" xr:uid="{BBC8CC1E-B8D1-4476-BD35-A404C871F729}">
      <text>
        <r>
          <rPr>
            <sz val="11"/>
            <color rgb="FF000000"/>
            <rFont val="Calibri"/>
            <scheme val="minor"/>
          </rPr>
          <t>======
ID#AAABX2cOvkI
Babatunde Awoyemi    (2024-10-29 07:25:46)
reduced 4400 for math and english textbook</t>
        </r>
      </text>
    </comment>
  </commentList>
</comments>
</file>

<file path=xl/sharedStrings.xml><?xml version="1.0" encoding="utf-8"?>
<sst xmlns="http://schemas.openxmlformats.org/spreadsheetml/2006/main" count="3187" uniqueCount="710">
  <si>
    <t>LAST NAME</t>
  </si>
  <si>
    <t>FIRST NAME</t>
  </si>
  <si>
    <t>CLASS</t>
  </si>
  <si>
    <t>ACTUAL TUITION</t>
  </si>
  <si>
    <t xml:space="preserve"> AD-FORM</t>
  </si>
  <si>
    <t>TUITION</t>
  </si>
  <si>
    <t xml:space="preserve"> PTA/EXAM</t>
  </si>
  <si>
    <t xml:space="preserve"> REPORT CARD</t>
  </si>
  <si>
    <t>PRACTICALS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</si>
  <si>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</si>
  <si>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</si>
  <si>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</si>
  <si>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</si>
  <si>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</si>
  <si>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</si>
  <si>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</si>
  <si>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</si>
  <si>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</si>
  <si>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</si>
  <si>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</si>
  <si>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</si>
  <si>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</si>
  <si>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</si>
  <si>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</si>
  <si>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</si>
  <si>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</si>
  <si>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ADEBAYO</t>
  </si>
  <si>
    <t>PAUL ADEBAYO</t>
  </si>
  <si>
    <t>PRIMARY 2</t>
  </si>
  <si>
    <t>MICHAEL ERIIFE</t>
  </si>
  <si>
    <t>JUNIOR SECONDARY SCHOOL 1</t>
  </si>
  <si>
    <t>ESTHER EWAIFE</t>
  </si>
  <si>
    <t>PRIMARY 4</t>
  </si>
  <si>
    <t>ALEXANDER</t>
  </si>
  <si>
    <t>NURSERY 2</t>
  </si>
  <si>
    <t>MAXWELL</t>
  </si>
  <si>
    <t>PLAYGROUP 1</t>
  </si>
  <si>
    <t>ADEBOYE</t>
  </si>
  <si>
    <t>ESTHER ENIOLA</t>
  </si>
  <si>
    <t>ADEBUNMI</t>
  </si>
  <si>
    <t>ADEYEMI</t>
  </si>
  <si>
    <t>ADEOLUWA</t>
  </si>
  <si>
    <t>ADEDAYO</t>
  </si>
  <si>
    <t>ADESIRE</t>
  </si>
  <si>
    <t>DORCAS ADEMIDE</t>
  </si>
  <si>
    <t>ADEDOJA</t>
  </si>
  <si>
    <t>MOJEREOLUWA PROSPER</t>
  </si>
  <si>
    <t>PRAISE</t>
  </si>
  <si>
    <t>ADEGBITE</t>
  </si>
  <si>
    <t>FLORENCE</t>
  </si>
  <si>
    <t>ADEIZA</t>
  </si>
  <si>
    <t>ELPAL OYIZA</t>
  </si>
  <si>
    <t>PRIMARY 1</t>
  </si>
  <si>
    <t>ELDAD OHUNENE</t>
  </si>
  <si>
    <t>NURSERY 1</t>
  </si>
  <si>
    <t>ADELEKE</t>
  </si>
  <si>
    <t>ABDULMUIZ</t>
  </si>
  <si>
    <t>SENIOR SECONDARY SCHOOL 2</t>
  </si>
  <si>
    <t>ADELOYE</t>
  </si>
  <si>
    <t>DANIEL</t>
  </si>
  <si>
    <t>EMMANUEL</t>
  </si>
  <si>
    <t>PROSPER</t>
  </si>
  <si>
    <t>ADEWOLE</t>
  </si>
  <si>
    <t>TESTIMONY</t>
  </si>
  <si>
    <t>AGBOOLA</t>
  </si>
  <si>
    <t>CECELIA OLUWADARASIMI</t>
  </si>
  <si>
    <t>PRIMARY 3</t>
  </si>
  <si>
    <t>AJAO</t>
  </si>
  <si>
    <t>QUDUS</t>
  </si>
  <si>
    <t>AKINYEMI</t>
  </si>
  <si>
    <t>THOMAS</t>
  </si>
  <si>
    <t>CRECHE</t>
  </si>
  <si>
    <t>DAVID</t>
  </si>
  <si>
    <t>ALIU</t>
  </si>
  <si>
    <t>ABDULAHI</t>
  </si>
  <si>
    <t>JUNIOR SECONDARY SCHOOL 2</t>
  </si>
  <si>
    <t>AWONIYI</t>
  </si>
  <si>
    <t>SAMUEL</t>
  </si>
  <si>
    <t>AYEDUN</t>
  </si>
  <si>
    <t>PRECIOUS</t>
  </si>
  <si>
    <t>SENIOR SECONDARY SCHOOL 1</t>
  </si>
  <si>
    <t>AYODELE</t>
  </si>
  <si>
    <t>MICHAEL</t>
  </si>
  <si>
    <t>SANDRA</t>
  </si>
  <si>
    <t>DEBORAH</t>
  </si>
  <si>
    <t>JESUTOFUNMI DARA</t>
  </si>
  <si>
    <t>EDEM</t>
  </si>
  <si>
    <t>ZENITH AYOKUNNUMI</t>
  </si>
  <si>
    <t>ISAAC</t>
  </si>
  <si>
    <t>EYINJUOLUWA HERITAGE</t>
  </si>
  <si>
    <t>KINGSLEY</t>
  </si>
  <si>
    <t>MORAKINYO</t>
  </si>
  <si>
    <t>AYANFE TESTIMONY</t>
  </si>
  <si>
    <t>MUTAIRU</t>
  </si>
  <si>
    <t>ISMAIL</t>
  </si>
  <si>
    <t>MARIAM</t>
  </si>
  <si>
    <t>AYOMIDE</t>
  </si>
  <si>
    <t>IBRAHIM</t>
  </si>
  <si>
    <t>NATHANIEL</t>
  </si>
  <si>
    <t>OLUWADARASIMI</t>
  </si>
  <si>
    <t>NELSON</t>
  </si>
  <si>
    <t>HARRY EMMANUEL OBALOLUWA</t>
  </si>
  <si>
    <t>OKE</t>
  </si>
  <si>
    <t>EMMANUEL INIOLUWA</t>
  </si>
  <si>
    <t>GIDEON OMOLEREOLUWA</t>
  </si>
  <si>
    <t>OKERINDE</t>
  </si>
  <si>
    <t>JUMAI</t>
  </si>
  <si>
    <t>JUNIOR SECONDARY SCHOOL 3</t>
  </si>
  <si>
    <t>OLADAPO</t>
  </si>
  <si>
    <t>JASON ANJOLAOLUWA</t>
  </si>
  <si>
    <t>OLADIPUPO</t>
  </si>
  <si>
    <t>RODIAT</t>
  </si>
  <si>
    <t>OLAMIDE</t>
  </si>
  <si>
    <t>DANIEL OBALOLUWA</t>
  </si>
  <si>
    <t>DORCAS SEMILORE</t>
  </si>
  <si>
    <t>OLATUNJI</t>
  </si>
  <si>
    <t>INIOLUWA BRIGHT</t>
  </si>
  <si>
    <t>JEMIMAH OLAMIDE</t>
  </si>
  <si>
    <t>GREAT MOYINOLUWA</t>
  </si>
  <si>
    <t>OLORUNDARE</t>
  </si>
  <si>
    <t>TOLUWANIMI</t>
  </si>
  <si>
    <t>TENINLANIMI SAMUEL</t>
  </si>
  <si>
    <t>OLUNIYI</t>
  </si>
  <si>
    <t>JOANNA</t>
  </si>
  <si>
    <t>OLUWAFEMI</t>
  </si>
  <si>
    <t>ONOJA</t>
  </si>
  <si>
    <t>MIRACLE</t>
  </si>
  <si>
    <t>PRIMARY 5</t>
  </si>
  <si>
    <t>OYEWOLE</t>
  </si>
  <si>
    <t>TEHILLA</t>
  </si>
  <si>
    <t>POPOOLA</t>
  </si>
  <si>
    <t>TAIWO</t>
  </si>
  <si>
    <t>SENIOR SECONDARY SCHOOL 3</t>
  </si>
  <si>
    <t>KEHINDE</t>
  </si>
  <si>
    <t>SAHEED</t>
  </si>
  <si>
    <t>BISOLA</t>
  </si>
  <si>
    <t>TEMITOPE</t>
  </si>
  <si>
    <t>TIMILEHIN</t>
  </si>
  <si>
    <t>YOLOYE</t>
  </si>
  <si>
    <t>ISRAEL</t>
  </si>
  <si>
    <t>ELIZABETH</t>
  </si>
  <si>
    <t>Transaction Date</t>
  </si>
  <si>
    <t xml:space="preserve"> Narration</t>
  </si>
  <si>
    <t xml:space="preserve"> Amount Credit</t>
  </si>
  <si>
    <t>Student</t>
  </si>
  <si>
    <t>Purpose</t>
  </si>
  <si>
    <t>NIP:PAUL SUNDAY ADEDOJA-ONB TRF FROM PAUL SUNDA *</t>
  </si>
  <si>
    <t>Adedoja Praise &amp; Mojere</t>
  </si>
  <si>
    <t>School Fee</t>
  </si>
  <si>
    <t>NIP:ADEDEJI TOYIN MARY-via GTWORLD Lesson fee for</t>
  </si>
  <si>
    <t>Olatunji Jemimah &amp; Inioluwa</t>
  </si>
  <si>
    <t>Lesson Fee</t>
  </si>
  <si>
    <t>NIP:Abdullahi Suleiman-Transfer from to TECHBASE</t>
  </si>
  <si>
    <t>Abdullahi Aminat</t>
  </si>
  <si>
    <t>NIP:ADEOLU CHARLES OSUNDEYI-MOB2/UTO/To TECHBASE</t>
  </si>
  <si>
    <t>Adebayo Alexander &amp; Maxwell</t>
  </si>
  <si>
    <t>WMB/ETZ/035//OJO EZEKIEL ADEDAYO to</t>
  </si>
  <si>
    <t>Ayodele Sandra</t>
  </si>
  <si>
    <t>NIP:OLAYINKA GRACE . O-USSD NIP Transfer from 0</t>
  </si>
  <si>
    <t>Akinyemi Thomas, David &amp; Daniel</t>
  </si>
  <si>
    <t>NIP:ADEDEJI TOYIN MARY-Olatunji Inioluwa Bright a</t>
  </si>
  <si>
    <t>Admission Fee</t>
  </si>
  <si>
    <t>NIP:OLUWASEGUN AJIBOLA ADELOYE-DADDY PROSPER</t>
  </si>
  <si>
    <t>Adeloye Daniel &amp; Emmanuel &amp; Prosper</t>
  </si>
  <si>
    <t>NIP:OLADAPO, ORE-OFEJESU ANUOLUWAPO-OLADAPO JASON</t>
  </si>
  <si>
    <t>Oladapo Jason Anjolaoluwa</t>
  </si>
  <si>
    <t>NIP:mutiu Adekunmi mufutau-Transfer from to TECHB</t>
  </si>
  <si>
    <t>Oladipupo Rodiat</t>
  </si>
  <si>
    <t>NIP:OLORUNDARE ISRAEL IDOWU-USSD NIP Transfer f</t>
  </si>
  <si>
    <t>Olorundare Tolu &amp; Teni</t>
  </si>
  <si>
    <t>NIP:CHARLES ADEOLU OSUNDEYI-117-DIAMOND SAVINGS A</t>
  </si>
  <si>
    <t>NIP:PRISCILLA NANAADJUA KOOMSON-Transfer from to</t>
  </si>
  <si>
    <t>Isaac Eyinjuoluwa Heritage</t>
  </si>
  <si>
    <t>NIP:ALIYU HADIZA DOGO-FBNMOBILE:TECHBASE CONSULTA</t>
  </si>
  <si>
    <t>Adeiza Elpal &amp; Eldad</t>
  </si>
  <si>
    <t>NIP:OLAYINKA  GRACE . O-USSD NIP Transfer from  0</t>
  </si>
  <si>
    <t>NIP:Babawale Paul Yoloye-school fee for israel</t>
  </si>
  <si>
    <t>Yoloye Israel &amp; Elizabeth</t>
  </si>
  <si>
    <t>NIP:PRISCILLA NANAADJUA KOOMSON-Morakinyo Testimo</t>
  </si>
  <si>
    <t>Morakinyo Ayanfe Testimony</t>
  </si>
  <si>
    <t>WMB/ETZ/035//QR TRF FRM OGUNNIYI TUNDE DANIEL</t>
  </si>
  <si>
    <t>Daniel Deborah</t>
  </si>
  <si>
    <t>NIP:TUNDE ADEGOKE OJO-Transfer from to TECHBASE C</t>
  </si>
  <si>
    <t>Adedayo Adesire &amp; Dorcas</t>
  </si>
  <si>
    <t>NIP:damilare Samuel agboola-Transfer from to TECH</t>
  </si>
  <si>
    <t>Agboola Cecelia Oluwadarasimi</t>
  </si>
  <si>
    <t>NIP:ISRAEL IDOWU OLORUNDARE-MOB/UTO/TECHBASE CONS</t>
  </si>
  <si>
    <t>NIP:Oluwafemi Emmanuel-Transfer from Oluwafemi Em</t>
  </si>
  <si>
    <t>Oluwafemi Emmanuel</t>
  </si>
  <si>
    <t>NIP:OMOWUMI SUKURAT ADEBOYE-Transfer from to TECH</t>
  </si>
  <si>
    <t>Adeboye Esther Eniola</t>
  </si>
  <si>
    <t>NIP:TUNDE ADEGOKE OJO-Adedayo Adesire</t>
  </si>
  <si>
    <t>NIP:DOTUN DAYO AYEDUN-Transfer from to TECHBASE C</t>
  </si>
  <si>
    <t>Ayedun Precious</t>
  </si>
  <si>
    <t>NIP:OYEWOLE ANDREW IDOWU-AppTehilla Oyewole Schoo</t>
  </si>
  <si>
    <t>Oyewole Tehilla</t>
  </si>
  <si>
    <t>NIP:OKERINDE KABIRU KOLAWOLE-FBNMOBILE:TECHBASE C</t>
  </si>
  <si>
    <t>Okerinde Qudus and Jumai</t>
  </si>
  <si>
    <t>NIP:ISMAILA ADEDAYO ABIDOYE-Transfer from to TECH</t>
  </si>
  <si>
    <t>Abidoye Al-Ameer Oluwajomiloju</t>
  </si>
  <si>
    <t>NIP:ADEWOLE ADEBOWALE M-FBNMOBILE:TECHBASE CONSUL</t>
  </si>
  <si>
    <t>Adewole Testimony</t>
  </si>
  <si>
    <t>NIP:DAVID AKINWUMI OLAWALE-MOB/UTO/TECHBASE CONSU</t>
  </si>
  <si>
    <t>David jesutofunmi Dara</t>
  </si>
  <si>
    <t>NIP:Omowunmi Afolasade Awoite-Transfer from to TE</t>
  </si>
  <si>
    <t>Edem Zenith</t>
  </si>
  <si>
    <t>ALAT TRANSFER FROM TAORIDI ADEYEMI AORIDI ADEYEMI</t>
  </si>
  <si>
    <t>Mutair Family</t>
  </si>
  <si>
    <t>WMB/ETZ/035//QR TRF FRM OSHOKOYA OLAMIDE TAYO</t>
  </si>
  <si>
    <t>Olamide Daniel &amp; Dorcas</t>
  </si>
  <si>
    <t>NIP:NAFTECH COMMUNICATION &amp; GLOBAL ENTERPRISES-Fr</t>
  </si>
  <si>
    <t>Saheed Bisola</t>
  </si>
  <si>
    <t>Saheed Ibrahim</t>
  </si>
  <si>
    <t>NIP:Temitope Emma Timi-Transfer from Temitope Emm</t>
  </si>
  <si>
    <t>Temitope Emmanuel &amp; Timilehin</t>
  </si>
  <si>
    <t>NIP:ADEBUNMI SAHEED ADEKUNLE-MOB/UTO/TECHBASE CON</t>
  </si>
  <si>
    <t>Adebunmi Adeoluwa &amp; Adeyemi</t>
  </si>
  <si>
    <t>NIP:Omotayo Olatunde Oke-bills part payment</t>
  </si>
  <si>
    <t>Oke Emmanuel &amp; Gideon</t>
  </si>
  <si>
    <t>NIP:TAIWO JOSEPH OLOJO-from Iya eko</t>
  </si>
  <si>
    <t>Nelson Harry</t>
  </si>
  <si>
    <t>NIP:BUNMI BLESSING OGUNDIPE-money from oluniyi D</t>
  </si>
  <si>
    <t>Oluniyi Joanna &amp; David</t>
  </si>
  <si>
    <t>NIP:ADEDEJI TOYIN MARY-For school fee Olatunji Gr</t>
  </si>
  <si>
    <t>Olatunji Great Moyinoluwa</t>
  </si>
  <si>
    <t>NIP:AKINYEMI AKINPELU TIMOTHY-FBNMOBILE:TECHBASE</t>
  </si>
  <si>
    <t>NIP:TIMILEHIN OLAMIPOSI JOHN-Transfer to TECHBASE</t>
  </si>
  <si>
    <t>Adegbite Florence</t>
  </si>
  <si>
    <t>NIP:OLUWABUNMI DEBORAH OKEOWO-Transfer to TECHBAS</t>
  </si>
  <si>
    <t>Nathaniel Oluwadarasimi</t>
  </si>
  <si>
    <t>NIP:NASIRU ADEBOLA-USSD NIP Transfer from 08052</t>
  </si>
  <si>
    <t>Popoola Taiwo &amp; Kehinde</t>
  </si>
  <si>
    <t>ATM Trf on 06-10-2023@GTBank IITA</t>
  </si>
  <si>
    <t>NIP:Omowunmi Afolasade Awoite-Transfer to TECHBAS</t>
  </si>
  <si>
    <t>NIP:PAUL SUNDAY ADEDOJA-ONB TRF FROM PAUL SUNDA</t>
  </si>
  <si>
    <t>NIP:mutiu Adekunmi mufutau-Transfer to TECHBASE C</t>
  </si>
  <si>
    <t>Kingsley Prosper</t>
  </si>
  <si>
    <t>NIP:Ajao Qudus-Transfer from Ajao Qudus/AT68_TRF2</t>
  </si>
  <si>
    <t>Ajao Qudus</t>
  </si>
  <si>
    <t>NIP:ONOJA PATRICK OBEH-NIPTECHBASE CONSULTANT SER</t>
  </si>
  <si>
    <t>Onoja Miracle</t>
  </si>
  <si>
    <t>NIP:OLUWASEGUN AJIBOLA ADELOYE-Transfer to TECHBA</t>
  </si>
  <si>
    <t>CASH DEP BY ADELEKE M.A/16102023</t>
  </si>
  <si>
    <t>Adeleke Abdulmuiz</t>
  </si>
  <si>
    <t>NIP:POS business HARDEOLAREMPIRE-HARDEOLARE POS T</t>
  </si>
  <si>
    <t>Ayodele Michael</t>
  </si>
  <si>
    <t>NIP:TAORIDI ADEYEMI MUTAIRU-NIPTECHBASE CONSULTAN</t>
  </si>
  <si>
    <t>NIP:NAFTECH COMMUNICATION &amp; GLOBAL ENTERPRISES-Tr</t>
  </si>
  <si>
    <t>Saheed Ibrahim &amp; Bisola</t>
  </si>
  <si>
    <t>NIP:Timilehin Nathaniel-Transfer to TECHBASE CONS</t>
  </si>
  <si>
    <t>NIP:KABIRU KOLAWOLE OKERINDE-TECHBASE CONSULTANT</t>
  </si>
  <si>
    <t>NIP:PRISCILLA NANAADJUA KOOMSON-Transfer to TECHB</t>
  </si>
  <si>
    <t>NIP:OGUNNIYI TUNDE DANIEL-QR TRF FRM Ogunniyi Tun</t>
  </si>
  <si>
    <t>NIP:OSHOKOYA OLAMIDE TAYO-QR TRF FRM Oshokoya Ola</t>
  </si>
  <si>
    <t>NIP:ADEDEJI TOYIN MARY-Balance for the three Olat</t>
  </si>
  <si>
    <t>ATM Trf on 06-11-2023@UNIV. OF IBADAN A</t>
  </si>
  <si>
    <t>NIP:ADEBOLA MUJIDAT NASIRU-Transfer to TECHBASE C</t>
  </si>
  <si>
    <t>NIP:VICTORIA BUKOLA OLUNIYI-NIP0127925VICTORIA BU</t>
  </si>
  <si>
    <t>NIP:OMOWUMI SUKURAT ADEBOYE-Adeboye Esther</t>
  </si>
  <si>
    <t>CASH DEP BY KOOSOM NAOMI IBUKUNOLUWA/15739926</t>
  </si>
  <si>
    <t>NIP:TUNDE ADEGOKE OJO-Transfer from TUNDE ADEGOKE</t>
  </si>
  <si>
    <t>NIP:HARUNA TEMITOPE OLUWAFEMI-USSD_HARUNA TEMITOP</t>
  </si>
  <si>
    <t>CASH DEP BY KOOMSON NAOMI IBUKUN/15739851</t>
  </si>
  <si>
    <t>NIP:TAIWO JANET OLORUNDARE-balance for Tolu and T</t>
  </si>
  <si>
    <t>NIP:Basiru Bb comm 4-Basiru Bb co POS Trf for Cus</t>
  </si>
  <si>
    <t>NIP:mutiu Adekunmi mufutau-Transfer from mutiu Ad</t>
  </si>
  <si>
    <t>NIP:DOTUN DAYO AYEDUN-Transfer from DOTUN DAYO AY</t>
  </si>
  <si>
    <t>NIP:OLADAPO, ORE-OFEJESU ANUOLUWAPO-JASON'S SCHOO</t>
  </si>
  <si>
    <t>NIP:damilare Samuel agboola-Transfer from damilar</t>
  </si>
  <si>
    <t>NIP:Samson Femi Nelson-Transfer from Samson Femi</t>
  </si>
  <si>
    <t>NIP:Muhydeen Arise Qumarudeen-Transfer from Muhyd</t>
  </si>
  <si>
    <t>NIP:Palmpay - Stephen Ayomide Adegbite-Palmpay -</t>
  </si>
  <si>
    <t>NIP:ERISHEUN ADEOLA AYODEJI-Transfer from ERISHEU</t>
  </si>
  <si>
    <t>NIP:JACOB OLUWASEYI AWONIYI-Transfer from JACOB O</t>
  </si>
  <si>
    <t>Awoniyi Samuel</t>
  </si>
  <si>
    <t>NIP:DAVID AKINWUMI OLAWALE-TRFTofunmi PARTYFRM DA</t>
  </si>
  <si>
    <t>WMB/ETZ/035//NAOMI IBUKUNOLUWA KOOMSON to</t>
  </si>
  <si>
    <t>NIP:Babawale Paul Yoloye-Transfer from Babawale P</t>
  </si>
  <si>
    <t>NIP:Timileyin Emmanuel-Transfer from Timileyin Em</t>
  </si>
  <si>
    <t>NIP:Saheed Faida Ibrahim-Transfer from Saheed Fa</t>
  </si>
  <si>
    <t>Saheed Family</t>
  </si>
  <si>
    <t>NIP:BUNMI BLESSING OGUNDIPE-oluniyi joanna</t>
  </si>
  <si>
    <t>NIP:OLATUNDE DEBORAH FUNMILAYO-USSD NIP Transfer</t>
  </si>
  <si>
    <t>NIP:ISMAILA ADEDAYO ABIDOYE-Transfer from ISMAILA</t>
  </si>
  <si>
    <t>NIP:OLADAPO, ORE-OFEJESU ANUOLUWAPO-JASON'S FEE B</t>
  </si>
  <si>
    <t>NIP:OLABISI KAOSARA LAMIDI-Transfer from OLABISI</t>
  </si>
  <si>
    <t>NIP:AjaoQudus-Transfer from AjaoQudus/AT68_TRF2MP</t>
  </si>
  <si>
    <t>NIP:PRISCILLA NANAADJUA KOOMSON-Transfer from PRI</t>
  </si>
  <si>
    <t>NIP:ARIIK VENTURE-From Adeleke /AT68_TRF2MPT1j5ej</t>
  </si>
  <si>
    <t>NIP:AYEDUN DOTUN DAYO-App To WemaALAT TECHBASE CO</t>
  </si>
  <si>
    <t>NIP:AKINYEMI AKINPELU TIMOTHY-USSD_AKINYEMI AKINP</t>
  </si>
  <si>
    <t>NIP:OMOWUMI SUKURAT ADEBOYE-Transfer from OMOWUMI</t>
  </si>
  <si>
    <t>NIP:Omowunmi Afolasade Awoite-Transfer from Omowu</t>
  </si>
  <si>
    <t>CERTIFICATE REQUEST</t>
  </si>
  <si>
    <t>NIP:OYEWOLE HAPPINESS OYONNUDE-QR TRF FRM Oyewole</t>
  </si>
  <si>
    <t>NIP:ADEBOLA MUJIDAT NASIRU-Transfer from ADEBOLA</t>
  </si>
  <si>
    <t>NIP:ADEDEJI TOYIN MARY-Olatunji Inioluwa Jemimah</t>
  </si>
  <si>
    <t>NIP:REGINA BASSEY ADELOYE-Transfer from REGINA BA</t>
  </si>
  <si>
    <t>NIP:EZEKIEL ADEDAYO OJO-TRFAyodele ZandraFRM EZEK</t>
  </si>
  <si>
    <t>NIP:OLADAPO, ORE-OFEJESU ANUOLUWAPO-JASON'S BALAN</t>
  </si>
  <si>
    <t>NIP:TUNDE ADEGOKE OJO-Adedayo Adesire and Ademide</t>
  </si>
  <si>
    <t>NIP:Yoloyes-party xmas/AT68_TRF2MPT5ofy1734874360</t>
  </si>
  <si>
    <t>OLADEJO</t>
  </si>
  <si>
    <t>JESUTOFUNMI PRECIOUS</t>
  </si>
  <si>
    <t>EMMANUEL OBALOLUWA</t>
  </si>
  <si>
    <t>OYETUNJI</t>
  </si>
  <si>
    <t>ISAAC ORINAYO</t>
  </si>
  <si>
    <t>SOMIDE</t>
  </si>
  <si>
    <t>DORCAS ADESEWA</t>
  </si>
  <si>
    <t>Adedoja Family</t>
  </si>
  <si>
    <t>Adeiza Family</t>
  </si>
  <si>
    <t>Popoola Family</t>
  </si>
  <si>
    <t>Exam Fee</t>
  </si>
  <si>
    <t>NIP:BUNMI BLESSING OGUNDIPE-oluniyi david</t>
  </si>
  <si>
    <t>Oluniyi Family</t>
  </si>
  <si>
    <t>NIP:Israel Idowu OLORUNDARE-Transfer from Israel</t>
  </si>
  <si>
    <t>Olorundare Family</t>
  </si>
  <si>
    <t>Okerinde Family</t>
  </si>
  <si>
    <t>NIP:EZEKIEL ADEDAYO OJO-Ayodele Zandra</t>
  </si>
  <si>
    <t>NIP:ADEDEJI TOYIN MARY-School fee Olatunji Iniolu</t>
  </si>
  <si>
    <t>Olatunji Family</t>
  </si>
  <si>
    <t>NIP:OLADAPO, ORE-OFEJESU ANUOLUWAPO-JASON'S FEE</t>
  </si>
  <si>
    <t>NIP:Oladejo Tofunmi Precious-Transfer from Oladej</t>
  </si>
  <si>
    <t>Oladejo Jesutofunmi Precious</t>
  </si>
  <si>
    <t>Temitope Family</t>
  </si>
  <si>
    <t>Yoloye Family</t>
  </si>
  <si>
    <t>NIP:ESTHER GIFT CHIDINMA-Transfer from ESTHER GIF</t>
  </si>
  <si>
    <t>NIP:kayloy multipurpose 4-obaloluwa Emmanuel Oluw</t>
  </si>
  <si>
    <t>Oluwafemi Emmanuel Obaloluwa</t>
  </si>
  <si>
    <t>NIP:OYEWOLE ANDREW IDOWU-AppTehilla's school Fees</t>
  </si>
  <si>
    <t>NIP:TUNDE ADEGOKE OJO-Adedayo ademide</t>
  </si>
  <si>
    <t>Adedayo Family</t>
  </si>
  <si>
    <t>NIP:TUNDE DANIEL OGUNNIYI-Transfer from TUNDE DAN</t>
  </si>
  <si>
    <t>NIP:PAUL SUNDAY ADEDOJA-Transfer from PAUL SUNDAY</t>
  </si>
  <si>
    <t>Olamide Family</t>
  </si>
  <si>
    <t>NIP:PRISCILLA NANAADJUA KOOMSON-Isaac Heritage Sc</t>
  </si>
  <si>
    <t>Isaac Heritage</t>
  </si>
  <si>
    <t>NIP:OLUWABUNMI DEBORAH OKEOWO-darasimi outstandin</t>
  </si>
  <si>
    <t>David Oluwadarasimi</t>
  </si>
  <si>
    <t>NIP:CHRISTIANA IFEOLUWA ONIFADE-Transfer from CHR</t>
  </si>
  <si>
    <t>NIP:Adeniyi Odunayo Somide-Dorcas Somide</t>
  </si>
  <si>
    <t>Somide Dorcas</t>
  </si>
  <si>
    <t>NIP:SAMUEL AANUOLUWAPO OYETUNJI-Orinayo Oyetunji</t>
  </si>
  <si>
    <t>Oyetunji Orinayo</t>
  </si>
  <si>
    <t>Adebayo Family</t>
  </si>
  <si>
    <t>NIP:Musliudeen Ayinla Sodiq-Transfer from Musliud</t>
  </si>
  <si>
    <t>NIP:Damilare Samuel Agboola-Transfer from Damilar</t>
  </si>
  <si>
    <t>Agboola Cecelia</t>
  </si>
  <si>
    <t>NIP:Bohlar beauty world-Abidoye Ameerpart payment</t>
  </si>
  <si>
    <t>Abidoye Alameer</t>
  </si>
  <si>
    <t>NIP:SAHEED ADEKUNLE ADEBUNMI-Transfer from SAHEED</t>
  </si>
  <si>
    <t>Adebunmi Family</t>
  </si>
  <si>
    <t>NIP:OLUWASEGUN AJIBOLA ADELOYE-daddy prosper</t>
  </si>
  <si>
    <t>Adeloye Family</t>
  </si>
  <si>
    <t>NIP:BABAWALE PAUL YOLOYE-Transfer from BABAWALE P</t>
  </si>
  <si>
    <t>NIP:ADEDEJI TOYIN MARY-Balance school fee and sch</t>
  </si>
  <si>
    <t>Akinyemi Family</t>
  </si>
  <si>
    <t>David Jesutofunmi Dara</t>
  </si>
  <si>
    <t>CASH DEP BY KOOMSON NAOMI/15045341</t>
  </si>
  <si>
    <t>Morakinyo Ayanfe Testimony</t>
  </si>
  <si>
    <t>NIP:FALANA OLUWATOSIN ELIZABETH-ATM_FALANA OLUWAT</t>
  </si>
  <si>
    <t>Oluniyi David</t>
  </si>
  <si>
    <t>WMB:000017240217164857832365258347/1300007834/WEMA</t>
  </si>
  <si>
    <t>NIP: 000033794878 FBNMOBILE:TECHBASE CONSULTANT S</t>
  </si>
  <si>
    <t>NIP:Oladejojesutofunmi-Transfer from Oladejojesut</t>
  </si>
  <si>
    <t>NIP:OSHOKOYA OLAMIDE TAYO-QR TRF FRM OSHOKOYA OLA</t>
  </si>
  <si>
    <t>CASH DEP BY KOOMSON NAOMI/15756563</t>
  </si>
  <si>
    <t>NIP:OGUNNIYI TUNDE DANIEL-QR TRF FRM OGUNNIYI TUN</t>
  </si>
  <si>
    <t>NIP:Timilehin Nathaniel-Transfer from Timilehin N</t>
  </si>
  <si>
    <t>NIP:EZEKIEL ADEDAYO OJO-TRFAyodele zandraFRM EZEK</t>
  </si>
  <si>
    <t>NIP:TAORIDI ADEYEMI MUTAIRU-NIP0127925TAORIDI ADE</t>
  </si>
  <si>
    <t>NIP:Ajao Kudus-Transfer from Ajao Kudus/AT68_TRF2</t>
  </si>
  <si>
    <t>NIP:NAFIU OLATEJU SODIQ-NAFIU OLATEJU SODIQ:70614</t>
  </si>
  <si>
    <t>NIP:ADEBOYE EBENEZER OLALEKAN-App To WemaALAT TEC</t>
  </si>
  <si>
    <t>NIP:ARIIK VENTURE-From Adeleke/AT68_TRF2MPT1j5ej1</t>
  </si>
  <si>
    <t>Adeleke Muiz</t>
  </si>
  <si>
    <t>NIP:Omotayo Olatunde Oke-part school fee</t>
  </si>
  <si>
    <t>Oke Family</t>
  </si>
  <si>
    <t>NIP:dupe aduragbemi agboola-Transfer from dupe ad</t>
  </si>
  <si>
    <t>NIP:TIMILEHIN OLAMIPOSI JOHN-Transfer from TIMILE</t>
  </si>
  <si>
    <t>Isaac Heritage &amp; Morakinyo Testimony</t>
  </si>
  <si>
    <t>NIP:TIMILEHIN DAVID NATHANIEL-for Darasimi David</t>
  </si>
  <si>
    <t>NIP:SAMSON FEMI NELSON-Transfer from SAMSON FEMI</t>
  </si>
  <si>
    <t>NIP:KEHINDE ADEIZA FASHE-Transfer from KEHINDE AD</t>
  </si>
  <si>
    <t>NIP:PAUL SUNDAY ADEDOJA-ONB T</t>
  </si>
  <si>
    <t>NIP:OMOTAYO OLATUNDE OKE-Transfer from OMOTAYO OL</t>
  </si>
  <si>
    <t>ENIOLA ESTHER</t>
  </si>
  <si>
    <t>ABDULMUIZ KAYODE</t>
  </si>
  <si>
    <t>ADENEGAN</t>
  </si>
  <si>
    <t>LEAH</t>
  </si>
  <si>
    <t>MERCY</t>
  </si>
  <si>
    <t>BOLUWATIFE QUDUS</t>
  </si>
  <si>
    <t>ABDULLAHI ANJOLAOLUWA</t>
  </si>
  <si>
    <t>PRECIOUS OGOMIDE</t>
  </si>
  <si>
    <t>SANDRA OLUWATOBILOBA</t>
  </si>
  <si>
    <t>DEBORAH IYANUOLUWA</t>
  </si>
  <si>
    <t>MARIAM OMOSHALEWA</t>
  </si>
  <si>
    <t>ISMAIL ABIODUN</t>
  </si>
  <si>
    <t>IBRAHIM GBOLAHAN</t>
  </si>
  <si>
    <t>ABDULAZEEZ AYOMIDE</t>
  </si>
  <si>
    <t>JUMAIN BOLUWATIFE</t>
  </si>
  <si>
    <t>QUDUS OLAMILEKAN</t>
  </si>
  <si>
    <t>OLALERE</t>
  </si>
  <si>
    <t>TIARAOLUWA SARAH</t>
  </si>
  <si>
    <t>LEONARD</t>
  </si>
  <si>
    <t>JOANNA AYOMIDE</t>
  </si>
  <si>
    <t>FARIDAT ABISOLA</t>
  </si>
  <si>
    <t>EMMANUEL OLUWASEMILORE</t>
  </si>
  <si>
    <t>OLUWATIMILEYIN GODWIN</t>
  </si>
  <si>
    <t>NIP:OLANIYAN EBUNOLUWA COMFORT-FBNMOBILE:TECHBASE</t>
  </si>
  <si>
    <t>Olalere Tiaraoluwa Sarah</t>
  </si>
  <si>
    <t>NIP:OLATUNJI TOYIN MARY-School fee for Olatunji I</t>
  </si>
  <si>
    <t>Olatunji family</t>
  </si>
  <si>
    <t>NIP:Olufemi Emmanuel Obaloluwa-School fees/AT68_T</t>
  </si>
  <si>
    <t>WMB/ETZ/035//OJO EZEKIEL ADEDAYO TO</t>
  </si>
  <si>
    <t>NIP:ISRAEL IDOWU OLORUNDARE-Transfer from ISRAEL</t>
  </si>
  <si>
    <t>NIP:KEHINDE SHAKIRU OLADIPUPO-Transfer from KEHIN</t>
  </si>
  <si>
    <t>MoniePoint 11:34AM</t>
  </si>
  <si>
    <t>Oladejo Tofunmi</t>
  </si>
  <si>
    <t>NIP:BABAWALE PAUL YOLOYE-Bills for Israel Yoloye</t>
  </si>
  <si>
    <t>NIP:JANET FOLAKE AWOLOLA-Mutairu Family</t>
  </si>
  <si>
    <t>Mutairu Family</t>
  </si>
  <si>
    <t>NIP:TUNDE ADEGOKE OJO-adedayo ademide</t>
  </si>
  <si>
    <t>NIP:TUNDE ADEGOKE OJO-adedayo Adesire</t>
  </si>
  <si>
    <t>NIP:AJARAT OLABISI KABIRU-for Michael school fees</t>
  </si>
  <si>
    <t>NIP:OYEWOLE ANDREW IDOWU-AppOyewole Tehilla Third</t>
  </si>
  <si>
    <t>NIP:MUSILIUDEEN AYINLA SODIQ-Transfer from MUSILI</t>
  </si>
  <si>
    <t>Oladapo Jason</t>
  </si>
  <si>
    <t>Oyetunji Isaaac Orinayo</t>
  </si>
  <si>
    <t>NIP:OMOWUNMI AFOLASADE AWOITE-Transfer from OMOWU</t>
  </si>
  <si>
    <t>eTZ:OLAJIDE ABIDEEN OLANIYI-OLAJIDE ABIDEEN OLANI</t>
  </si>
  <si>
    <t>Adenegan Family</t>
  </si>
  <si>
    <t>NIP:OYEWOLE ANDREW IDOWU-AppOyewole Tehilla 3rd t</t>
  </si>
  <si>
    <t>NIP:EMMANUEL OYETUNDE ADEGOKE-David jesutofunmi /</t>
  </si>
  <si>
    <t>NIP:SULIYAT TOSIN SALAWUDEEN-1234 Funds Transfer</t>
  </si>
  <si>
    <t>NIP:EBENEZER OLALEKAN ADEBOYE-Transfer from EBENE</t>
  </si>
  <si>
    <t>Adeboye Eniola</t>
  </si>
  <si>
    <t>NIP:OLAJIDE ABIDEEN OLANIYI-OLAJIDE ABIDEEN OLANI</t>
  </si>
  <si>
    <t>NIP:Temitope Emmanuel Timileyin-school fee/AT68_</t>
  </si>
  <si>
    <t>NIP:OLAYINKA GRACE OMOBOLANLE-USSD NIP Transfer</t>
  </si>
  <si>
    <t>NIP:STEPHEN AYOMIDE ADEGBITE-STEPHEN AYOMIDE ADEG</t>
  </si>
  <si>
    <t>ATM Trf on 26-05-2024@STERLING BOWEN IWO</t>
  </si>
  <si>
    <t>NIP:ADENIYI ODUNAYO SOMIDE-Somide Dorcas</t>
  </si>
  <si>
    <t>Somide Dorcas Adesewa</t>
  </si>
  <si>
    <t>NIP:OLABISI KAOSARAT LAMIDI-OLABISI KAOSARAT LAMI</t>
  </si>
  <si>
    <t>NIP:MARY AYOMIDE ADEBISI-Transfer from MARY AYOMI</t>
  </si>
  <si>
    <t>NIP:KAYLOY -oladejo jesutofunmi/AT68_TRF2MPT34ygi</t>
  </si>
  <si>
    <t>NIP:KEHINDE SAKIRU BADMUS-Transfer from KEHINDE S</t>
  </si>
  <si>
    <t>NIP:ISMAILA ADEDAYO ABIDOYE-ISMAILA ADEDAYO ABIDO</t>
  </si>
  <si>
    <t>Moniepoint Transfer</t>
  </si>
  <si>
    <t>NIP:OLATUNJI TOYIN MARY-Balance for school fee Ol</t>
  </si>
  <si>
    <t>NIP:MUSILIUDEEN AYINLA SODIQ-Ibrahim</t>
  </si>
  <si>
    <t>NIP:SAMUEL AANUOLUWAPO OYETUNJI-Oyetunji Orinayo</t>
  </si>
  <si>
    <t>NIP:REGINA BASSEY ADELOYE-REGINA BASSE Trf for Cu</t>
  </si>
  <si>
    <t>NIP:ERISHEUN ADEOLA AYODEJI-ERISHEUN ADEOLA AYODE</t>
  </si>
  <si>
    <t>NIP:MUHYDEEN ARISE QUMORUDEEN-Transfer from MUHYD</t>
  </si>
  <si>
    <t>NIP:Oyins V-oyins v/AT68_TRF2MPThkix1805502140474</t>
  </si>
  <si>
    <t>NIP:VICTORIA BUKOLA OLUNIYI-NIPTECHBASE CONSULTAN</t>
  </si>
  <si>
    <t>NIP:KEHINDE ADEIZA FASHE-Eldads books</t>
  </si>
  <si>
    <t>NIP:Temitope Timileyin-Transfer from Temitope Tim</t>
  </si>
  <si>
    <t>NIP:DAMILARE SAMUEL AGBOOLA-Transfer from DAMILAR</t>
  </si>
  <si>
    <t>NIP:JANET FOLAKE AWOLOLA-mutairu family</t>
  </si>
  <si>
    <t>NIP:OLADEJO SEGUN KUNLE-NIPTECHBASE CONSULTANT SE</t>
  </si>
  <si>
    <t>ATM Trf on 10-07-2024@STERLING BOWEN IWO</t>
  </si>
  <si>
    <t>eTZ:OSHOKOYA OLAMIDE TAYO-QR TRF FRM OSHOKOYA OLA</t>
  </si>
  <si>
    <t>NIP:OLATUNJI TOYIN MARY-Remaining balanc</t>
  </si>
  <si>
    <t>CASH DEP BY KOOMSON NAOMI/12072024</t>
  </si>
  <si>
    <t>NIP:RASHIDAT ENIOLA OPEYEMI-RASHIDAT ENIOLA OPEYE</t>
  </si>
  <si>
    <t>NIP:TIMILEHIN DAVID NATHANIEL-Transfer from TIMIL</t>
  </si>
  <si>
    <t>NIP:Saheed Ibrahim And Saheed Faidat-Transfer fro</t>
  </si>
  <si>
    <t>NIP:Adeleke Abdul Muiz-shool fee/AT68_TRF2MPTdi8p</t>
  </si>
  <si>
    <t>NIP:Party Money-party money/AT68_TRF2MPThkix18157</t>
  </si>
  <si>
    <t>Aliu Abdullahi</t>
  </si>
  <si>
    <t>NIP:Oyins V-sport wear/AT68_TRF2MPThkix1815742380</t>
  </si>
  <si>
    <t>NIP:Olayiwola Store Accessories-Olayiwola St Trf</t>
  </si>
  <si>
    <t>NIP:SAHEED ADEKUNLE ADEBUNMI-ADEBUNMI ADEOLUWA</t>
  </si>
  <si>
    <t>ATM Trf on 27-07-2024@STERLING BOWEN IWO</t>
  </si>
  <si>
    <t>CASH DEPOSIT</t>
  </si>
  <si>
    <t>DISCOUNT</t>
  </si>
  <si>
    <t>FULL TUITION</t>
  </si>
  <si>
    <t xml:space="preserve"> AD_FORM</t>
  </si>
  <si>
    <t xml:space="preserve"> PTA&amp;EXAM</t>
  </si>
  <si>
    <t xml:space="preserve"> REPORT_CARD</t>
  </si>
  <si>
    <t>PRACTICAL</t>
  </si>
  <si>
    <t>ABASS</t>
  </si>
  <si>
    <t>ABDULJAMAL TOHEEB</t>
  </si>
  <si>
    <t>SUITAN ORODE</t>
  </si>
  <si>
    <t>ELUZAI ONYECHE</t>
  </si>
  <si>
    <t>OGUNYEMI</t>
  </si>
  <si>
    <t>MODADEOBA</t>
  </si>
  <si>
    <t>OLAMILEKAN</t>
  </si>
  <si>
    <t>OPEYEMI</t>
  </si>
  <si>
    <t>OLUWASESAN</t>
  </si>
  <si>
    <t>ZION</t>
  </si>
  <si>
    <t>UDENSON</t>
  </si>
  <si>
    <t>WAHAB</t>
  </si>
  <si>
    <t>FAIZA ALVES</t>
  </si>
  <si>
    <t>ADEJUMO</t>
  </si>
  <si>
    <t>ELIZABETH ENIOLA</t>
  </si>
  <si>
    <t>ADEKUNLE</t>
  </si>
  <si>
    <t>MUMINAT ADEBOLA</t>
  </si>
  <si>
    <t>ADENIYI</t>
  </si>
  <si>
    <t>HERITAGE ADEDOYIN</t>
  </si>
  <si>
    <t>ALIDU</t>
  </si>
  <si>
    <t>BOLANLE AZEEZAT</t>
  </si>
  <si>
    <t>AWODOLA</t>
  </si>
  <si>
    <t>JOSHUA AYOMIDE</t>
  </si>
  <si>
    <t>BABALOLA</t>
  </si>
  <si>
    <t>BRIDGET OLADOYIN</t>
  </si>
  <si>
    <t>RUTH OLADIPUPO</t>
  </si>
  <si>
    <t>IGE</t>
  </si>
  <si>
    <t>OLUWAFERANMI BRIDGET</t>
  </si>
  <si>
    <t>OLUWASEGUN</t>
  </si>
  <si>
    <t>EMMANUEL OLUWAKOREDE</t>
  </si>
  <si>
    <t>DAUD</t>
  </si>
  <si>
    <t>FAWZAN AKOREREDE</t>
  </si>
  <si>
    <t>HAMMED</t>
  </si>
  <si>
    <t>ZAINAB ENIOLA</t>
  </si>
  <si>
    <t>OLOGUNDUDU</t>
  </si>
  <si>
    <t>AKINBOSOYE</t>
  </si>
  <si>
    <t>DANIEL IYANUOLUWA</t>
  </si>
  <si>
    <t>OLUWASHOLA</t>
  </si>
  <si>
    <t>TEMILOLUWA ELIZABETH</t>
  </si>
  <si>
    <t>AZEEMAH</t>
  </si>
  <si>
    <t>TIAMIYU</t>
  </si>
  <si>
    <t>AISHAT WURAOLA</t>
  </si>
  <si>
    <t>ADEKOLA</t>
  </si>
  <si>
    <t>SARAH</t>
  </si>
  <si>
    <t>EWARAWON</t>
  </si>
  <si>
    <t>ZION AYOMIDE</t>
  </si>
  <si>
    <t>ELIZABETH IREOLUWA</t>
  </si>
  <si>
    <t>ARIKE</t>
  </si>
  <si>
    <t>MORIRE ESTHER</t>
  </si>
  <si>
    <t>OSIGWE</t>
  </si>
  <si>
    <t>UGOCHUKWU DOMINION</t>
  </si>
  <si>
    <t>PETER</t>
  </si>
  <si>
    <t>FAVOUR ELIANA</t>
  </si>
  <si>
    <t>SALEEM</t>
  </si>
  <si>
    <t>DEBORAH OLUWADARA</t>
  </si>
  <si>
    <t>KOLADE</t>
  </si>
  <si>
    <t>AYOMIDE JEMIMAH</t>
  </si>
  <si>
    <t>FAWZY AKOLAWOLE</t>
  </si>
  <si>
    <t>IBITOYE</t>
  </si>
  <si>
    <t>FELIX TIWATOPE</t>
  </si>
  <si>
    <t>OSINACHI KINGDAVID</t>
  </si>
  <si>
    <t>ELPAAL OYIZA</t>
  </si>
  <si>
    <t>OLUWAFEMI BRIGHT</t>
  </si>
  <si>
    <t>ISA</t>
  </si>
  <si>
    <t>MUJIBAH</t>
  </si>
  <si>
    <t>LEONARD DAVID</t>
  </si>
  <si>
    <t>SANNI</t>
  </si>
  <si>
    <t>AMINAT OPEYEMI</t>
  </si>
  <si>
    <t>RODIAT ENIOLA</t>
  </si>
  <si>
    <t>CREDIT</t>
  </si>
  <si>
    <t>PURPOSE</t>
  </si>
  <si>
    <t>WEMA</t>
  </si>
  <si>
    <t>NIP:ADEBOLA NASIRU-For VS TAIWO and Kenny popoola</t>
  </si>
  <si>
    <t>NIP:TIMILEYIN ADEYEMI OGUNYEMI-Transfer from TIMI</t>
  </si>
  <si>
    <t>Ogunyemi Modadeoba</t>
  </si>
  <si>
    <t>NIP:PAUL SUNDAY ADEDOJA-ONB TRF FROM PAUL SUNDAY</t>
  </si>
  <si>
    <t>NIP:Abdullahs Money-abdullah money/AT68_TRF2MPThk</t>
  </si>
  <si>
    <t>NIP:OMOWUNMI AFOLASADE AWOITE-Edem zenith</t>
  </si>
  <si>
    <t>NIP:OLATUNJI TOYIN MARY-</t>
  </si>
  <si>
    <t>for lesson - FROM TAIWO JANET OLORUNDARE</t>
  </si>
  <si>
    <t>form - FROM OLALEKAN IFALETO AGBOOLA</t>
  </si>
  <si>
    <t>Unknown</t>
  </si>
  <si>
    <t>Admission Form</t>
  </si>
  <si>
    <t>NIP:DAVID AKINWUMI OLAWALE-TRFDavid Jesutofunmi 1</t>
  </si>
  <si>
    <t>TRF|2MPT2unir|1833470681801363456_CBA_credit</t>
  </si>
  <si>
    <t>Babalola Bridget Oladoyin</t>
  </si>
  <si>
    <t>TRF|2MPT2unir|1833472413449773056_CBA_credit</t>
  </si>
  <si>
    <t>Emmanuel Ruth Oladipupo</t>
  </si>
  <si>
    <t>NIP:EUNICE ADEOLA ROTIMI-Isaac Heritage School Fe</t>
  </si>
  <si>
    <t>Transfer from SAMUEL OLUWAFEMI OLUWASESAN</t>
  </si>
  <si>
    <t>Oluwasesan Zion</t>
  </si>
  <si>
    <t>NIP:BOLAJOKO MUIBAT OLASOMI-USSD_BOLAJOKO MUIBAT</t>
  </si>
  <si>
    <t>Adekunle Muminat</t>
  </si>
  <si>
    <t>Chuchu fees - FROM OFURE   EDIALE</t>
  </si>
  <si>
    <t>Osigwe Family</t>
  </si>
  <si>
    <t>TRF|2MPT26ihj|1835695607958913024_CBA_credit</t>
  </si>
  <si>
    <t>Adeniyi Heritage Adedoyin</t>
  </si>
  <si>
    <t>eTZ:OJO EZEKIEL ADEDAYO-OJO EZEKIEL ADEDAYO TO</t>
  </si>
  <si>
    <t>FROM naomi ibukunoluwa koomson</t>
  </si>
  <si>
    <t>FROM OLUWASHOLA JACOB SOLOMON</t>
  </si>
  <si>
    <t>Oluwashola Family</t>
  </si>
  <si>
    <t>NIP:SALIU TUNDE SANNI-MOB/UTO/TECHBASE CONSU/Sann</t>
  </si>
  <si>
    <t>Sanni Aminat</t>
  </si>
  <si>
    <t>PEACE ABIDEMI AGBOOLA</t>
  </si>
  <si>
    <t>NIP:AKINBOSOYE OLUWEMIMO OLUFISAYO-USSD_AKINBOSOY</t>
  </si>
  <si>
    <t>Akinbosoye Family</t>
  </si>
  <si>
    <t>NIP:KB OPTIMUM FIRST VENTURES Optimumcom-KB OPTI</t>
  </si>
  <si>
    <t>Alidu Bolanle Azeezat</t>
  </si>
  <si>
    <t>NIP:IGE ABIOLA ADELEYE-Appfor IGE Bridget and Br</t>
  </si>
  <si>
    <t>Ige Family</t>
  </si>
  <si>
    <t>NIBBS B/O NAOMI IBUKUNOLUWA KOOMSON IFO</t>
  </si>
  <si>
    <t>NIP:TAORIDI ADEYEMI MUTAIRU-TRFFRM TAORIDI ADEYEM</t>
  </si>
  <si>
    <t>NIP:OLATUNJI TOYIN MARY-For Olatunjis textbooks a</t>
  </si>
  <si>
    <t>NIP:ADEBAYO BOSEDE BUNMI-USSD_ADEBAYO BOSEDE BUNM</t>
  </si>
  <si>
    <t>Ologundudu Praise</t>
  </si>
  <si>
    <t>NIP:NAFIU OLATEJU SODIQ-Saheed Ibrahim</t>
  </si>
  <si>
    <t>Saheed Bisola &amp; Ibrahim</t>
  </si>
  <si>
    <t>NIP:ADENIYI ODUNAYO SOMIDE-Somide Dorcas Adesewa</t>
  </si>
  <si>
    <t>NIP:MONSURAT OMOWUMI KABIRU-Transfer from MONSURA</t>
  </si>
  <si>
    <t>NIP:FATIMO OMOLABAKE ADEYEMO-Transfer from FATIMO</t>
  </si>
  <si>
    <t>Wahab Faiza Alves</t>
  </si>
  <si>
    <t>FROM SAHEED ADEKUNLE ADEBUNMI</t>
  </si>
  <si>
    <t>NIP:OGUNYEMI, ADEYEMI TIMILEYIN-GOD</t>
  </si>
  <si>
    <t>Techbase Consultant Services - FROM KABIRU KOLAWOLE  OKERINDE</t>
  </si>
  <si>
    <t>NIP:Moniepoint PCBS-PCBS Trf for Customer/AT68_TR</t>
  </si>
  <si>
    <t>NIP:TIAMIYU ADEWALE NAJEEM-USSD_TIAMIYU ADEWALE N</t>
  </si>
  <si>
    <t>Tiamiyu Aishat Wuraola</t>
  </si>
  <si>
    <t>TRF|2MPT1nqh8|1836656254320640000_CBA_credit</t>
  </si>
  <si>
    <t>NIP:OLADEJI CHARLES OLALERE-Transfer from OLADEJI</t>
  </si>
  <si>
    <t>Fees - FROM OFURE DIVINE EDIALE</t>
  </si>
  <si>
    <t>FROM OKUNYODE GRACE ARINOLA</t>
  </si>
  <si>
    <t>Oluwasegun Emmanuel</t>
  </si>
  <si>
    <t>Transfer from TUNDE ADEGOKE OJO</t>
  </si>
  <si>
    <t>Adekola Sarah</t>
  </si>
  <si>
    <t>RASHIDAT ENIOLA OPEYEMI</t>
  </si>
  <si>
    <t>NIP:Ahmed Zainab-Transfer from Ahmed Zainab/AT68_</t>
  </si>
  <si>
    <t>Hammed Zainab</t>
  </si>
  <si>
    <t>NIP:TAORIDI ADEYEMI MUTAIRU-TRFPart payment for m</t>
  </si>
  <si>
    <t>Transfer from OFURE DIVINE EDIALE</t>
  </si>
  <si>
    <t>NIP:Saheed Azeemah Seleem-Transfer from Saheed Az</t>
  </si>
  <si>
    <t>NIP:paul onyezuoke udenson-Transfer from paul ony</t>
  </si>
  <si>
    <t>Udenson Testimony</t>
  </si>
  <si>
    <t>Abidoye Family</t>
  </si>
  <si>
    <t>NIP:ADEJUMO ADEKUNLE OLUFEMI-KBIS School Fees</t>
  </si>
  <si>
    <t>Adejumo Elizabeth</t>
  </si>
  <si>
    <t>NIP:JANET IDOWU SOLADEMI-Transfer from JANET IDOW</t>
  </si>
  <si>
    <t>NIP:Rijkaard venture-Rijkaard ven Trf for Custome</t>
  </si>
  <si>
    <t>TRF|2MPT26wej|1838537536664793088_CBA_credit</t>
  </si>
  <si>
    <t>Transfer from KEHINDE ADEIZA FASHE</t>
  </si>
  <si>
    <t>NIP:TAYE DAVID IBITOYE-Transfer from TAYE DAVID I</t>
  </si>
  <si>
    <t>Ibitoye Felix</t>
  </si>
  <si>
    <t>NIP:AKEEM OLAMILEKAN WAHAB-Transfer from AKEEM OL</t>
  </si>
  <si>
    <t>Olamilekan Family</t>
  </si>
  <si>
    <t>NIP:Hammed Zynab Eniola-Transfer from Hammed Zyna</t>
  </si>
  <si>
    <t>NIP:PELUMI ADEBAYO AWODOLA-Transfer from PELUMI A</t>
  </si>
  <si>
    <t>Awodola Joshua Ayomide</t>
  </si>
  <si>
    <t>NIP:ABUWA REBECCA OLUWAFUNMILAYO-</t>
  </si>
  <si>
    <t>Peter Favour</t>
  </si>
  <si>
    <t>NIP:EBENEZER OLALEKAN ADEBOYE-EBENEZER OLALEKAN A</t>
  </si>
  <si>
    <t>NIP:SUNDAY ABAH ONOJA-Transfer from SUNDAY ABAH O</t>
  </si>
  <si>
    <t>NIP:SAIDI ZAINAB-Appfor Azeema and saleem To Wema</t>
  </si>
  <si>
    <t>FROM SULIYAT TOSIN SALAWUDEEN</t>
  </si>
  <si>
    <t>NIP:OLAKUNLE OLAITAN M-MOBILE/UNION Transfer fro</t>
  </si>
  <si>
    <t>Ewarawon Zion ayomide</t>
  </si>
  <si>
    <t>NIP:TOHEEB DAMOLA ABASS-Transfer from TOHEEB DAMO</t>
  </si>
  <si>
    <t>Abass Toheeb</t>
  </si>
  <si>
    <t>NIP:JOY PROVISIONS 2-JOY PROVISIO Trf for Custome</t>
  </si>
  <si>
    <t>SCHOOL FEES FOR TENI AND TOLU PART PAY</t>
  </si>
  <si>
    <t>Oyetunji Isaac Orinayo</t>
  </si>
  <si>
    <t>USSD_AKINBOSOYE OLUWEMIMO OLUFISAYO</t>
  </si>
  <si>
    <t>TRF|2MPT3xa40|1845730069756964864_CBA_credit</t>
  </si>
  <si>
    <t>Transfer from TUNDE DANIEL OGUNNIYI</t>
  </si>
  <si>
    <t>NIP:ABIOLA ADELEYE IGE-Transfer from ABIOLA ADELE</t>
  </si>
  <si>
    <t>NIP:pos transfer business-Transfer from pos trans</t>
  </si>
  <si>
    <t>NIP:SULIYAT OPEYEMI SAHEED-Transfer from SULIYAT</t>
  </si>
  <si>
    <t>KEHINDE ADEIZA FASHE</t>
  </si>
  <si>
    <t>NIP:DRE SAM VENTURES - Real Success-DRE SAM VENT</t>
  </si>
  <si>
    <t>OFURE DIVINE EDIALE</t>
  </si>
  <si>
    <t>NIP:REBECCA ABUWA-Transfer from REBECCA ABUWA</t>
  </si>
  <si>
    <t>TRF|2MPT2dmnu|1848653787908009984_CBA_credit</t>
  </si>
  <si>
    <t>ADEIZA FAMILY</t>
  </si>
  <si>
    <t>Part of school fees for Babalola Bridget Oladoyin</t>
  </si>
  <si>
    <t>Part payment of school fees for Emmanuel Ruth Olad</t>
  </si>
  <si>
    <t>NIP:FATAI ILEFO RAFIU-Transfer from FATAI ILEFO R</t>
  </si>
  <si>
    <t>eTZ:MUYIWA AYODELE-MUYIWA AYODELE TO</t>
  </si>
  <si>
    <t>Transfer from Okerinde Opay</t>
  </si>
  <si>
    <t>NIP:bunmi bosede adebayo-Transfer from bunmi bose</t>
  </si>
  <si>
    <t>NIP:ANUOLUWAPO DEBORAH OLADELE-Transfer from ANUO</t>
  </si>
  <si>
    <t>NIP:Bohlar beauty world-Bohlar beaut Trf for Cust</t>
  </si>
  <si>
    <t>ALAT TRANSFER FROM TAWAKALIT TEMITOPE YEKEEN</t>
  </si>
  <si>
    <t>Daud Family</t>
  </si>
  <si>
    <t>NIP:KAYLOYY MULTIPURPOSE ENTERPRISE - KAYLOY-Tran</t>
  </si>
  <si>
    <t>NIP:ASIMIYU KOLADE JOSEPH-Kolade Ayomide School b</t>
  </si>
  <si>
    <t>Kolade Ayomide</t>
  </si>
  <si>
    <t>NIP:SAIDI ZAINAB-Appfrom Mr and Mrs saheed To Wem</t>
  </si>
  <si>
    <t>NIP:OLAITAN ADEOLA OLAKUNLE-Transfer from OLAITAN</t>
  </si>
  <si>
    <t>NIP:OLORUNDARE ISRAEL I-FBNMOBILE:TECHBASE CONSUL</t>
  </si>
  <si>
    <t>Transfer from PEACE ABIDEMI AGBOOLA</t>
  </si>
  <si>
    <t>NIP:ADENIYI ODUNAYO SOMIDE-extra schl uniform 4 D</t>
  </si>
  <si>
    <t>ADELOYE FAMILY</t>
  </si>
  <si>
    <t>NIP:OLUWASEGUN AJIBOLA ADELOYE-Transfer from OLUW</t>
  </si>
  <si>
    <t>NIP:TAYE DAVID IBITOYE-for Felix Ibitoye</t>
  </si>
  <si>
    <t>NIP:OLAKUNLE ISAAC OLADAPO-Transfer from OLAKUNLE</t>
  </si>
  <si>
    <t>eTZ:VICTORIA BUKOLA OLUNIYI-USD :NIPTECHBASE CONS</t>
  </si>
  <si>
    <t>NIP:CHARLES ADEOLU OSUNDEYI-Transfer from CHARLES</t>
  </si>
  <si>
    <t>eTZ:OLADEJO SEGUN KUNLE-USD :NIPTECHBASE CONSULTA</t>
  </si>
  <si>
    <t>MONIEPOINT</t>
  </si>
  <si>
    <t>FROM EGUNSOLA TOYOSI RUTH</t>
  </si>
  <si>
    <t>TRANSFER FROM TAORIDI ADEYEMI MUTAIRU</t>
  </si>
  <si>
    <t>BABALOLA OLADAYO PETER</t>
  </si>
  <si>
    <t>NIP:OLABISI KAOSARAT LAMIDI-Nelson Harry Emmanuel</t>
  </si>
  <si>
    <t>NIP:KAYLOYY MULTIPURPOSE ENTERPRISE - KAYLOY-KAYL</t>
  </si>
  <si>
    <t>NIP:SULIYAT TOSIN SALAWUDEEN-school fee/AT68_TRF2</t>
  </si>
  <si>
    <t>NIP:PRISCILLA NANAADJUA KOOMSON-PRISCILLA NANAADJ</t>
  </si>
  <si>
    <t>TRF|2MPT26ihj|1861107912016687104_CBA_credit</t>
  </si>
  <si>
    <t>NIP:SALIU TUNDE SANNI-SALIU TUNDE SANNI</t>
  </si>
  <si>
    <t>Transfer from ZAINAB ADESEWA SAIDI</t>
  </si>
  <si>
    <t>NIP:TAYE DAVID IBITOYE-For FELIX Ibitoye</t>
  </si>
  <si>
    <t>NIP:TAORIDI ADEYEMI MUTAIRU-TRFSchool fees balanc</t>
  </si>
  <si>
    <t>NIP:TEMITOPE DOYIN BUNMI-Transfer from TEMITOPE D</t>
  </si>
  <si>
    <t>NIP:MMA SERVICES MULTIPURPOSE CHOICE-Transfer fro</t>
  </si>
  <si>
    <t>SAMUEL OLUWAFEMI OLUWASESAN</t>
  </si>
  <si>
    <t>WORSHIP</t>
  </si>
  <si>
    <t>TRF@2MPT5o0sz@1864316084837634048CBAcredi</t>
  </si>
  <si>
    <t>XXX</t>
  </si>
  <si>
    <t>NIP:BOSEDE AJAO-NIPTECHBASE CONSULTANT SERVICES0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</si>
</sst>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₦&quot;#,##0;[Red]\-&quot;₦&quot;#,##0"/>
    <numFmt numFmtId="164" formatCode="_-&quot;₦&quot;* #,##0.00_-;\-&quot;₦&quot;* #,##0.00_-;_-&quot;₦&quot;* &quot;-&quot;??_-;_-@"/>
    <numFmt numFmtId="165" formatCode="&quot;₦&quot;#,##0.00"/>
    <numFmt numFmtId="166" formatCode="[$]d\ mmm\ yyyy"/>
    <numFmt numFmtId="167" formatCode="dd\ mmm\ yyyy"/>
  </numFmts>
  <fonts count="13" x14ac:knownFonts="1">
    <font>
      <sz val="11"/>
      <color rgb="FF000000"/>
      <name val="Calibri"/>
      <scheme val="minor"/>
    </font>
    <font>
      <b/>
      <sz val="11"/>
      <color theme="1"/>
      <name val="Cambria"/>
    </font>
    <font>
      <sz val="11"/>
      <color theme="1"/>
      <name val="Cambria"/>
    </font>
    <font>
      <sz val="11"/>
      <color rgb="FF000000"/>
      <name val="Calibri"/>
    </font>
    <font>
      <sz val="11"/>
      <color theme="1"/>
      <name val="Calibri"/>
    </font>
    <font>
      <b/>
      <sz val="14"/>
      <color rgb="FFFFFFFF"/>
      <name val="Cambria"/>
    </font>
    <font>
      <b/>
      <sz val="14"/>
      <color theme="0"/>
      <name val="Cambria"/>
    </font>
    <font>
      <b/>
      <sz val="14"/>
      <color rgb="FF000000"/>
      <name val="Cambria"/>
    </font>
    <font>
      <sz val="11"/>
      <color rgb="FF000000"/>
      <name val="Cambria"/>
    </font>
    <font>
      <b/>
      <sz val="12"/>
      <color theme="1"/>
      <name val="Cambria"/>
    </font>
    <font>
      <sz val="12"/>
      <color theme="1"/>
      <name val="Cambria"/>
    </font>
    <font>
      <sz val="11"/>
      <color rgb="FF000000"/>
      <name val="Cambria"/>
      <family val="1"/>
    </font>
    <font>
      <sz val="12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 readingOrder="1"/>
    </xf>
    <xf numFmtId="164" fontId="5" fillId="2" borderId="1" xfId="0" applyNumberFormat="1" applyFont="1" applyFill="1" applyBorder="1" applyAlignment="1">
      <alignment horizontal="center" vertical="center" readingOrder="1"/>
    </xf>
    <xf numFmtId="0" fontId="5" fillId="2" borderId="1" xfId="0" applyFont="1" applyFill="1" applyBorder="1" applyAlignment="1">
      <alignment horizontal="center" vertical="center" readingOrder="1"/>
    </xf>
    <xf numFmtId="164" fontId="6" fillId="2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 readingOrder="1"/>
    </xf>
    <xf numFmtId="0" fontId="8" fillId="0" borderId="1" xfId="0" applyFont="1" applyBorder="1" applyAlignment="1">
      <alignment horizontal="center" vertical="center" readingOrder="1"/>
    </xf>
    <xf numFmtId="164" fontId="8" fillId="0" borderId="1" xfId="0" applyNumberFormat="1" applyFont="1" applyBorder="1" applyAlignment="1">
      <alignment horizontal="center" vertical="center" readingOrder="1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 readingOrder="1"/>
    </xf>
    <xf numFmtId="49" fontId="2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7" fontId="5" fillId="2" borderId="2" xfId="0" applyNumberFormat="1" applyFont="1" applyFill="1" applyBorder="1" applyAlignment="1">
      <alignment horizontal="center" vertical="center" readingOrder="1"/>
    </xf>
    <xf numFmtId="164" fontId="5" fillId="2" borderId="2" xfId="0" applyNumberFormat="1" applyFont="1" applyFill="1" applyBorder="1" applyAlignment="1">
      <alignment horizontal="center" vertical="center" readingOrder="1"/>
    </xf>
    <xf numFmtId="0" fontId="5" fillId="2" borderId="2" xfId="0" applyFont="1" applyFill="1" applyBorder="1" applyAlignment="1">
      <alignment horizontal="center" vertical="center" readingOrder="1"/>
    </xf>
    <xf numFmtId="164" fontId="6" fillId="2" borderId="2" xfId="0" applyNumberFormat="1" applyFont="1" applyFill="1" applyBorder="1" applyAlignment="1">
      <alignment horizontal="center" vertical="center"/>
    </xf>
    <xf numFmtId="167" fontId="8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vertical="center" readingOrder="1"/>
    </xf>
    <xf numFmtId="164" fontId="8" fillId="0" borderId="0" xfId="0" applyNumberFormat="1" applyFont="1" applyAlignment="1">
      <alignment horizontal="center" vertical="center" readingOrder="1"/>
    </xf>
    <xf numFmtId="167" fontId="8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vertical="center"/>
    </xf>
    <xf numFmtId="164" fontId="3" fillId="0" borderId="0" xfId="0" applyNumberFormat="1" applyFont="1" applyAlignment="1">
      <alignment vertical="center"/>
    </xf>
    <xf numFmtId="6" fontId="8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164" fontId="10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0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0" fontId="10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0" fontId="4" fillId="0" borderId="0" xfId="0" applyNumberFormat="1" applyFont="1" applyAlignment="1">
      <alignment vertical="center"/>
    </xf>
    <xf numFmtId="167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 readingOrder="1"/>
    </xf>
    <xf numFmtId="164" fontId="2" fillId="0" borderId="0" xfId="0" applyNumberFormat="1" applyFont="1" applyAlignment="1">
      <alignment horizontal="center" vertical="center" readingOrder="1"/>
    </xf>
    <xf numFmtId="9" fontId="8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0" fontId="9" fillId="4" borderId="3" xfId="0" applyNumberFormat="1" applyFont="1" applyFill="1" applyBorder="1" applyAlignment="1">
      <alignment horizontal="center" vertical="center"/>
    </xf>
    <xf numFmtId="164" fontId="9" fillId="4" borderId="3" xfId="0" applyNumberFormat="1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10" fontId="10" fillId="0" borderId="3" xfId="0" applyNumberFormat="1" applyFont="1" applyBorder="1" applyAlignment="1">
      <alignment horizontal="center" vertical="center"/>
    </xf>
    <xf numFmtId="164" fontId="10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E999"/>
  <sheetViews>
    <sheetView workbookViewId="0">
      <pane xSplit="3" ySplit="1" topLeftCell="S2" activePane="bottomRight" state="frozen"/>
      <selection pane="topRight" activeCell="D1" sqref="D1"/>
      <selection pane="bottomLeft" activeCell="A2" sqref="A2"/>
      <selection pane="bottomRight" activeCell="W2" sqref="W2"/>
    </sheetView>
  </sheetViews>
  <sheetFormatPr defaultColWidth="14.453125" defaultRowHeight="15" customHeight="1" x14ac:dyDescent="0.35"/>
  <cols>
    <col min="1" max="1" width="14.54296875" customWidth="1"/>
    <col min="2" max="2" width="32.81640625" customWidth="1"/>
    <col min="3" max="3" width="30.453125" customWidth="1"/>
    <col min="4" max="4" width="19.453125" customWidth="1"/>
    <col min="5" max="5" width="12" customWidth="1"/>
    <col min="6" max="6" width="12.453125" customWidth="1"/>
    <col min="7" max="7" width="13.7265625" customWidth="1"/>
    <col min="8" max="8" width="17" customWidth="1"/>
    <col min="9" max="9" width="14.7265625" customWidth="1"/>
    <col min="11" max="11" width="12.7265625" customWidth="1"/>
    <col min="12" max="12" width="12.453125" customWidth="1"/>
    <col min="13" max="13" width="11.26953125" customWidth="1"/>
    <col min="14" max="14" width="16.08984375" customWidth="1"/>
    <col min="15" max="15" width="17.26953125" customWidth="1"/>
    <col min="16" max="16" width="13.54296875" customWidth="1"/>
    <col min="17" max="17" width="28.08984375" customWidth="1"/>
    <col min="18" max="18" width="33.81640625" customWidth="1"/>
    <col min="19" max="19" width="19.453125" customWidth="1"/>
    <col min="20" max="20" width="17" customWidth="1"/>
    <col min="21" max="21" width="13" customWidth="1"/>
    <col min="23" max="23" width="12.453125" customWidth="1"/>
  </cols>
  <sheetData>
    <row r="1" spans="1:31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  <c r="Z1" s="3"/>
      <c r="AA1" s="3"/>
      <c r="AB1" s="3"/>
      <c r="AC1" s="4"/>
      <c r="AD1" s="4"/>
      <c r="AE1" s="4"/>
    </row>
    <row r="2" spans="1:31" x14ac:dyDescent="0.35">
      <c r="A2" s="5" t="s">
        <v>23</v>
      </c>
      <c r="B2" s="5" t="s">
        <v>24</v>
      </c>
      <c r="C2" s="5" t="s">
        <v>25</v>
      </c>
      <c r="D2" s="6">
        <v>20000</v>
      </c>
      <c r="E2" s="6">
        <v>0</v>
      </c>
      <c r="F2" s="6">
        <f>D2</f>
        <v>20000</v>
      </c>
      <c r="G2" s="6">
        <v>1500</v>
      </c>
      <c r="H2" s="6">
        <v>1000</v>
      </c>
      <c r="I2" s="6">
        <v>0</v>
      </c>
      <c r="J2" s="6">
        <v>10995</v>
      </c>
      <c r="K2" s="6">
        <v>4760</v>
      </c>
      <c r="L2" s="6">
        <v>0</v>
      </c>
      <c r="M2" s="6">
        <v>0</v>
      </c>
      <c r="N2" s="6">
        <v>0</v>
      </c>
      <c r="O2" s="6">
        <v>0</v>
      </c>
      <c r="P2" s="6">
        <v>4000</v>
      </c>
      <c r="Q2" s="6">
        <v>0</v>
      </c>
      <c r="R2" s="6">
        <v>0</v>
      </c>
      <c r="S2" s="6">
        <v>0</v>
      </c>
      <c r="T2" s="6">
        <v>0</v>
      </c>
      <c r="U2" s="6">
        <f t="shared" ref="U2:U70" si="0">SUM(E2:T2)</f>
        <v>42255</v>
      </c>
      <c r="V2" s="6">
        <v>42225</v>
      </c>
      <c r="W2" s="6">
        <f t="shared" ref="W2:W70" si="1">U2-V2</f>
        <v>30</v>
      </c>
      <c r="X2" s="3"/>
      <c r="Y2" s="3"/>
      <c r="Z2" s="3"/>
      <c r="AA2" s="3"/>
      <c r="AB2" s="3"/>
      <c r="AC2" s="4"/>
      <c r="AD2" s="4"/>
      <c r="AE2" s="4"/>
    </row>
    <row r="3" spans="1:31" x14ac:dyDescent="0.35">
      <c r="A3" s="5" t="s">
        <v>26</v>
      </c>
      <c r="B3" s="5" t="s">
        <v>27</v>
      </c>
      <c r="C3" s="5" t="s">
        <v>28</v>
      </c>
      <c r="D3" s="6">
        <v>22000</v>
      </c>
      <c r="E3" s="6">
        <v>0</v>
      </c>
      <c r="F3" s="6">
        <f t="shared" ref="F3:F5" si="2">D3*0.5</f>
        <v>11000</v>
      </c>
      <c r="G3" s="6">
        <v>1000</v>
      </c>
      <c r="H3" s="6">
        <v>0</v>
      </c>
      <c r="I3" s="6">
        <v>3500</v>
      </c>
      <c r="J3" s="6">
        <v>17600</v>
      </c>
      <c r="K3" s="6">
        <v>7660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25930</v>
      </c>
      <c r="U3" s="6">
        <f t="shared" si="0"/>
        <v>66690</v>
      </c>
      <c r="V3" s="6">
        <v>10224.280000000001</v>
      </c>
      <c r="W3" s="6">
        <f t="shared" si="1"/>
        <v>56465.72</v>
      </c>
      <c r="X3" s="3"/>
      <c r="Y3" s="3"/>
      <c r="Z3" s="3"/>
      <c r="AA3" s="3"/>
      <c r="AB3" s="3"/>
      <c r="AC3" s="4"/>
      <c r="AD3" s="4"/>
      <c r="AE3" s="4"/>
    </row>
    <row r="4" spans="1:31" x14ac:dyDescent="0.35">
      <c r="A4" s="5" t="s">
        <v>26</v>
      </c>
      <c r="B4" s="5" t="s">
        <v>29</v>
      </c>
      <c r="C4" s="5" t="s">
        <v>30</v>
      </c>
      <c r="D4" s="6">
        <v>0</v>
      </c>
      <c r="E4" s="6">
        <v>0</v>
      </c>
      <c r="F4" s="6">
        <f t="shared" si="2"/>
        <v>0</v>
      </c>
      <c r="G4" s="6">
        <v>0</v>
      </c>
      <c r="H4" s="6">
        <v>0</v>
      </c>
      <c r="I4" s="6">
        <v>0</v>
      </c>
      <c r="J4" s="6">
        <v>12420</v>
      </c>
      <c r="K4" s="6">
        <v>14100</v>
      </c>
      <c r="L4" s="6">
        <v>6000</v>
      </c>
      <c r="M4" s="6">
        <v>5000</v>
      </c>
      <c r="N4" s="6">
        <v>5000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23880</v>
      </c>
      <c r="U4" s="6">
        <f t="shared" si="0"/>
        <v>66400</v>
      </c>
      <c r="V4" s="6">
        <v>20000</v>
      </c>
      <c r="W4" s="6">
        <f t="shared" si="1"/>
        <v>46400</v>
      </c>
      <c r="X4" s="3"/>
      <c r="Y4" s="3"/>
      <c r="Z4" s="3"/>
      <c r="AA4" s="3"/>
      <c r="AB4" s="3"/>
      <c r="AC4" s="4"/>
      <c r="AD4" s="4"/>
      <c r="AE4" s="4"/>
    </row>
    <row r="5" spans="1:31" x14ac:dyDescent="0.35">
      <c r="A5" s="5" t="s">
        <v>26</v>
      </c>
      <c r="B5" s="5" t="s">
        <v>31</v>
      </c>
      <c r="C5" s="5" t="s">
        <v>32</v>
      </c>
      <c r="D5" s="6">
        <v>22000</v>
      </c>
      <c r="E5" s="6">
        <v>0</v>
      </c>
      <c r="F5" s="6">
        <f t="shared" si="2"/>
        <v>11000</v>
      </c>
      <c r="G5" s="6">
        <v>2000</v>
      </c>
      <c r="H5" s="6">
        <v>0</v>
      </c>
      <c r="I5" s="6">
        <v>3500</v>
      </c>
      <c r="J5" s="6">
        <v>18350</v>
      </c>
      <c r="K5" s="6">
        <v>8100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34480</v>
      </c>
      <c r="U5" s="6">
        <f t="shared" si="0"/>
        <v>77430</v>
      </c>
      <c r="V5" s="6">
        <v>32670</v>
      </c>
      <c r="W5" s="6">
        <f t="shared" si="1"/>
        <v>44760</v>
      </c>
      <c r="X5" s="3"/>
      <c r="Y5" s="3"/>
      <c r="Z5" s="3"/>
      <c r="AA5" s="3"/>
      <c r="AB5" s="3"/>
      <c r="AC5" s="4"/>
      <c r="AD5" s="4"/>
      <c r="AE5" s="4"/>
    </row>
    <row r="6" spans="1:31" x14ac:dyDescent="0.35">
      <c r="A6" s="5" t="s">
        <v>26</v>
      </c>
      <c r="B6" s="5" t="s">
        <v>33</v>
      </c>
      <c r="C6" s="5" t="s">
        <v>34</v>
      </c>
      <c r="D6" s="6">
        <v>20000</v>
      </c>
      <c r="E6" s="6">
        <v>0</v>
      </c>
      <c r="F6" s="6">
        <f t="shared" ref="F6:F7" si="3">D6*0.75</f>
        <v>15000</v>
      </c>
      <c r="G6" s="6">
        <v>1500</v>
      </c>
      <c r="H6" s="6">
        <v>1000</v>
      </c>
      <c r="I6" s="6">
        <v>1000</v>
      </c>
      <c r="J6" s="6">
        <v>16970</v>
      </c>
      <c r="K6" s="6">
        <v>7160</v>
      </c>
      <c r="L6" s="6">
        <v>0</v>
      </c>
      <c r="M6" s="6">
        <v>0</v>
      </c>
      <c r="N6" s="6">
        <v>0</v>
      </c>
      <c r="O6" s="6">
        <v>5000</v>
      </c>
      <c r="P6" s="6">
        <v>4000</v>
      </c>
      <c r="Q6" s="6">
        <v>0</v>
      </c>
      <c r="R6" s="6">
        <v>0</v>
      </c>
      <c r="S6" s="6">
        <v>5000</v>
      </c>
      <c r="T6" s="6">
        <v>0</v>
      </c>
      <c r="U6" s="6">
        <f t="shared" si="0"/>
        <v>56630</v>
      </c>
      <c r="V6" s="6">
        <v>56630</v>
      </c>
      <c r="W6" s="6">
        <f t="shared" si="1"/>
        <v>0</v>
      </c>
      <c r="X6" s="3"/>
      <c r="Y6" s="3"/>
      <c r="Z6" s="3"/>
      <c r="AA6" s="3"/>
      <c r="AB6" s="3"/>
      <c r="AC6" s="4"/>
      <c r="AD6" s="4"/>
      <c r="AE6" s="4"/>
    </row>
    <row r="7" spans="1:31" x14ac:dyDescent="0.35">
      <c r="A7" s="5" t="s">
        <v>26</v>
      </c>
      <c r="B7" s="5" t="s">
        <v>35</v>
      </c>
      <c r="C7" s="5" t="s">
        <v>36</v>
      </c>
      <c r="D7" s="6">
        <v>20000</v>
      </c>
      <c r="E7" s="6">
        <v>1500</v>
      </c>
      <c r="F7" s="6">
        <f t="shared" si="3"/>
        <v>15000</v>
      </c>
      <c r="G7" s="6">
        <v>1500</v>
      </c>
      <c r="H7" s="6">
        <v>1000</v>
      </c>
      <c r="I7" s="6">
        <v>0</v>
      </c>
      <c r="J7" s="6">
        <v>10535</v>
      </c>
      <c r="K7" s="6">
        <v>4560</v>
      </c>
      <c r="L7" s="6">
        <v>10000</v>
      </c>
      <c r="M7" s="6">
        <v>4000</v>
      </c>
      <c r="N7" s="6">
        <v>4000</v>
      </c>
      <c r="O7" s="6">
        <v>0</v>
      </c>
      <c r="P7" s="6">
        <v>4000</v>
      </c>
      <c r="Q7" s="6">
        <v>0</v>
      </c>
      <c r="R7" s="6">
        <v>0</v>
      </c>
      <c r="S7" s="6">
        <v>2500</v>
      </c>
      <c r="T7" s="6">
        <v>0</v>
      </c>
      <c r="U7" s="6">
        <f t="shared" si="0"/>
        <v>58595</v>
      </c>
      <c r="V7" s="6">
        <v>58595</v>
      </c>
      <c r="W7" s="6">
        <f t="shared" si="1"/>
        <v>0</v>
      </c>
      <c r="X7" s="3"/>
      <c r="Y7" s="3"/>
      <c r="Z7" s="3"/>
      <c r="AA7" s="3"/>
      <c r="AB7" s="3"/>
      <c r="AC7" s="4"/>
      <c r="AD7" s="4"/>
      <c r="AE7" s="4"/>
    </row>
    <row r="8" spans="1:31" x14ac:dyDescent="0.35">
      <c r="A8" s="5" t="s">
        <v>37</v>
      </c>
      <c r="B8" s="5" t="s">
        <v>38</v>
      </c>
      <c r="C8" s="5" t="s">
        <v>30</v>
      </c>
      <c r="D8" s="6">
        <v>24500</v>
      </c>
      <c r="E8" s="6">
        <v>2500</v>
      </c>
      <c r="F8" s="6">
        <f>D8</f>
        <v>24500</v>
      </c>
      <c r="G8" s="6">
        <v>2500</v>
      </c>
      <c r="H8" s="6">
        <v>1500</v>
      </c>
      <c r="I8" s="6">
        <v>4500</v>
      </c>
      <c r="J8" s="6">
        <v>12420</v>
      </c>
      <c r="K8" s="6">
        <v>14100</v>
      </c>
      <c r="L8" s="6">
        <v>6000</v>
      </c>
      <c r="M8" s="6">
        <v>5000</v>
      </c>
      <c r="N8" s="6">
        <v>5000</v>
      </c>
      <c r="O8" s="6">
        <v>6000</v>
      </c>
      <c r="P8" s="6">
        <v>4000</v>
      </c>
      <c r="Q8" s="6">
        <v>0</v>
      </c>
      <c r="R8" s="6">
        <v>0</v>
      </c>
      <c r="S8" s="6">
        <v>0</v>
      </c>
      <c r="T8" s="6">
        <v>0</v>
      </c>
      <c r="U8" s="6">
        <f t="shared" si="0"/>
        <v>88020</v>
      </c>
      <c r="V8" s="6">
        <v>88020</v>
      </c>
      <c r="W8" s="6">
        <f t="shared" si="1"/>
        <v>0</v>
      </c>
      <c r="X8" s="3"/>
      <c r="Y8" s="3"/>
      <c r="Z8" s="3"/>
      <c r="AA8" s="3"/>
      <c r="AB8" s="3"/>
      <c r="AC8" s="4"/>
      <c r="AD8" s="4"/>
      <c r="AE8" s="4"/>
    </row>
    <row r="9" spans="1:31" x14ac:dyDescent="0.35">
      <c r="A9" s="5" t="s">
        <v>39</v>
      </c>
      <c r="B9" s="5" t="s">
        <v>40</v>
      </c>
      <c r="C9" s="5" t="s">
        <v>36</v>
      </c>
      <c r="D9" s="6">
        <v>20000</v>
      </c>
      <c r="E9" s="6">
        <v>0</v>
      </c>
      <c r="F9" s="6">
        <f t="shared" ref="F9:F10" si="4">D9*0.5</f>
        <v>10000</v>
      </c>
      <c r="G9" s="6">
        <v>750</v>
      </c>
      <c r="H9" s="6">
        <v>1000</v>
      </c>
      <c r="I9" s="6">
        <v>0</v>
      </c>
      <c r="J9" s="6">
        <v>10535</v>
      </c>
      <c r="K9" s="6">
        <v>4560</v>
      </c>
      <c r="L9" s="6">
        <v>10000</v>
      </c>
      <c r="M9" s="6">
        <v>0</v>
      </c>
      <c r="N9" s="6">
        <v>0</v>
      </c>
      <c r="O9" s="6">
        <v>0</v>
      </c>
      <c r="P9" s="6">
        <v>4000</v>
      </c>
      <c r="Q9" s="6">
        <v>0</v>
      </c>
      <c r="R9" s="6">
        <v>0</v>
      </c>
      <c r="S9" s="6">
        <v>0</v>
      </c>
      <c r="T9" s="6">
        <v>0</v>
      </c>
      <c r="U9" s="6">
        <f t="shared" si="0"/>
        <v>40845</v>
      </c>
      <c r="V9" s="6">
        <v>40845</v>
      </c>
      <c r="W9" s="6">
        <f t="shared" si="1"/>
        <v>0</v>
      </c>
      <c r="X9" s="3"/>
      <c r="Y9" s="3"/>
      <c r="Z9" s="3"/>
      <c r="AA9" s="3"/>
      <c r="AB9" s="3"/>
      <c r="AC9" s="4"/>
      <c r="AD9" s="4"/>
      <c r="AE9" s="4"/>
    </row>
    <row r="10" spans="1:31" x14ac:dyDescent="0.35">
      <c r="A10" s="5" t="s">
        <v>39</v>
      </c>
      <c r="B10" s="5" t="s">
        <v>41</v>
      </c>
      <c r="C10" s="5" t="s">
        <v>34</v>
      </c>
      <c r="D10" s="6">
        <v>20000</v>
      </c>
      <c r="E10" s="6">
        <v>0</v>
      </c>
      <c r="F10" s="6">
        <f t="shared" si="4"/>
        <v>10000</v>
      </c>
      <c r="G10" s="6">
        <v>750</v>
      </c>
      <c r="H10" s="6">
        <v>1000</v>
      </c>
      <c r="I10" s="6">
        <v>1000</v>
      </c>
      <c r="J10" s="6">
        <v>16970</v>
      </c>
      <c r="K10" s="6">
        <v>7160</v>
      </c>
      <c r="L10" s="6">
        <v>5000</v>
      </c>
      <c r="M10" s="6">
        <v>0</v>
      </c>
      <c r="N10" s="6">
        <v>0</v>
      </c>
      <c r="O10" s="6">
        <v>0</v>
      </c>
      <c r="P10" s="6">
        <v>4000</v>
      </c>
      <c r="Q10" s="6">
        <v>0</v>
      </c>
      <c r="R10" s="6">
        <v>0</v>
      </c>
      <c r="S10" s="6">
        <v>0</v>
      </c>
      <c r="T10" s="6">
        <v>0</v>
      </c>
      <c r="U10" s="6">
        <f t="shared" si="0"/>
        <v>45880</v>
      </c>
      <c r="V10" s="6">
        <v>45880</v>
      </c>
      <c r="W10" s="6">
        <f t="shared" si="1"/>
        <v>0</v>
      </c>
      <c r="X10" s="3"/>
      <c r="Y10" s="3"/>
      <c r="Z10" s="3"/>
      <c r="AA10" s="3"/>
      <c r="AB10" s="3"/>
      <c r="AC10" s="4"/>
      <c r="AD10" s="4"/>
      <c r="AE10" s="4"/>
    </row>
    <row r="11" spans="1:31" x14ac:dyDescent="0.35">
      <c r="A11" s="5" t="s">
        <v>42</v>
      </c>
      <c r="B11" s="5" t="s">
        <v>43</v>
      </c>
      <c r="C11" s="5" t="s">
        <v>34</v>
      </c>
      <c r="D11" s="6">
        <v>20000</v>
      </c>
      <c r="E11" s="6">
        <v>0</v>
      </c>
      <c r="F11" s="6">
        <f t="shared" ref="F11:F14" si="5">D11*0.75</f>
        <v>15000</v>
      </c>
      <c r="G11" s="6">
        <v>1500</v>
      </c>
      <c r="H11" s="6">
        <v>1000</v>
      </c>
      <c r="I11" s="6">
        <v>1000</v>
      </c>
      <c r="J11" s="6">
        <v>16970</v>
      </c>
      <c r="K11" s="6">
        <v>5160</v>
      </c>
      <c r="L11" s="6">
        <v>0</v>
      </c>
      <c r="M11" s="6">
        <v>0</v>
      </c>
      <c r="N11" s="6">
        <v>0</v>
      </c>
      <c r="O11" s="6">
        <v>0</v>
      </c>
      <c r="P11" s="6">
        <v>4000</v>
      </c>
      <c r="Q11" s="6">
        <v>0</v>
      </c>
      <c r="R11" s="6">
        <v>0</v>
      </c>
      <c r="S11" s="6">
        <v>0</v>
      </c>
      <c r="T11" s="6">
        <v>-5000</v>
      </c>
      <c r="U11" s="6">
        <f t="shared" si="0"/>
        <v>39630</v>
      </c>
      <c r="V11" s="6">
        <v>39605</v>
      </c>
      <c r="W11" s="6">
        <f t="shared" si="1"/>
        <v>25</v>
      </c>
      <c r="X11" s="3"/>
      <c r="Y11" s="3"/>
      <c r="Z11" s="3"/>
      <c r="AA11" s="3"/>
      <c r="AB11" s="3"/>
      <c r="AC11" s="4"/>
      <c r="AD11" s="4"/>
      <c r="AE11" s="4"/>
    </row>
    <row r="12" spans="1:31" x14ac:dyDescent="0.35">
      <c r="A12" s="5" t="s">
        <v>42</v>
      </c>
      <c r="B12" s="5" t="s">
        <v>44</v>
      </c>
      <c r="C12" s="5" t="s">
        <v>36</v>
      </c>
      <c r="D12" s="6">
        <v>20000</v>
      </c>
      <c r="E12" s="6">
        <v>1500</v>
      </c>
      <c r="F12" s="6">
        <f t="shared" si="5"/>
        <v>15000</v>
      </c>
      <c r="G12" s="6">
        <v>1500</v>
      </c>
      <c r="H12" s="6">
        <v>1000</v>
      </c>
      <c r="I12" s="6">
        <v>0</v>
      </c>
      <c r="J12" s="6">
        <v>10535</v>
      </c>
      <c r="K12" s="6">
        <v>4560</v>
      </c>
      <c r="L12" s="6">
        <v>10000</v>
      </c>
      <c r="M12" s="6">
        <v>4000</v>
      </c>
      <c r="N12" s="6">
        <v>0</v>
      </c>
      <c r="O12" s="6">
        <v>0</v>
      </c>
      <c r="P12" s="6">
        <v>4000</v>
      </c>
      <c r="Q12" s="6">
        <v>0</v>
      </c>
      <c r="R12" s="6">
        <v>0</v>
      </c>
      <c r="S12" s="6">
        <v>0</v>
      </c>
      <c r="T12" s="6">
        <v>0</v>
      </c>
      <c r="U12" s="6">
        <f t="shared" si="0"/>
        <v>52095</v>
      </c>
      <c r="V12" s="6">
        <v>52095</v>
      </c>
      <c r="W12" s="6">
        <f t="shared" si="1"/>
        <v>0</v>
      </c>
      <c r="X12" s="3"/>
      <c r="Y12" s="3"/>
      <c r="Z12" s="3"/>
      <c r="AA12" s="3"/>
      <c r="AB12" s="3"/>
      <c r="AC12" s="4"/>
      <c r="AD12" s="4"/>
      <c r="AE12" s="4"/>
    </row>
    <row r="13" spans="1:31" x14ac:dyDescent="0.35">
      <c r="A13" s="5" t="s">
        <v>45</v>
      </c>
      <c r="B13" s="5" t="s">
        <v>46</v>
      </c>
      <c r="C13" s="5" t="s">
        <v>25</v>
      </c>
      <c r="D13" s="6">
        <v>20000</v>
      </c>
      <c r="E13" s="6">
        <v>0</v>
      </c>
      <c r="F13" s="6">
        <f t="shared" si="5"/>
        <v>15000</v>
      </c>
      <c r="G13" s="6">
        <v>1500</v>
      </c>
      <c r="H13" s="6">
        <v>1000</v>
      </c>
      <c r="I13" s="6">
        <v>0</v>
      </c>
      <c r="J13" s="6">
        <v>10995</v>
      </c>
      <c r="K13" s="6">
        <v>4760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4500</v>
      </c>
      <c r="T13" s="6">
        <v>0</v>
      </c>
      <c r="U13" s="6">
        <f t="shared" si="0"/>
        <v>37755</v>
      </c>
      <c r="V13" s="6">
        <v>37740</v>
      </c>
      <c r="W13" s="6">
        <f t="shared" si="1"/>
        <v>15</v>
      </c>
      <c r="X13" s="3"/>
      <c r="Y13" s="3"/>
      <c r="Z13" s="3"/>
      <c r="AA13" s="3"/>
      <c r="AB13" s="3"/>
      <c r="AC13" s="4"/>
      <c r="AD13" s="4"/>
      <c r="AE13" s="4"/>
    </row>
    <row r="14" spans="1:31" x14ac:dyDescent="0.35">
      <c r="A14" s="5" t="s">
        <v>45</v>
      </c>
      <c r="B14" s="5" t="s">
        <v>47</v>
      </c>
      <c r="C14" s="5" t="s">
        <v>28</v>
      </c>
      <c r="D14" s="6">
        <v>22000</v>
      </c>
      <c r="E14" s="6">
        <v>0</v>
      </c>
      <c r="F14" s="6">
        <f t="shared" si="5"/>
        <v>16500</v>
      </c>
      <c r="G14" s="6">
        <v>2000</v>
      </c>
      <c r="H14" s="6">
        <v>0</v>
      </c>
      <c r="I14" s="6">
        <v>3500</v>
      </c>
      <c r="J14" s="6">
        <v>17600</v>
      </c>
      <c r="K14" s="6">
        <v>7660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4500</v>
      </c>
      <c r="T14" s="6">
        <v>0</v>
      </c>
      <c r="U14" s="6">
        <f t="shared" si="0"/>
        <v>51760</v>
      </c>
      <c r="V14" s="6">
        <v>51760</v>
      </c>
      <c r="W14" s="6">
        <f t="shared" si="1"/>
        <v>0</v>
      </c>
      <c r="X14" s="3"/>
      <c r="Y14" s="3"/>
      <c r="Z14" s="3"/>
      <c r="AA14" s="3"/>
      <c r="AB14" s="3"/>
      <c r="AC14" s="4"/>
      <c r="AD14" s="4"/>
      <c r="AE14" s="4"/>
    </row>
    <row r="15" spans="1:31" x14ac:dyDescent="0.35">
      <c r="A15" s="5" t="s">
        <v>48</v>
      </c>
      <c r="B15" s="5" t="s">
        <v>49</v>
      </c>
      <c r="C15" s="5" t="s">
        <v>28</v>
      </c>
      <c r="D15" s="6">
        <v>22000</v>
      </c>
      <c r="E15" s="6">
        <v>0</v>
      </c>
      <c r="F15" s="6">
        <f>D15</f>
        <v>22000</v>
      </c>
      <c r="G15" s="6">
        <v>2000</v>
      </c>
      <c r="H15" s="6">
        <v>0</v>
      </c>
      <c r="I15" s="6">
        <v>3500</v>
      </c>
      <c r="J15" s="6">
        <v>17600</v>
      </c>
      <c r="K15" s="6">
        <v>7660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f t="shared" si="0"/>
        <v>52760</v>
      </c>
      <c r="V15" s="6">
        <v>52760</v>
      </c>
      <c r="W15" s="6">
        <f t="shared" si="1"/>
        <v>0</v>
      </c>
      <c r="X15" s="3"/>
      <c r="Y15" s="3"/>
      <c r="Z15" s="3"/>
      <c r="AA15" s="3"/>
      <c r="AB15" s="3"/>
      <c r="AC15" s="4"/>
      <c r="AD15" s="4"/>
      <c r="AE15" s="4"/>
    </row>
    <row r="16" spans="1:31" x14ac:dyDescent="0.35">
      <c r="A16" s="5" t="s">
        <v>50</v>
      </c>
      <c r="B16" s="5" t="s">
        <v>51</v>
      </c>
      <c r="C16" s="5" t="s">
        <v>52</v>
      </c>
      <c r="D16" s="6">
        <v>22000</v>
      </c>
      <c r="E16" s="6">
        <v>1500</v>
      </c>
      <c r="F16" s="6">
        <f t="shared" ref="F16:F17" si="6">D16*0.75</f>
        <v>16500</v>
      </c>
      <c r="G16" s="6">
        <v>2000</v>
      </c>
      <c r="H16" s="6">
        <v>2500</v>
      </c>
      <c r="I16" s="6">
        <v>3500</v>
      </c>
      <c r="J16" s="6">
        <v>17600</v>
      </c>
      <c r="K16" s="6">
        <v>7660</v>
      </c>
      <c r="L16" s="6">
        <v>10000</v>
      </c>
      <c r="M16" s="6">
        <v>4000</v>
      </c>
      <c r="N16" s="6">
        <v>4000</v>
      </c>
      <c r="O16" s="6">
        <v>5000</v>
      </c>
      <c r="P16" s="6">
        <v>4000</v>
      </c>
      <c r="Q16" s="6">
        <v>0</v>
      </c>
      <c r="R16" s="6">
        <v>0</v>
      </c>
      <c r="S16" s="6">
        <v>0</v>
      </c>
      <c r="T16" s="6">
        <v>0</v>
      </c>
      <c r="U16" s="6">
        <f t="shared" si="0"/>
        <v>78260</v>
      </c>
      <c r="V16" s="6">
        <v>78260</v>
      </c>
      <c r="W16" s="6">
        <f t="shared" si="1"/>
        <v>0</v>
      </c>
      <c r="X16" s="3"/>
      <c r="Y16" s="3"/>
      <c r="Z16" s="3"/>
      <c r="AA16" s="3"/>
      <c r="AB16" s="3"/>
      <c r="AC16" s="4"/>
      <c r="AD16" s="4"/>
      <c r="AE16" s="4"/>
    </row>
    <row r="17" spans="1:31" x14ac:dyDescent="0.35">
      <c r="A17" s="5" t="s">
        <v>50</v>
      </c>
      <c r="B17" s="5" t="s">
        <v>53</v>
      </c>
      <c r="C17" s="5" t="s">
        <v>54</v>
      </c>
      <c r="D17" s="6">
        <v>20000</v>
      </c>
      <c r="E17" s="6">
        <v>1500</v>
      </c>
      <c r="F17" s="6">
        <f t="shared" si="6"/>
        <v>15000</v>
      </c>
      <c r="G17" s="6">
        <v>1500</v>
      </c>
      <c r="H17" s="6">
        <v>1000</v>
      </c>
      <c r="I17" s="6">
        <v>1000</v>
      </c>
      <c r="J17" s="6">
        <v>12150</v>
      </c>
      <c r="K17" s="6">
        <v>6760</v>
      </c>
      <c r="L17" s="6">
        <v>10000</v>
      </c>
      <c r="M17" s="6">
        <v>4000</v>
      </c>
      <c r="N17" s="6">
        <v>4000</v>
      </c>
      <c r="O17" s="6">
        <v>5000</v>
      </c>
      <c r="P17" s="6">
        <v>4000</v>
      </c>
      <c r="Q17" s="6">
        <v>0</v>
      </c>
      <c r="R17" s="6">
        <v>0</v>
      </c>
      <c r="S17" s="6">
        <v>0</v>
      </c>
      <c r="T17" s="6">
        <v>0</v>
      </c>
      <c r="U17" s="6">
        <f t="shared" si="0"/>
        <v>65910</v>
      </c>
      <c r="V17" s="6">
        <v>65910</v>
      </c>
      <c r="W17" s="6">
        <f t="shared" si="1"/>
        <v>0</v>
      </c>
      <c r="X17" s="3"/>
      <c r="Y17" s="3"/>
      <c r="Z17" s="3"/>
      <c r="AA17" s="3"/>
      <c r="AB17" s="3"/>
      <c r="AC17" s="4"/>
      <c r="AD17" s="4"/>
      <c r="AE17" s="4"/>
    </row>
    <row r="18" spans="1:31" x14ac:dyDescent="0.35">
      <c r="A18" s="5" t="s">
        <v>55</v>
      </c>
      <c r="B18" s="5" t="s">
        <v>56</v>
      </c>
      <c r="C18" s="5" t="s">
        <v>57</v>
      </c>
      <c r="D18" s="6">
        <v>32000</v>
      </c>
      <c r="E18" s="6">
        <v>0</v>
      </c>
      <c r="F18" s="6">
        <f>D18</f>
        <v>32000</v>
      </c>
      <c r="G18" s="6">
        <v>2500</v>
      </c>
      <c r="H18" s="6">
        <v>1500</v>
      </c>
      <c r="I18" s="6">
        <v>5000</v>
      </c>
      <c r="J18" s="6">
        <v>5700</v>
      </c>
      <c r="K18" s="6">
        <v>1200</v>
      </c>
      <c r="L18" s="6">
        <v>0</v>
      </c>
      <c r="M18" s="6">
        <v>0</v>
      </c>
      <c r="N18" s="6">
        <v>0</v>
      </c>
      <c r="O18" s="6">
        <v>0</v>
      </c>
      <c r="P18" s="6">
        <v>4000</v>
      </c>
      <c r="Q18" s="6">
        <v>0</v>
      </c>
      <c r="R18" s="6">
        <v>0</v>
      </c>
      <c r="S18" s="6">
        <v>0</v>
      </c>
      <c r="T18" s="6">
        <v>7450</v>
      </c>
      <c r="U18" s="6">
        <f t="shared" si="0"/>
        <v>59350</v>
      </c>
      <c r="V18" s="6">
        <v>55000</v>
      </c>
      <c r="W18" s="6">
        <f t="shared" si="1"/>
        <v>4350</v>
      </c>
      <c r="X18" s="3"/>
      <c r="Y18" s="3"/>
      <c r="Z18" s="3"/>
      <c r="AA18" s="3"/>
      <c r="AB18" s="3"/>
      <c r="AC18" s="4"/>
      <c r="AD18" s="4"/>
      <c r="AE18" s="4"/>
    </row>
    <row r="19" spans="1:31" x14ac:dyDescent="0.35">
      <c r="A19" s="5" t="s">
        <v>58</v>
      </c>
      <c r="B19" s="5" t="s">
        <v>59</v>
      </c>
      <c r="C19" s="5" t="s">
        <v>54</v>
      </c>
      <c r="D19" s="6">
        <v>20000</v>
      </c>
      <c r="E19" s="6">
        <v>0</v>
      </c>
      <c r="F19" s="6">
        <f t="shared" ref="F19:F21" si="7">D19*0.75</f>
        <v>15000</v>
      </c>
      <c r="G19" s="6">
        <v>1500</v>
      </c>
      <c r="H19" s="6">
        <v>1000</v>
      </c>
      <c r="I19" s="6">
        <v>1000</v>
      </c>
      <c r="J19" s="6">
        <v>12150</v>
      </c>
      <c r="K19" s="6">
        <v>6760</v>
      </c>
      <c r="L19" s="6">
        <v>0</v>
      </c>
      <c r="M19" s="6">
        <v>0</v>
      </c>
      <c r="N19" s="6">
        <v>0</v>
      </c>
      <c r="O19" s="6">
        <v>0</v>
      </c>
      <c r="P19" s="6">
        <v>4000</v>
      </c>
      <c r="Q19" s="6">
        <v>0</v>
      </c>
      <c r="R19" s="6">
        <v>0</v>
      </c>
      <c r="S19" s="6">
        <v>4500</v>
      </c>
      <c r="T19" s="6">
        <v>0</v>
      </c>
      <c r="U19" s="6">
        <f t="shared" si="0"/>
        <v>45910</v>
      </c>
      <c r="V19" s="6">
        <v>45910</v>
      </c>
      <c r="W19" s="6">
        <f t="shared" si="1"/>
        <v>0</v>
      </c>
      <c r="X19" s="3"/>
      <c r="Y19" s="3"/>
      <c r="Z19" s="3"/>
      <c r="AA19" s="3"/>
      <c r="AB19" s="3"/>
      <c r="AC19" s="4"/>
      <c r="AD19" s="4"/>
      <c r="AE19" s="4"/>
    </row>
    <row r="20" spans="1:31" x14ac:dyDescent="0.35">
      <c r="A20" s="5" t="s">
        <v>58</v>
      </c>
      <c r="B20" s="5" t="s">
        <v>60</v>
      </c>
      <c r="C20" s="5" t="s">
        <v>54</v>
      </c>
      <c r="D20" s="6">
        <v>20000</v>
      </c>
      <c r="E20" s="6">
        <v>0</v>
      </c>
      <c r="F20" s="6">
        <f t="shared" si="7"/>
        <v>15000</v>
      </c>
      <c r="G20" s="6">
        <v>1500</v>
      </c>
      <c r="H20" s="6">
        <v>1000</v>
      </c>
      <c r="I20" s="6">
        <v>1000</v>
      </c>
      <c r="J20" s="6">
        <v>12150</v>
      </c>
      <c r="K20" s="6">
        <v>6760</v>
      </c>
      <c r="L20" s="6">
        <v>0</v>
      </c>
      <c r="M20" s="6">
        <v>0</v>
      </c>
      <c r="N20" s="6">
        <v>0</v>
      </c>
      <c r="O20" s="6">
        <v>0</v>
      </c>
      <c r="P20" s="6">
        <v>4000</v>
      </c>
      <c r="Q20" s="6">
        <v>0</v>
      </c>
      <c r="R20" s="6">
        <v>0</v>
      </c>
      <c r="S20" s="6">
        <v>4500</v>
      </c>
      <c r="T20" s="6">
        <v>0</v>
      </c>
      <c r="U20" s="6">
        <f t="shared" si="0"/>
        <v>45910</v>
      </c>
      <c r="V20" s="6">
        <v>45910</v>
      </c>
      <c r="W20" s="6">
        <f t="shared" si="1"/>
        <v>0</v>
      </c>
      <c r="X20" s="3"/>
      <c r="Y20" s="3"/>
      <c r="Z20" s="3"/>
      <c r="AA20" s="3"/>
      <c r="AB20" s="3"/>
      <c r="AC20" s="4"/>
      <c r="AD20" s="4"/>
      <c r="AE20" s="4"/>
    </row>
    <row r="21" spans="1:31" x14ac:dyDescent="0.35">
      <c r="A21" s="5" t="s">
        <v>58</v>
      </c>
      <c r="B21" s="5" t="s">
        <v>61</v>
      </c>
      <c r="C21" s="5" t="s">
        <v>32</v>
      </c>
      <c r="D21" s="6">
        <v>22000</v>
      </c>
      <c r="E21" s="6">
        <v>0</v>
      </c>
      <c r="F21" s="6">
        <f t="shared" si="7"/>
        <v>16500</v>
      </c>
      <c r="G21" s="6">
        <v>2000</v>
      </c>
      <c r="H21" s="6">
        <v>0</v>
      </c>
      <c r="I21" s="6">
        <v>3500</v>
      </c>
      <c r="J21" s="6">
        <v>18350</v>
      </c>
      <c r="K21" s="6">
        <v>10600</v>
      </c>
      <c r="L21" s="6">
        <v>0</v>
      </c>
      <c r="M21" s="6">
        <v>0</v>
      </c>
      <c r="N21" s="6">
        <v>0</v>
      </c>
      <c r="O21" s="6">
        <v>0</v>
      </c>
      <c r="P21" s="6">
        <v>4000</v>
      </c>
      <c r="Q21" s="6">
        <v>0</v>
      </c>
      <c r="R21" s="6">
        <v>0</v>
      </c>
      <c r="S21" s="6">
        <v>4500</v>
      </c>
      <c r="T21" s="6">
        <v>11280</v>
      </c>
      <c r="U21" s="6">
        <f t="shared" si="0"/>
        <v>70730</v>
      </c>
      <c r="V21" s="6">
        <v>70180</v>
      </c>
      <c r="W21" s="6">
        <f t="shared" si="1"/>
        <v>550</v>
      </c>
      <c r="X21" s="3"/>
      <c r="Y21" s="3"/>
      <c r="Z21" s="3"/>
      <c r="AA21" s="3"/>
      <c r="AB21" s="3"/>
      <c r="AC21" s="4"/>
      <c r="AD21" s="4"/>
      <c r="AE21" s="4"/>
    </row>
    <row r="22" spans="1:31" x14ac:dyDescent="0.35">
      <c r="A22" s="5" t="s">
        <v>62</v>
      </c>
      <c r="B22" s="5" t="s">
        <v>63</v>
      </c>
      <c r="C22" s="5" t="s">
        <v>28</v>
      </c>
      <c r="D22" s="6">
        <v>22000</v>
      </c>
      <c r="E22" s="6">
        <v>0</v>
      </c>
      <c r="F22" s="6">
        <f t="shared" ref="F22:F24" si="8">D22</f>
        <v>22000</v>
      </c>
      <c r="G22" s="6">
        <v>2000</v>
      </c>
      <c r="H22" s="6">
        <v>0</v>
      </c>
      <c r="I22" s="6">
        <v>3500</v>
      </c>
      <c r="J22" s="6">
        <v>17600</v>
      </c>
      <c r="K22" s="6">
        <v>7660</v>
      </c>
      <c r="L22" s="6">
        <v>0</v>
      </c>
      <c r="M22" s="6">
        <v>4000</v>
      </c>
      <c r="N22" s="6">
        <v>4000</v>
      </c>
      <c r="O22" s="6">
        <v>0</v>
      </c>
      <c r="P22" s="6">
        <v>4000</v>
      </c>
      <c r="Q22" s="6">
        <v>0</v>
      </c>
      <c r="R22" s="6">
        <v>0</v>
      </c>
      <c r="S22" s="6">
        <v>0</v>
      </c>
      <c r="T22" s="6">
        <v>0</v>
      </c>
      <c r="U22" s="6">
        <f t="shared" si="0"/>
        <v>64760</v>
      </c>
      <c r="V22" s="6">
        <v>60881</v>
      </c>
      <c r="W22" s="6">
        <f t="shared" si="1"/>
        <v>3879</v>
      </c>
      <c r="X22" s="3"/>
      <c r="Y22" s="3"/>
      <c r="Z22" s="3"/>
      <c r="AA22" s="3"/>
      <c r="AB22" s="3"/>
      <c r="AC22" s="4"/>
      <c r="AD22" s="4"/>
      <c r="AE22" s="4"/>
    </row>
    <row r="23" spans="1:31" x14ac:dyDescent="0.35">
      <c r="A23" s="5" t="s">
        <v>64</v>
      </c>
      <c r="B23" s="5" t="s">
        <v>65</v>
      </c>
      <c r="C23" s="5" t="s">
        <v>66</v>
      </c>
      <c r="D23" s="6">
        <v>22000</v>
      </c>
      <c r="E23" s="6">
        <v>1500</v>
      </c>
      <c r="F23" s="6">
        <f t="shared" si="8"/>
        <v>22000</v>
      </c>
      <c r="G23" s="6">
        <v>2000</v>
      </c>
      <c r="H23" s="6">
        <v>2500</v>
      </c>
      <c r="I23" s="6">
        <v>3500</v>
      </c>
      <c r="J23" s="6">
        <v>18115</v>
      </c>
      <c r="K23" s="6">
        <v>8100</v>
      </c>
      <c r="L23" s="6">
        <v>10000</v>
      </c>
      <c r="M23" s="6">
        <v>4000</v>
      </c>
      <c r="N23" s="6">
        <v>4000</v>
      </c>
      <c r="O23" s="6">
        <v>5000</v>
      </c>
      <c r="P23" s="6">
        <v>4000</v>
      </c>
      <c r="Q23" s="6">
        <v>0</v>
      </c>
      <c r="R23" s="6">
        <v>0</v>
      </c>
      <c r="S23" s="6">
        <v>0</v>
      </c>
      <c r="T23" s="6">
        <v>0</v>
      </c>
      <c r="U23" s="6">
        <f t="shared" si="0"/>
        <v>84715</v>
      </c>
      <c r="V23" s="6">
        <v>84715</v>
      </c>
      <c r="W23" s="6">
        <f t="shared" si="1"/>
        <v>0</v>
      </c>
      <c r="X23" s="3"/>
      <c r="Y23" s="3"/>
      <c r="Z23" s="3"/>
      <c r="AA23" s="3"/>
      <c r="AB23" s="3"/>
      <c r="AC23" s="4"/>
      <c r="AD23" s="4"/>
      <c r="AE23" s="4"/>
    </row>
    <row r="24" spans="1:31" x14ac:dyDescent="0.35">
      <c r="A24" s="5" t="s">
        <v>67</v>
      </c>
      <c r="B24" s="5" t="s">
        <v>68</v>
      </c>
      <c r="C24" s="5" t="s">
        <v>57</v>
      </c>
      <c r="D24" s="6">
        <v>32000</v>
      </c>
      <c r="E24" s="6">
        <v>0</v>
      </c>
      <c r="F24" s="6">
        <f t="shared" si="8"/>
        <v>32000</v>
      </c>
      <c r="G24" s="6">
        <v>2500</v>
      </c>
      <c r="H24" s="6">
        <v>1500</v>
      </c>
      <c r="I24" s="6">
        <v>5000</v>
      </c>
      <c r="J24" s="6">
        <v>5700</v>
      </c>
      <c r="K24" s="6">
        <v>5200</v>
      </c>
      <c r="L24" s="6">
        <v>0</v>
      </c>
      <c r="M24" s="6">
        <v>0</v>
      </c>
      <c r="N24" s="6">
        <v>5000</v>
      </c>
      <c r="O24" s="6">
        <v>6000</v>
      </c>
      <c r="P24" s="6">
        <v>4000</v>
      </c>
      <c r="Q24" s="6">
        <v>0</v>
      </c>
      <c r="R24" s="6">
        <v>0</v>
      </c>
      <c r="S24" s="6">
        <v>5000</v>
      </c>
      <c r="T24" s="6">
        <v>0</v>
      </c>
      <c r="U24" s="6">
        <f t="shared" si="0"/>
        <v>71900</v>
      </c>
      <c r="V24" s="6">
        <v>71900</v>
      </c>
      <c r="W24" s="6">
        <f t="shared" si="1"/>
        <v>0</v>
      </c>
      <c r="X24" s="3"/>
      <c r="Y24" s="3"/>
      <c r="Z24" s="3"/>
      <c r="AA24" s="3"/>
      <c r="AB24" s="3"/>
      <c r="AC24" s="4"/>
      <c r="AD24" s="4"/>
      <c r="AE24" s="4"/>
    </row>
    <row r="25" spans="1:31" x14ac:dyDescent="0.35">
      <c r="A25" s="5" t="s">
        <v>69</v>
      </c>
      <c r="B25" s="5" t="s">
        <v>70</v>
      </c>
      <c r="C25" s="5" t="s">
        <v>28</v>
      </c>
      <c r="D25" s="6">
        <v>22000</v>
      </c>
      <c r="E25" s="6">
        <v>1500</v>
      </c>
      <c r="F25" s="6">
        <f t="shared" ref="F25:F27" si="9">D25*0.75</f>
        <v>16500</v>
      </c>
      <c r="G25" s="6">
        <v>2000</v>
      </c>
      <c r="H25" s="6">
        <v>2500</v>
      </c>
      <c r="I25" s="6">
        <v>3500</v>
      </c>
      <c r="J25" s="6">
        <v>17600</v>
      </c>
      <c r="K25" s="6">
        <v>7660</v>
      </c>
      <c r="L25" s="6">
        <v>10000</v>
      </c>
      <c r="M25" s="6">
        <v>4000</v>
      </c>
      <c r="N25" s="6">
        <v>4000</v>
      </c>
      <c r="O25" s="6">
        <v>5000</v>
      </c>
      <c r="P25" s="6">
        <v>4000</v>
      </c>
      <c r="Q25" s="6">
        <v>0</v>
      </c>
      <c r="R25" s="6">
        <v>0</v>
      </c>
      <c r="S25" s="6">
        <v>0</v>
      </c>
      <c r="T25" s="6">
        <v>0</v>
      </c>
      <c r="U25" s="6">
        <f t="shared" si="0"/>
        <v>78260</v>
      </c>
      <c r="V25" s="6">
        <v>78260</v>
      </c>
      <c r="W25" s="6">
        <f t="shared" si="1"/>
        <v>0</v>
      </c>
      <c r="X25" s="7"/>
      <c r="Y25" s="3"/>
      <c r="Z25" s="3"/>
      <c r="AA25" s="3"/>
      <c r="AB25" s="3"/>
      <c r="AC25" s="4"/>
      <c r="AD25" s="4"/>
      <c r="AE25" s="4"/>
    </row>
    <row r="26" spans="1:31" x14ac:dyDescent="0.35">
      <c r="A26" s="5" t="s">
        <v>69</v>
      </c>
      <c r="B26" s="5" t="s">
        <v>59</v>
      </c>
      <c r="C26" s="5" t="s">
        <v>71</v>
      </c>
      <c r="D26" s="6">
        <v>20000</v>
      </c>
      <c r="E26" s="6">
        <v>1500</v>
      </c>
      <c r="F26" s="6">
        <f t="shared" si="9"/>
        <v>15000</v>
      </c>
      <c r="G26" s="6">
        <v>1000</v>
      </c>
      <c r="H26" s="6">
        <v>1000</v>
      </c>
      <c r="I26" s="6">
        <v>0</v>
      </c>
      <c r="J26" s="6">
        <v>4140</v>
      </c>
      <c r="K26" s="6">
        <v>4560</v>
      </c>
      <c r="L26" s="6">
        <v>0</v>
      </c>
      <c r="M26" s="6">
        <v>0</v>
      </c>
      <c r="N26" s="6">
        <v>0</v>
      </c>
      <c r="O26" s="6">
        <v>5000</v>
      </c>
      <c r="P26" s="6">
        <v>4000</v>
      </c>
      <c r="Q26" s="6">
        <v>0</v>
      </c>
      <c r="R26" s="6">
        <v>0</v>
      </c>
      <c r="S26" s="6">
        <v>0</v>
      </c>
      <c r="T26" s="6">
        <v>0</v>
      </c>
      <c r="U26" s="6">
        <f t="shared" si="0"/>
        <v>36200</v>
      </c>
      <c r="V26" s="6">
        <v>38480</v>
      </c>
      <c r="W26" s="6">
        <f t="shared" si="1"/>
        <v>-2280</v>
      </c>
      <c r="X26" s="7"/>
      <c r="Y26" s="3"/>
      <c r="Z26" s="3"/>
      <c r="AA26" s="3"/>
      <c r="AB26" s="3"/>
      <c r="AC26" s="4"/>
      <c r="AD26" s="4"/>
      <c r="AE26" s="4"/>
    </row>
    <row r="27" spans="1:31" x14ac:dyDescent="0.35">
      <c r="A27" s="5" t="s">
        <v>69</v>
      </c>
      <c r="B27" s="5" t="s">
        <v>72</v>
      </c>
      <c r="C27" s="5" t="s">
        <v>52</v>
      </c>
      <c r="D27" s="6">
        <v>22000</v>
      </c>
      <c r="E27" s="6">
        <v>1500</v>
      </c>
      <c r="F27" s="6">
        <f t="shared" si="9"/>
        <v>16500</v>
      </c>
      <c r="G27" s="6">
        <v>2000</v>
      </c>
      <c r="H27" s="6">
        <v>2500</v>
      </c>
      <c r="I27" s="6">
        <v>3500</v>
      </c>
      <c r="J27" s="6">
        <v>17600</v>
      </c>
      <c r="K27" s="6">
        <v>7660</v>
      </c>
      <c r="L27" s="6">
        <v>10000</v>
      </c>
      <c r="M27" s="6">
        <v>4000</v>
      </c>
      <c r="N27" s="6">
        <v>4000</v>
      </c>
      <c r="O27" s="6">
        <v>5000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f t="shared" si="0"/>
        <v>74260</v>
      </c>
      <c r="V27" s="6">
        <v>78260</v>
      </c>
      <c r="W27" s="6">
        <f t="shared" si="1"/>
        <v>-4000</v>
      </c>
      <c r="X27" s="3"/>
      <c r="Y27" s="3"/>
      <c r="Z27" s="3"/>
      <c r="AA27" s="3"/>
      <c r="AB27" s="3"/>
      <c r="AC27" s="4"/>
      <c r="AD27" s="4"/>
      <c r="AE27" s="4"/>
    </row>
    <row r="28" spans="1:31" x14ac:dyDescent="0.35">
      <c r="A28" s="5" t="s">
        <v>73</v>
      </c>
      <c r="B28" s="5" t="s">
        <v>74</v>
      </c>
      <c r="C28" s="5" t="s">
        <v>75</v>
      </c>
      <c r="D28" s="6">
        <v>0</v>
      </c>
      <c r="E28" s="6">
        <v>0</v>
      </c>
      <c r="F28" s="6">
        <f t="shared" ref="F28:F35" si="10">D28</f>
        <v>0</v>
      </c>
      <c r="G28" s="6">
        <f>D28</f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4000</v>
      </c>
      <c r="Q28" s="6">
        <v>0</v>
      </c>
      <c r="R28" s="6">
        <v>0</v>
      </c>
      <c r="S28" s="6">
        <v>0</v>
      </c>
      <c r="T28" s="6">
        <v>-2500</v>
      </c>
      <c r="U28" s="6">
        <f t="shared" si="0"/>
        <v>1500</v>
      </c>
      <c r="V28" s="6">
        <v>0</v>
      </c>
      <c r="W28" s="6">
        <f t="shared" si="1"/>
        <v>1500</v>
      </c>
      <c r="X28" s="3"/>
      <c r="Y28" s="3"/>
      <c r="Z28" s="3"/>
      <c r="AA28" s="3"/>
      <c r="AB28" s="3"/>
      <c r="AC28" s="4"/>
      <c r="AD28" s="4"/>
      <c r="AE28" s="4"/>
    </row>
    <row r="29" spans="1:31" x14ac:dyDescent="0.35">
      <c r="A29" s="5" t="s">
        <v>76</v>
      </c>
      <c r="B29" s="5" t="s">
        <v>77</v>
      </c>
      <c r="C29" s="5" t="s">
        <v>57</v>
      </c>
      <c r="D29" s="6">
        <v>32000</v>
      </c>
      <c r="E29" s="6">
        <v>0</v>
      </c>
      <c r="F29" s="6">
        <f t="shared" si="10"/>
        <v>32000</v>
      </c>
      <c r="G29" s="6">
        <v>2500</v>
      </c>
      <c r="H29" s="6">
        <v>1500</v>
      </c>
      <c r="I29" s="6">
        <v>5000</v>
      </c>
      <c r="J29" s="6">
        <v>5700</v>
      </c>
      <c r="K29" s="6">
        <v>5200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-500</v>
      </c>
      <c r="U29" s="6">
        <f t="shared" si="0"/>
        <v>51400</v>
      </c>
      <c r="V29" s="6">
        <v>25000</v>
      </c>
      <c r="W29" s="6">
        <f t="shared" si="1"/>
        <v>26400</v>
      </c>
      <c r="X29" s="3"/>
      <c r="Y29" s="3"/>
      <c r="Z29" s="3"/>
      <c r="AA29" s="3"/>
      <c r="AB29" s="3"/>
      <c r="AC29" s="4"/>
      <c r="AD29" s="4"/>
      <c r="AE29" s="4"/>
    </row>
    <row r="30" spans="1:31" x14ac:dyDescent="0.35">
      <c r="A30" s="5" t="s">
        <v>78</v>
      </c>
      <c r="B30" s="5" t="s">
        <v>79</v>
      </c>
      <c r="C30" s="5" t="s">
        <v>80</v>
      </c>
      <c r="D30" s="6">
        <v>32000</v>
      </c>
      <c r="E30" s="6">
        <v>0</v>
      </c>
      <c r="F30" s="6">
        <f t="shared" si="10"/>
        <v>32000</v>
      </c>
      <c r="G30" s="6">
        <v>2500</v>
      </c>
      <c r="H30" s="6">
        <v>1500</v>
      </c>
      <c r="I30" s="6">
        <v>5000</v>
      </c>
      <c r="J30" s="6">
        <v>5700</v>
      </c>
      <c r="K30" s="6">
        <v>17200</v>
      </c>
      <c r="L30" s="6">
        <v>11000</v>
      </c>
      <c r="M30" s="6">
        <v>5000</v>
      </c>
      <c r="N30" s="6">
        <v>0</v>
      </c>
      <c r="O30" s="6">
        <v>0</v>
      </c>
      <c r="P30" s="6">
        <v>4000</v>
      </c>
      <c r="Q30" s="6">
        <v>0</v>
      </c>
      <c r="R30" s="6">
        <v>0</v>
      </c>
      <c r="S30" s="6">
        <v>0</v>
      </c>
      <c r="T30" s="6">
        <v>10450</v>
      </c>
      <c r="U30" s="6">
        <f t="shared" si="0"/>
        <v>94350</v>
      </c>
      <c r="V30" s="6">
        <v>95000</v>
      </c>
      <c r="W30" s="6">
        <f t="shared" si="1"/>
        <v>-650</v>
      </c>
      <c r="X30" s="3"/>
      <c r="Y30" s="3"/>
      <c r="Z30" s="3"/>
      <c r="AA30" s="3"/>
      <c r="AB30" s="3"/>
      <c r="AC30" s="4"/>
      <c r="AD30" s="4"/>
      <c r="AE30" s="4"/>
    </row>
    <row r="31" spans="1:31" x14ac:dyDescent="0.35">
      <c r="A31" s="5" t="s">
        <v>81</v>
      </c>
      <c r="B31" s="5" t="s">
        <v>82</v>
      </c>
      <c r="C31" s="5" t="s">
        <v>25</v>
      </c>
      <c r="D31" s="6">
        <v>20000</v>
      </c>
      <c r="E31" s="6">
        <v>0</v>
      </c>
      <c r="F31" s="6">
        <f t="shared" si="10"/>
        <v>20000</v>
      </c>
      <c r="G31" s="6">
        <v>1500</v>
      </c>
      <c r="H31" s="6">
        <v>1000</v>
      </c>
      <c r="I31" s="6">
        <v>0</v>
      </c>
      <c r="J31" s="6">
        <v>10995</v>
      </c>
      <c r="K31" s="6">
        <v>4760</v>
      </c>
      <c r="L31" s="6">
        <v>0</v>
      </c>
      <c r="M31" s="6">
        <v>0</v>
      </c>
      <c r="N31" s="6">
        <v>0</v>
      </c>
      <c r="O31" s="6">
        <v>5000</v>
      </c>
      <c r="P31" s="6">
        <v>0</v>
      </c>
      <c r="Q31" s="6">
        <v>0</v>
      </c>
      <c r="R31" s="6">
        <v>0</v>
      </c>
      <c r="S31" s="6">
        <v>5000</v>
      </c>
      <c r="T31" s="6">
        <v>12500</v>
      </c>
      <c r="U31" s="6">
        <f t="shared" si="0"/>
        <v>60755</v>
      </c>
      <c r="V31" s="6">
        <v>40000</v>
      </c>
      <c r="W31" s="6">
        <f t="shared" si="1"/>
        <v>20755</v>
      </c>
      <c r="X31" s="3"/>
      <c r="Y31" s="3"/>
      <c r="Z31" s="3"/>
      <c r="AA31" s="3"/>
      <c r="AB31" s="3"/>
      <c r="AC31" s="4"/>
      <c r="AD31" s="4"/>
      <c r="AE31" s="4"/>
    </row>
    <row r="32" spans="1:31" x14ac:dyDescent="0.35">
      <c r="A32" s="5" t="s">
        <v>81</v>
      </c>
      <c r="B32" s="5" t="s">
        <v>83</v>
      </c>
      <c r="C32" s="5" t="s">
        <v>75</v>
      </c>
      <c r="D32" s="6">
        <v>24500</v>
      </c>
      <c r="E32" s="6">
        <v>0</v>
      </c>
      <c r="F32" s="6">
        <f t="shared" si="10"/>
        <v>24500</v>
      </c>
      <c r="G32" s="6">
        <v>2500</v>
      </c>
      <c r="H32" s="6">
        <v>1500</v>
      </c>
      <c r="I32" s="6">
        <v>4500</v>
      </c>
      <c r="J32" s="6">
        <v>12710</v>
      </c>
      <c r="K32" s="6">
        <v>7200</v>
      </c>
      <c r="L32" s="6">
        <v>0</v>
      </c>
      <c r="M32" s="6">
        <v>0</v>
      </c>
      <c r="N32" s="6">
        <v>0</v>
      </c>
      <c r="O32" s="6">
        <v>0</v>
      </c>
      <c r="P32" s="6">
        <v>4000</v>
      </c>
      <c r="Q32" s="6">
        <v>0</v>
      </c>
      <c r="R32" s="6">
        <v>0</v>
      </c>
      <c r="S32" s="6">
        <v>5000</v>
      </c>
      <c r="T32" s="6">
        <v>150</v>
      </c>
      <c r="U32" s="6">
        <f t="shared" si="0"/>
        <v>62060</v>
      </c>
      <c r="V32" s="6">
        <v>62000</v>
      </c>
      <c r="W32" s="6">
        <f t="shared" si="1"/>
        <v>60</v>
      </c>
      <c r="X32" s="3"/>
      <c r="Y32" s="3"/>
      <c r="Z32" s="3"/>
      <c r="AA32" s="3"/>
      <c r="AB32" s="3"/>
      <c r="AC32" s="4"/>
      <c r="AD32" s="4"/>
      <c r="AE32" s="4"/>
    </row>
    <row r="33" spans="1:31" x14ac:dyDescent="0.35">
      <c r="A33" s="5" t="s">
        <v>59</v>
      </c>
      <c r="B33" s="5" t="s">
        <v>84</v>
      </c>
      <c r="C33" s="5" t="s">
        <v>80</v>
      </c>
      <c r="D33" s="6">
        <v>32000</v>
      </c>
      <c r="E33" s="6">
        <v>0</v>
      </c>
      <c r="F33" s="6">
        <f t="shared" si="10"/>
        <v>32000</v>
      </c>
      <c r="G33" s="6">
        <v>2500</v>
      </c>
      <c r="H33" s="6">
        <v>1500</v>
      </c>
      <c r="I33" s="6">
        <v>5000</v>
      </c>
      <c r="J33" s="6">
        <v>5700</v>
      </c>
      <c r="K33" s="6">
        <v>17200</v>
      </c>
      <c r="L33" s="6">
        <v>11000</v>
      </c>
      <c r="M33" s="6">
        <v>5000</v>
      </c>
      <c r="N33" s="6">
        <v>0</v>
      </c>
      <c r="O33" s="6">
        <v>0</v>
      </c>
      <c r="P33" s="6">
        <v>4000</v>
      </c>
      <c r="Q33" s="6">
        <v>0</v>
      </c>
      <c r="R33" s="6">
        <v>0</v>
      </c>
      <c r="S33" s="6">
        <v>0</v>
      </c>
      <c r="T33" s="6">
        <v>100</v>
      </c>
      <c r="U33" s="6">
        <f t="shared" si="0"/>
        <v>84000</v>
      </c>
      <c r="V33" s="6">
        <v>84000</v>
      </c>
      <c r="W33" s="6">
        <f t="shared" si="1"/>
        <v>0</v>
      </c>
      <c r="X33" s="3"/>
      <c r="Y33" s="3"/>
      <c r="Z33" s="3"/>
      <c r="AA33" s="3"/>
      <c r="AB33" s="3"/>
      <c r="AC33" s="4"/>
      <c r="AD33" s="4"/>
      <c r="AE33" s="4"/>
    </row>
    <row r="34" spans="1:31" x14ac:dyDescent="0.35">
      <c r="A34" s="5" t="s">
        <v>72</v>
      </c>
      <c r="B34" s="5" t="s">
        <v>85</v>
      </c>
      <c r="C34" s="5" t="s">
        <v>28</v>
      </c>
      <c r="D34" s="6">
        <v>22000</v>
      </c>
      <c r="E34" s="6">
        <v>0</v>
      </c>
      <c r="F34" s="6">
        <f t="shared" si="10"/>
        <v>22000</v>
      </c>
      <c r="G34" s="6">
        <v>2000</v>
      </c>
      <c r="H34" s="6">
        <v>0</v>
      </c>
      <c r="I34" s="6">
        <v>3500</v>
      </c>
      <c r="J34" s="6">
        <v>17600</v>
      </c>
      <c r="K34" s="6">
        <v>7660</v>
      </c>
      <c r="L34" s="6">
        <v>0</v>
      </c>
      <c r="M34" s="6">
        <v>0</v>
      </c>
      <c r="N34" s="6">
        <v>0</v>
      </c>
      <c r="O34" s="6">
        <v>0</v>
      </c>
      <c r="P34" s="6">
        <v>4000</v>
      </c>
      <c r="Q34" s="6">
        <v>0</v>
      </c>
      <c r="R34" s="6">
        <v>0</v>
      </c>
      <c r="S34" s="6">
        <v>0</v>
      </c>
      <c r="T34" s="6">
        <v>0</v>
      </c>
      <c r="U34" s="6">
        <f t="shared" si="0"/>
        <v>56760</v>
      </c>
      <c r="V34" s="6">
        <v>58381</v>
      </c>
      <c r="W34" s="6">
        <f t="shared" si="1"/>
        <v>-1621</v>
      </c>
      <c r="X34" s="3"/>
      <c r="Y34" s="3"/>
      <c r="Z34" s="3"/>
      <c r="AA34" s="3"/>
      <c r="AB34" s="3"/>
      <c r="AC34" s="4"/>
      <c r="AD34" s="4"/>
      <c r="AE34" s="4"/>
    </row>
    <row r="35" spans="1:31" x14ac:dyDescent="0.35">
      <c r="A35" s="5" t="s">
        <v>86</v>
      </c>
      <c r="B35" s="5" t="s">
        <v>87</v>
      </c>
      <c r="C35" s="5" t="s">
        <v>25</v>
      </c>
      <c r="D35" s="6">
        <v>20000</v>
      </c>
      <c r="E35" s="6">
        <v>0</v>
      </c>
      <c r="F35" s="6">
        <f t="shared" si="10"/>
        <v>20000</v>
      </c>
      <c r="G35" s="6">
        <v>1500</v>
      </c>
      <c r="H35" s="6">
        <v>1000</v>
      </c>
      <c r="I35" s="6">
        <v>0</v>
      </c>
      <c r="J35" s="6">
        <v>10995</v>
      </c>
      <c r="K35" s="6">
        <v>4760</v>
      </c>
      <c r="L35" s="6">
        <v>5000</v>
      </c>
      <c r="M35" s="6">
        <v>0</v>
      </c>
      <c r="N35" s="6">
        <v>0</v>
      </c>
      <c r="O35" s="6">
        <v>5000</v>
      </c>
      <c r="P35" s="6">
        <v>4000</v>
      </c>
      <c r="Q35" s="6">
        <v>0</v>
      </c>
      <c r="R35" s="6">
        <v>0</v>
      </c>
      <c r="S35" s="6">
        <v>0</v>
      </c>
      <c r="T35" s="6">
        <v>-5000</v>
      </c>
      <c r="U35" s="6">
        <f t="shared" si="0"/>
        <v>47255</v>
      </c>
      <c r="V35" s="6">
        <v>47255</v>
      </c>
      <c r="W35" s="6">
        <f t="shared" si="1"/>
        <v>0</v>
      </c>
      <c r="X35" s="3"/>
      <c r="Y35" s="3"/>
      <c r="Z35" s="3"/>
      <c r="AA35" s="3"/>
      <c r="AB35" s="3"/>
      <c r="AC35" s="4"/>
      <c r="AD35" s="4"/>
      <c r="AE35" s="4"/>
    </row>
    <row r="36" spans="1:31" x14ac:dyDescent="0.35">
      <c r="A36" s="5" t="s">
        <v>88</v>
      </c>
      <c r="B36" s="5" t="s">
        <v>89</v>
      </c>
      <c r="C36" s="5" t="s">
        <v>25</v>
      </c>
      <c r="D36" s="6">
        <v>20000</v>
      </c>
      <c r="E36" s="6">
        <v>1500</v>
      </c>
      <c r="F36" s="6">
        <f>D36*0.75</f>
        <v>15000</v>
      </c>
      <c r="G36" s="6">
        <v>1500</v>
      </c>
      <c r="H36" s="6">
        <v>1000</v>
      </c>
      <c r="I36" s="6">
        <v>0</v>
      </c>
      <c r="J36" s="6">
        <v>10995</v>
      </c>
      <c r="K36" s="6">
        <v>4760</v>
      </c>
      <c r="L36" s="6">
        <v>10000</v>
      </c>
      <c r="M36" s="6">
        <v>4000</v>
      </c>
      <c r="N36" s="6">
        <v>4000</v>
      </c>
      <c r="O36" s="6">
        <v>5000</v>
      </c>
      <c r="P36" s="6">
        <v>4000</v>
      </c>
      <c r="Q36" s="6">
        <v>0</v>
      </c>
      <c r="R36" s="6">
        <v>0</v>
      </c>
      <c r="S36" s="6">
        <v>0</v>
      </c>
      <c r="T36" s="6">
        <v>0</v>
      </c>
      <c r="U36" s="6">
        <f t="shared" si="0"/>
        <v>61755</v>
      </c>
      <c r="V36" s="6">
        <v>61755</v>
      </c>
      <c r="W36" s="6">
        <f t="shared" si="1"/>
        <v>0</v>
      </c>
      <c r="X36" s="3"/>
      <c r="Y36" s="3"/>
      <c r="Z36" s="3"/>
      <c r="AA36" s="3"/>
      <c r="AB36" s="3"/>
      <c r="AC36" s="4"/>
      <c r="AD36" s="4"/>
      <c r="AE36" s="4"/>
    </row>
    <row r="37" spans="1:31" x14ac:dyDescent="0.35">
      <c r="A37" s="5" t="s">
        <v>90</v>
      </c>
      <c r="B37" s="5" t="s">
        <v>61</v>
      </c>
      <c r="C37" s="5" t="s">
        <v>36</v>
      </c>
      <c r="D37" s="6">
        <v>20000</v>
      </c>
      <c r="E37" s="6">
        <v>1500</v>
      </c>
      <c r="F37" s="6">
        <f>D37</f>
        <v>20000</v>
      </c>
      <c r="G37" s="6">
        <v>1500</v>
      </c>
      <c r="H37" s="6">
        <v>1000</v>
      </c>
      <c r="I37" s="6">
        <v>0</v>
      </c>
      <c r="J37" s="6">
        <v>10535</v>
      </c>
      <c r="K37" s="6">
        <v>4560</v>
      </c>
      <c r="L37" s="6">
        <v>10000</v>
      </c>
      <c r="M37" s="6">
        <v>4000</v>
      </c>
      <c r="N37" s="6">
        <v>4000</v>
      </c>
      <c r="O37" s="6">
        <v>5000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f t="shared" si="0"/>
        <v>62095</v>
      </c>
      <c r="V37" s="6">
        <v>10000</v>
      </c>
      <c r="W37" s="6">
        <f t="shared" si="1"/>
        <v>52095</v>
      </c>
      <c r="X37" s="3"/>
      <c r="Y37" s="3"/>
      <c r="Z37" s="3"/>
      <c r="AA37" s="3"/>
      <c r="AB37" s="3"/>
      <c r="AC37" s="4"/>
      <c r="AD37" s="4"/>
      <c r="AE37" s="4"/>
    </row>
    <row r="38" spans="1:31" x14ac:dyDescent="0.35">
      <c r="A38" s="5" t="s">
        <v>91</v>
      </c>
      <c r="B38" s="5" t="s">
        <v>92</v>
      </c>
      <c r="C38" s="5" t="s">
        <v>28</v>
      </c>
      <c r="D38" s="6">
        <v>22000</v>
      </c>
      <c r="E38" s="6">
        <v>1500</v>
      </c>
      <c r="F38" s="6">
        <f t="shared" ref="F38:F39" si="11">D38*0.75</f>
        <v>16500</v>
      </c>
      <c r="G38" s="6">
        <v>2000</v>
      </c>
      <c r="H38" s="6">
        <v>2500</v>
      </c>
      <c r="I38" s="6">
        <v>3500</v>
      </c>
      <c r="J38" s="6">
        <v>17600</v>
      </c>
      <c r="K38" s="6">
        <v>7660</v>
      </c>
      <c r="L38" s="6">
        <v>10000</v>
      </c>
      <c r="M38" s="6">
        <v>4000</v>
      </c>
      <c r="N38" s="6">
        <v>4000</v>
      </c>
      <c r="O38" s="6">
        <v>5000</v>
      </c>
      <c r="P38" s="6">
        <v>4000</v>
      </c>
      <c r="Q38" s="6">
        <v>0</v>
      </c>
      <c r="R38" s="6">
        <v>0</v>
      </c>
      <c r="S38" s="6">
        <v>0</v>
      </c>
      <c r="T38" s="6">
        <v>0</v>
      </c>
      <c r="U38" s="6">
        <f t="shared" si="0"/>
        <v>78260</v>
      </c>
      <c r="V38" s="6">
        <v>78200</v>
      </c>
      <c r="W38" s="6">
        <f t="shared" si="1"/>
        <v>60</v>
      </c>
      <c r="X38" s="3"/>
      <c r="Y38" s="3"/>
      <c r="Z38" s="3"/>
      <c r="AA38" s="3"/>
      <c r="AB38" s="3"/>
      <c r="AC38" s="4"/>
      <c r="AD38" s="4"/>
      <c r="AE38" s="4"/>
    </row>
    <row r="39" spans="1:31" x14ac:dyDescent="0.35">
      <c r="A39" s="5" t="s">
        <v>93</v>
      </c>
      <c r="B39" s="5" t="s">
        <v>94</v>
      </c>
      <c r="C39" s="5" t="s">
        <v>34</v>
      </c>
      <c r="D39" s="6">
        <v>20000</v>
      </c>
      <c r="E39" s="6">
        <v>0</v>
      </c>
      <c r="F39" s="6">
        <f t="shared" si="11"/>
        <v>15000</v>
      </c>
      <c r="G39" s="6">
        <v>1500</v>
      </c>
      <c r="H39" s="6">
        <v>1000</v>
      </c>
      <c r="I39" s="6">
        <v>1000</v>
      </c>
      <c r="J39" s="6">
        <v>16970</v>
      </c>
      <c r="K39" s="6">
        <v>7160</v>
      </c>
      <c r="L39" s="6">
        <v>0</v>
      </c>
      <c r="M39" s="6">
        <v>0</v>
      </c>
      <c r="N39" s="6">
        <v>0</v>
      </c>
      <c r="O39" s="6">
        <v>0</v>
      </c>
      <c r="P39" s="6">
        <v>4000</v>
      </c>
      <c r="Q39" s="6">
        <v>0</v>
      </c>
      <c r="R39" s="6">
        <v>0</v>
      </c>
      <c r="S39" s="6">
        <v>0</v>
      </c>
      <c r="T39" s="6">
        <v>0</v>
      </c>
      <c r="U39" s="6">
        <f t="shared" si="0"/>
        <v>46630</v>
      </c>
      <c r="V39" s="6">
        <v>46650</v>
      </c>
      <c r="W39" s="6">
        <f t="shared" si="1"/>
        <v>-20</v>
      </c>
      <c r="X39" s="3"/>
      <c r="Y39" s="3"/>
      <c r="Z39" s="3"/>
      <c r="AA39" s="3"/>
      <c r="AB39" s="3"/>
      <c r="AC39" s="4"/>
      <c r="AD39" s="4"/>
      <c r="AE39" s="4"/>
    </row>
    <row r="40" spans="1:31" x14ac:dyDescent="0.35">
      <c r="A40" s="5" t="s">
        <v>93</v>
      </c>
      <c r="B40" s="5" t="s">
        <v>95</v>
      </c>
      <c r="C40" s="5" t="s">
        <v>75</v>
      </c>
      <c r="D40" s="6">
        <v>0</v>
      </c>
      <c r="E40" s="6">
        <v>0</v>
      </c>
      <c r="F40" s="6">
        <f>D40</f>
        <v>0</v>
      </c>
      <c r="G40" s="6">
        <f>D40</f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4000</v>
      </c>
      <c r="Q40" s="6">
        <v>0</v>
      </c>
      <c r="R40" s="6">
        <v>0</v>
      </c>
      <c r="S40" s="6">
        <v>0</v>
      </c>
      <c r="T40" s="6">
        <v>0</v>
      </c>
      <c r="U40" s="6">
        <f t="shared" si="0"/>
        <v>4000</v>
      </c>
      <c r="V40" s="6">
        <v>4000</v>
      </c>
      <c r="W40" s="6">
        <f t="shared" si="1"/>
        <v>0</v>
      </c>
      <c r="X40" s="3"/>
      <c r="Y40" s="3"/>
      <c r="Z40" s="3"/>
      <c r="AA40" s="3"/>
      <c r="AB40" s="3"/>
      <c r="AC40" s="4"/>
      <c r="AD40" s="4"/>
      <c r="AE40" s="4"/>
    </row>
    <row r="41" spans="1:31" x14ac:dyDescent="0.35">
      <c r="A41" s="5" t="s">
        <v>93</v>
      </c>
      <c r="B41" s="5" t="s">
        <v>96</v>
      </c>
      <c r="C41" s="5" t="s">
        <v>57</v>
      </c>
      <c r="D41" s="6">
        <v>32000</v>
      </c>
      <c r="E41" s="6">
        <v>0</v>
      </c>
      <c r="F41" s="6">
        <f t="shared" ref="F41:F42" si="12">D41*0.75</f>
        <v>24000</v>
      </c>
      <c r="G41" s="6">
        <v>2500</v>
      </c>
      <c r="H41" s="6">
        <v>1500</v>
      </c>
      <c r="I41" s="6">
        <v>5000</v>
      </c>
      <c r="J41" s="6">
        <v>5700</v>
      </c>
      <c r="K41" s="6">
        <v>1200</v>
      </c>
      <c r="L41" s="6">
        <v>0</v>
      </c>
      <c r="M41" s="6">
        <v>0</v>
      </c>
      <c r="N41" s="6">
        <v>0</v>
      </c>
      <c r="O41" s="6">
        <v>6000</v>
      </c>
      <c r="P41" s="6">
        <v>4000</v>
      </c>
      <c r="Q41" s="6">
        <v>0</v>
      </c>
      <c r="R41" s="6">
        <v>0</v>
      </c>
      <c r="S41" s="6">
        <v>0</v>
      </c>
      <c r="T41" s="6">
        <v>0</v>
      </c>
      <c r="U41" s="6">
        <f t="shared" si="0"/>
        <v>49900</v>
      </c>
      <c r="V41" s="6">
        <v>49900</v>
      </c>
      <c r="W41" s="6">
        <f t="shared" si="1"/>
        <v>0</v>
      </c>
      <c r="X41" s="3"/>
      <c r="Y41" s="3"/>
      <c r="Z41" s="3"/>
      <c r="AA41" s="3"/>
      <c r="AB41" s="3"/>
      <c r="AC41" s="4"/>
      <c r="AD41" s="4"/>
      <c r="AE41" s="4"/>
    </row>
    <row r="42" spans="1:31" x14ac:dyDescent="0.35">
      <c r="A42" s="5" t="s">
        <v>93</v>
      </c>
      <c r="B42" s="5" t="s">
        <v>97</v>
      </c>
      <c r="C42" s="5" t="s">
        <v>32</v>
      </c>
      <c r="D42" s="6">
        <v>22000</v>
      </c>
      <c r="E42" s="6">
        <v>0</v>
      </c>
      <c r="F42" s="6">
        <f t="shared" si="12"/>
        <v>16500</v>
      </c>
      <c r="G42" s="6">
        <v>2000</v>
      </c>
      <c r="H42" s="6">
        <v>0</v>
      </c>
      <c r="I42" s="6">
        <v>3500</v>
      </c>
      <c r="J42" s="6">
        <v>18350</v>
      </c>
      <c r="K42" s="6">
        <v>8100</v>
      </c>
      <c r="L42" s="6">
        <v>0</v>
      </c>
      <c r="M42" s="6">
        <v>0</v>
      </c>
      <c r="N42" s="6">
        <v>0</v>
      </c>
      <c r="O42" s="6">
        <v>0</v>
      </c>
      <c r="P42" s="6">
        <v>4000</v>
      </c>
      <c r="Q42" s="6">
        <v>0</v>
      </c>
      <c r="R42" s="6">
        <v>0</v>
      </c>
      <c r="S42" s="6">
        <v>0</v>
      </c>
      <c r="T42" s="6">
        <v>0</v>
      </c>
      <c r="U42" s="6">
        <f t="shared" si="0"/>
        <v>52450</v>
      </c>
      <c r="V42" s="6">
        <v>52450</v>
      </c>
      <c r="W42" s="6">
        <f t="shared" si="1"/>
        <v>0</v>
      </c>
      <c r="X42" s="3"/>
      <c r="Y42" s="3"/>
      <c r="Z42" s="3"/>
      <c r="AA42" s="3"/>
      <c r="AB42" s="3"/>
      <c r="AC42" s="4"/>
      <c r="AD42" s="4"/>
      <c r="AE42" s="4"/>
    </row>
    <row r="43" spans="1:31" x14ac:dyDescent="0.35">
      <c r="A43" s="5" t="s">
        <v>98</v>
      </c>
      <c r="B43" s="5" t="s">
        <v>99</v>
      </c>
      <c r="C43" s="5" t="s">
        <v>36</v>
      </c>
      <c r="D43" s="6">
        <v>20000</v>
      </c>
      <c r="E43" s="6">
        <v>0</v>
      </c>
      <c r="F43" s="6">
        <f t="shared" ref="F43:F44" si="13">D43</f>
        <v>20000</v>
      </c>
      <c r="G43" s="6">
        <v>1500</v>
      </c>
      <c r="H43" s="6">
        <v>1000</v>
      </c>
      <c r="I43" s="6">
        <v>0</v>
      </c>
      <c r="J43" s="6">
        <v>10535</v>
      </c>
      <c r="K43" s="6">
        <v>4560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f t="shared" si="0"/>
        <v>37595</v>
      </c>
      <c r="V43" s="6">
        <v>25000</v>
      </c>
      <c r="W43" s="6">
        <f t="shared" si="1"/>
        <v>12595</v>
      </c>
      <c r="X43" s="3"/>
      <c r="Y43" s="3"/>
      <c r="Z43" s="3"/>
      <c r="AA43" s="3"/>
      <c r="AB43" s="3"/>
      <c r="AC43" s="4"/>
      <c r="AD43" s="4"/>
      <c r="AE43" s="4"/>
    </row>
    <row r="44" spans="1:31" x14ac:dyDescent="0.35">
      <c r="A44" s="5" t="s">
        <v>100</v>
      </c>
      <c r="B44" s="5" t="s">
        <v>101</v>
      </c>
      <c r="C44" s="5" t="s">
        <v>71</v>
      </c>
      <c r="D44" s="6">
        <v>20000</v>
      </c>
      <c r="E44" s="6">
        <v>1500</v>
      </c>
      <c r="F44" s="6">
        <f t="shared" si="13"/>
        <v>20000</v>
      </c>
      <c r="G44" s="6">
        <v>1000</v>
      </c>
      <c r="H44" s="6">
        <v>1000</v>
      </c>
      <c r="I44" s="6">
        <v>0</v>
      </c>
      <c r="J44" s="6">
        <v>4140</v>
      </c>
      <c r="K44" s="6">
        <v>4560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f t="shared" si="0"/>
        <v>32200</v>
      </c>
      <c r="V44" s="6">
        <v>35200</v>
      </c>
      <c r="W44" s="6">
        <f t="shared" si="1"/>
        <v>-3000</v>
      </c>
      <c r="X44" s="3"/>
      <c r="Y44" s="3"/>
      <c r="Z44" s="3"/>
      <c r="AA44" s="3"/>
      <c r="AB44" s="3"/>
      <c r="AC44" s="4"/>
      <c r="AD44" s="4"/>
      <c r="AE44" s="4"/>
    </row>
    <row r="45" spans="1:31" x14ac:dyDescent="0.35">
      <c r="A45" s="5" t="s">
        <v>102</v>
      </c>
      <c r="B45" s="5" t="s">
        <v>103</v>
      </c>
      <c r="C45" s="5" t="s">
        <v>54</v>
      </c>
      <c r="D45" s="6">
        <v>20000</v>
      </c>
      <c r="E45" s="6">
        <v>1500</v>
      </c>
      <c r="F45" s="6">
        <f t="shared" ref="F45:F48" si="14">D45*0.75</f>
        <v>15000</v>
      </c>
      <c r="G45" s="6">
        <v>1500</v>
      </c>
      <c r="H45" s="6">
        <v>1000</v>
      </c>
      <c r="I45" s="6">
        <v>1000</v>
      </c>
      <c r="J45" s="6">
        <v>12150</v>
      </c>
      <c r="K45" s="6">
        <v>6760</v>
      </c>
      <c r="L45" s="6">
        <v>10000</v>
      </c>
      <c r="M45" s="6">
        <v>4000</v>
      </c>
      <c r="N45" s="6">
        <v>4000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f t="shared" si="0"/>
        <v>56910</v>
      </c>
      <c r="V45" s="6">
        <v>56910</v>
      </c>
      <c r="W45" s="6">
        <f t="shared" si="1"/>
        <v>0</v>
      </c>
      <c r="X45" s="3"/>
      <c r="Y45" s="3"/>
      <c r="Z45" s="3"/>
      <c r="AA45" s="3"/>
      <c r="AB45" s="3"/>
      <c r="AC45" s="4"/>
      <c r="AD45" s="4"/>
      <c r="AE45" s="4"/>
    </row>
    <row r="46" spans="1:31" x14ac:dyDescent="0.35">
      <c r="A46" s="5" t="s">
        <v>102</v>
      </c>
      <c r="B46" s="5" t="s">
        <v>104</v>
      </c>
      <c r="C46" s="5" t="s">
        <v>25</v>
      </c>
      <c r="D46" s="6">
        <v>20000</v>
      </c>
      <c r="E46" s="6">
        <v>1500</v>
      </c>
      <c r="F46" s="6">
        <f t="shared" si="14"/>
        <v>15000</v>
      </c>
      <c r="G46" s="6">
        <v>1500</v>
      </c>
      <c r="H46" s="6">
        <v>1000</v>
      </c>
      <c r="I46" s="6">
        <v>0</v>
      </c>
      <c r="J46" s="6">
        <v>10995</v>
      </c>
      <c r="K46" s="6">
        <v>4760</v>
      </c>
      <c r="L46" s="6">
        <v>10000</v>
      </c>
      <c r="M46" s="6">
        <v>4000</v>
      </c>
      <c r="N46" s="6">
        <v>4000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f t="shared" si="0"/>
        <v>52755</v>
      </c>
      <c r="V46" s="6">
        <v>52090</v>
      </c>
      <c r="W46" s="6">
        <f t="shared" si="1"/>
        <v>665</v>
      </c>
      <c r="X46" s="3"/>
      <c r="Y46" s="3"/>
      <c r="Z46" s="3"/>
      <c r="AA46" s="3"/>
      <c r="AB46" s="3"/>
      <c r="AC46" s="4"/>
      <c r="AD46" s="4"/>
      <c r="AE46" s="4"/>
    </row>
    <row r="47" spans="1:31" x14ac:dyDescent="0.35">
      <c r="A47" s="5" t="s">
        <v>105</v>
      </c>
      <c r="B47" s="5" t="s">
        <v>68</v>
      </c>
      <c r="C47" s="5" t="s">
        <v>80</v>
      </c>
      <c r="D47" s="6">
        <v>32000</v>
      </c>
      <c r="E47" s="6">
        <v>0</v>
      </c>
      <c r="F47" s="6">
        <f t="shared" si="14"/>
        <v>24000</v>
      </c>
      <c r="G47" s="6">
        <v>2500</v>
      </c>
      <c r="H47" s="6">
        <v>1500</v>
      </c>
      <c r="I47" s="6">
        <v>5000</v>
      </c>
      <c r="J47" s="6">
        <v>5700</v>
      </c>
      <c r="K47" s="6">
        <v>17200</v>
      </c>
      <c r="L47" s="6">
        <v>11000</v>
      </c>
      <c r="M47" s="6">
        <v>0</v>
      </c>
      <c r="N47" s="6">
        <v>5000</v>
      </c>
      <c r="O47" s="6">
        <v>6000</v>
      </c>
      <c r="P47" s="6">
        <v>4000</v>
      </c>
      <c r="Q47" s="6">
        <v>0</v>
      </c>
      <c r="R47" s="6">
        <v>0</v>
      </c>
      <c r="S47" s="6">
        <v>0</v>
      </c>
      <c r="T47" s="6">
        <v>0</v>
      </c>
      <c r="U47" s="6">
        <f t="shared" si="0"/>
        <v>81900</v>
      </c>
      <c r="V47" s="6">
        <v>69000</v>
      </c>
      <c r="W47" s="6">
        <f t="shared" si="1"/>
        <v>12900</v>
      </c>
      <c r="X47" s="3"/>
      <c r="Y47" s="3"/>
      <c r="Z47" s="3"/>
      <c r="AA47" s="3"/>
      <c r="AB47" s="3"/>
      <c r="AC47" s="4"/>
      <c r="AD47" s="4"/>
      <c r="AE47" s="4"/>
    </row>
    <row r="48" spans="1:31" x14ac:dyDescent="0.35">
      <c r="A48" s="5" t="s">
        <v>105</v>
      </c>
      <c r="B48" s="5" t="s">
        <v>106</v>
      </c>
      <c r="C48" s="5" t="s">
        <v>107</v>
      </c>
      <c r="D48" s="6">
        <v>24500</v>
      </c>
      <c r="E48" s="6">
        <v>0</v>
      </c>
      <c r="F48" s="6">
        <f t="shared" si="14"/>
        <v>18375</v>
      </c>
      <c r="G48" s="6">
        <v>2500</v>
      </c>
      <c r="H48" s="6">
        <v>1500</v>
      </c>
      <c r="I48" s="6">
        <v>4500</v>
      </c>
      <c r="J48" s="6">
        <v>15990</v>
      </c>
      <c r="K48" s="6">
        <v>7200</v>
      </c>
      <c r="L48" s="6">
        <v>0</v>
      </c>
      <c r="M48" s="6">
        <v>0</v>
      </c>
      <c r="N48" s="6">
        <v>5000</v>
      </c>
      <c r="O48" s="6">
        <v>6000</v>
      </c>
      <c r="P48" s="6">
        <v>4000</v>
      </c>
      <c r="Q48" s="6">
        <v>0</v>
      </c>
      <c r="R48" s="6">
        <v>0</v>
      </c>
      <c r="S48" s="6">
        <v>0</v>
      </c>
      <c r="T48" s="6">
        <v>-50</v>
      </c>
      <c r="U48" s="6">
        <f t="shared" si="0"/>
        <v>65015</v>
      </c>
      <c r="V48" s="6">
        <v>54000</v>
      </c>
      <c r="W48" s="6">
        <f t="shared" si="1"/>
        <v>11015</v>
      </c>
      <c r="X48" s="3"/>
      <c r="Y48" s="3"/>
      <c r="Z48" s="3"/>
      <c r="AA48" s="3"/>
      <c r="AB48" s="3"/>
      <c r="AC48" s="4"/>
      <c r="AD48" s="4"/>
      <c r="AE48" s="4"/>
    </row>
    <row r="49" spans="1:31" x14ac:dyDescent="0.35">
      <c r="A49" s="5" t="s">
        <v>108</v>
      </c>
      <c r="B49" s="5" t="s">
        <v>109</v>
      </c>
      <c r="C49" s="5" t="s">
        <v>25</v>
      </c>
      <c r="D49" s="6">
        <v>20000</v>
      </c>
      <c r="E49" s="6">
        <v>0</v>
      </c>
      <c r="F49" s="6">
        <f t="shared" ref="F49:F50" si="15">D49</f>
        <v>20000</v>
      </c>
      <c r="G49" s="6">
        <v>1500</v>
      </c>
      <c r="H49" s="6">
        <v>1000</v>
      </c>
      <c r="I49" s="6">
        <v>0</v>
      </c>
      <c r="J49" s="6">
        <v>9000</v>
      </c>
      <c r="K49" s="6">
        <v>2760</v>
      </c>
      <c r="L49" s="6">
        <v>0</v>
      </c>
      <c r="M49" s="6">
        <v>0</v>
      </c>
      <c r="N49" s="6">
        <v>0</v>
      </c>
      <c r="O49" s="6">
        <v>0</v>
      </c>
      <c r="P49" s="6">
        <v>4000</v>
      </c>
      <c r="Q49" s="6">
        <v>0</v>
      </c>
      <c r="R49" s="6">
        <v>0</v>
      </c>
      <c r="S49" s="6">
        <v>0</v>
      </c>
      <c r="T49" s="6">
        <v>0</v>
      </c>
      <c r="U49" s="6">
        <f t="shared" si="0"/>
        <v>38260</v>
      </c>
      <c r="V49" s="6">
        <v>38260</v>
      </c>
      <c r="W49" s="6">
        <f t="shared" si="1"/>
        <v>0</v>
      </c>
      <c r="X49" s="3"/>
      <c r="Y49" s="3"/>
      <c r="Z49" s="3"/>
      <c r="AA49" s="3"/>
      <c r="AB49" s="3"/>
      <c r="AC49" s="4"/>
      <c r="AD49" s="4"/>
      <c r="AE49" s="4"/>
    </row>
    <row r="50" spans="1:31" x14ac:dyDescent="0.35">
      <c r="A50" s="5" t="s">
        <v>110</v>
      </c>
      <c r="B50" s="5" t="s">
        <v>111</v>
      </c>
      <c r="C50" s="5" t="s">
        <v>57</v>
      </c>
      <c r="D50" s="6">
        <v>32000</v>
      </c>
      <c r="E50" s="6">
        <v>0</v>
      </c>
      <c r="F50" s="6">
        <f t="shared" si="15"/>
        <v>32000</v>
      </c>
      <c r="G50" s="6">
        <v>2500</v>
      </c>
      <c r="H50" s="6">
        <v>1500</v>
      </c>
      <c r="I50" s="6">
        <v>5000</v>
      </c>
      <c r="J50" s="6">
        <v>5700</v>
      </c>
      <c r="K50" s="6">
        <v>1200</v>
      </c>
      <c r="L50" s="6">
        <v>0</v>
      </c>
      <c r="M50" s="6">
        <v>0</v>
      </c>
      <c r="N50" s="6">
        <v>5000</v>
      </c>
      <c r="O50" s="6">
        <v>6000</v>
      </c>
      <c r="P50" s="6">
        <v>4000</v>
      </c>
      <c r="Q50" s="6">
        <v>0</v>
      </c>
      <c r="R50" s="6">
        <v>0</v>
      </c>
      <c r="S50" s="6">
        <v>0</v>
      </c>
      <c r="T50" s="6">
        <v>0</v>
      </c>
      <c r="U50" s="6">
        <f t="shared" si="0"/>
        <v>62900</v>
      </c>
      <c r="V50" s="6">
        <v>62900</v>
      </c>
      <c r="W50" s="6">
        <f t="shared" si="1"/>
        <v>0</v>
      </c>
      <c r="X50" s="3"/>
      <c r="Y50" s="3"/>
      <c r="Z50" s="3"/>
      <c r="AA50" s="3"/>
      <c r="AB50" s="3"/>
      <c r="AC50" s="4"/>
      <c r="AD50" s="4"/>
      <c r="AE50" s="4"/>
    </row>
    <row r="51" spans="1:31" x14ac:dyDescent="0.35">
      <c r="A51" s="5" t="s">
        <v>112</v>
      </c>
      <c r="B51" s="5" t="s">
        <v>113</v>
      </c>
      <c r="C51" s="5" t="s">
        <v>28</v>
      </c>
      <c r="D51" s="6">
        <v>22000</v>
      </c>
      <c r="E51" s="6">
        <v>0</v>
      </c>
      <c r="F51" s="6">
        <f t="shared" ref="F51:F57" si="16">D51*0.75</f>
        <v>16500</v>
      </c>
      <c r="G51" s="6">
        <v>2000</v>
      </c>
      <c r="H51" s="6">
        <v>0</v>
      </c>
      <c r="I51" s="6">
        <v>3500</v>
      </c>
      <c r="J51" s="6">
        <v>17600</v>
      </c>
      <c r="K51" s="6">
        <v>7660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-5000</v>
      </c>
      <c r="U51" s="6">
        <f t="shared" si="0"/>
        <v>42260</v>
      </c>
      <c r="V51" s="6">
        <v>42260</v>
      </c>
      <c r="W51" s="6">
        <f t="shared" si="1"/>
        <v>0</v>
      </c>
      <c r="X51" s="3"/>
      <c r="Y51" s="3"/>
      <c r="Z51" s="3"/>
      <c r="AA51" s="3"/>
      <c r="AB51" s="3"/>
      <c r="AC51" s="4"/>
      <c r="AD51" s="4"/>
      <c r="AE51" s="4"/>
    </row>
    <row r="52" spans="1:31" x14ac:dyDescent="0.35">
      <c r="A52" s="5" t="s">
        <v>112</v>
      </c>
      <c r="B52" s="5" t="s">
        <v>114</v>
      </c>
      <c r="C52" s="5" t="s">
        <v>34</v>
      </c>
      <c r="D52" s="6">
        <v>20000</v>
      </c>
      <c r="E52" s="6">
        <v>0</v>
      </c>
      <c r="F52" s="6">
        <f t="shared" si="16"/>
        <v>15000</v>
      </c>
      <c r="G52" s="6">
        <v>1500</v>
      </c>
      <c r="H52" s="6">
        <v>1000</v>
      </c>
      <c r="I52" s="6">
        <v>1000</v>
      </c>
      <c r="J52" s="6">
        <v>16970</v>
      </c>
      <c r="K52" s="6">
        <v>7160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-5000</v>
      </c>
      <c r="U52" s="6">
        <f t="shared" si="0"/>
        <v>37630</v>
      </c>
      <c r="V52" s="6">
        <v>37740</v>
      </c>
      <c r="W52" s="6">
        <f t="shared" si="1"/>
        <v>-110</v>
      </c>
      <c r="X52" s="3"/>
      <c r="Y52" s="3"/>
      <c r="Z52" s="3"/>
      <c r="AA52" s="3"/>
      <c r="AB52" s="3"/>
      <c r="AC52" s="4"/>
      <c r="AD52" s="4"/>
      <c r="AE52" s="4"/>
    </row>
    <row r="53" spans="1:31" x14ac:dyDescent="0.35">
      <c r="A53" s="5" t="s">
        <v>115</v>
      </c>
      <c r="B53" s="5" t="s">
        <v>116</v>
      </c>
      <c r="C53" s="5" t="s">
        <v>34</v>
      </c>
      <c r="D53" s="6">
        <v>20000</v>
      </c>
      <c r="E53" s="6">
        <v>1500</v>
      </c>
      <c r="F53" s="6">
        <f t="shared" si="16"/>
        <v>15000</v>
      </c>
      <c r="G53" s="6">
        <v>1500</v>
      </c>
      <c r="H53" s="6">
        <v>1000</v>
      </c>
      <c r="I53" s="6">
        <v>1000</v>
      </c>
      <c r="J53" s="6">
        <v>16970</v>
      </c>
      <c r="K53" s="6">
        <v>7160</v>
      </c>
      <c r="L53" s="6">
        <v>10000</v>
      </c>
      <c r="M53" s="6">
        <v>4000</v>
      </c>
      <c r="N53" s="6">
        <v>4000</v>
      </c>
      <c r="O53" s="6">
        <v>5000</v>
      </c>
      <c r="P53" s="6">
        <v>4000</v>
      </c>
      <c r="Q53" s="6">
        <v>0</v>
      </c>
      <c r="R53" s="6">
        <v>0</v>
      </c>
      <c r="S53" s="6">
        <v>0</v>
      </c>
      <c r="T53" s="6">
        <v>0</v>
      </c>
      <c r="U53" s="6">
        <f t="shared" si="0"/>
        <v>71130</v>
      </c>
      <c r="V53" s="6">
        <v>71130</v>
      </c>
      <c r="W53" s="6">
        <f t="shared" si="1"/>
        <v>0</v>
      </c>
      <c r="X53" s="3"/>
      <c r="Y53" s="3"/>
      <c r="Z53" s="3"/>
      <c r="AA53" s="3"/>
      <c r="AB53" s="3"/>
      <c r="AC53" s="4"/>
      <c r="AD53" s="4"/>
      <c r="AE53" s="4"/>
    </row>
    <row r="54" spans="1:31" x14ac:dyDescent="0.35">
      <c r="A54" s="5" t="s">
        <v>115</v>
      </c>
      <c r="B54" s="5" t="s">
        <v>117</v>
      </c>
      <c r="C54" s="5" t="s">
        <v>25</v>
      </c>
      <c r="D54" s="6">
        <v>20000</v>
      </c>
      <c r="E54" s="6">
        <v>1500</v>
      </c>
      <c r="F54" s="6">
        <f t="shared" si="16"/>
        <v>15000</v>
      </c>
      <c r="G54" s="6">
        <v>1500</v>
      </c>
      <c r="H54" s="6">
        <v>1000</v>
      </c>
      <c r="I54" s="6">
        <v>0</v>
      </c>
      <c r="J54" s="6">
        <v>10995</v>
      </c>
      <c r="K54" s="6">
        <v>4760</v>
      </c>
      <c r="L54" s="6">
        <v>10000</v>
      </c>
      <c r="M54" s="6">
        <v>4000</v>
      </c>
      <c r="N54" s="6">
        <v>4000</v>
      </c>
      <c r="O54" s="6">
        <v>5000</v>
      </c>
      <c r="P54" s="6">
        <v>4000</v>
      </c>
      <c r="Q54" s="6">
        <v>0</v>
      </c>
      <c r="R54" s="6">
        <v>0</v>
      </c>
      <c r="S54" s="6">
        <v>0</v>
      </c>
      <c r="T54" s="6">
        <v>0</v>
      </c>
      <c r="U54" s="6">
        <f t="shared" si="0"/>
        <v>61755</v>
      </c>
      <c r="V54" s="6">
        <v>61755</v>
      </c>
      <c r="W54" s="6">
        <f t="shared" si="1"/>
        <v>0</v>
      </c>
      <c r="X54" s="3"/>
      <c r="Y54" s="3"/>
      <c r="Z54" s="3"/>
      <c r="AA54" s="3"/>
      <c r="AB54" s="3"/>
      <c r="AC54" s="4"/>
      <c r="AD54" s="4"/>
      <c r="AE54" s="4"/>
    </row>
    <row r="55" spans="1:31" x14ac:dyDescent="0.35">
      <c r="A55" s="5" t="s">
        <v>115</v>
      </c>
      <c r="B55" s="5" t="s">
        <v>118</v>
      </c>
      <c r="C55" s="5" t="s">
        <v>71</v>
      </c>
      <c r="D55" s="6">
        <v>20000</v>
      </c>
      <c r="E55" s="6">
        <v>1500</v>
      </c>
      <c r="F55" s="6">
        <f t="shared" si="16"/>
        <v>15000</v>
      </c>
      <c r="G55" s="6">
        <v>1000</v>
      </c>
      <c r="H55" s="6">
        <v>1000</v>
      </c>
      <c r="I55" s="6">
        <v>0</v>
      </c>
      <c r="J55" s="6">
        <v>4140</v>
      </c>
      <c r="K55" s="6">
        <v>4560</v>
      </c>
      <c r="L55" s="6">
        <v>0</v>
      </c>
      <c r="M55" s="6">
        <v>0</v>
      </c>
      <c r="N55" s="6">
        <v>0</v>
      </c>
      <c r="O55" s="6">
        <v>0</v>
      </c>
      <c r="P55" s="6">
        <v>4000</v>
      </c>
      <c r="Q55" s="6">
        <v>0</v>
      </c>
      <c r="R55" s="6">
        <v>0</v>
      </c>
      <c r="S55" s="6">
        <v>0</v>
      </c>
      <c r="T55" s="6">
        <v>0</v>
      </c>
      <c r="U55" s="6">
        <f t="shared" si="0"/>
        <v>31200</v>
      </c>
      <c r="V55" s="6">
        <v>31200</v>
      </c>
      <c r="W55" s="6">
        <f t="shared" si="1"/>
        <v>0</v>
      </c>
      <c r="X55" s="3"/>
      <c r="Y55" s="3"/>
      <c r="Z55" s="3"/>
      <c r="AA55" s="3"/>
      <c r="AB55" s="3"/>
      <c r="AC55" s="4"/>
      <c r="AD55" s="4"/>
      <c r="AE55" s="4"/>
    </row>
    <row r="56" spans="1:31" x14ac:dyDescent="0.35">
      <c r="A56" s="5" t="s">
        <v>119</v>
      </c>
      <c r="B56" s="5" t="s">
        <v>120</v>
      </c>
      <c r="C56" s="5" t="s">
        <v>66</v>
      </c>
      <c r="D56" s="6">
        <v>22000</v>
      </c>
      <c r="E56" s="6">
        <v>1500</v>
      </c>
      <c r="F56" s="6">
        <f t="shared" si="16"/>
        <v>16500</v>
      </c>
      <c r="G56" s="6">
        <v>2000</v>
      </c>
      <c r="H56" s="6">
        <v>2500</v>
      </c>
      <c r="I56" s="6">
        <v>3500</v>
      </c>
      <c r="J56" s="6">
        <v>18115</v>
      </c>
      <c r="K56" s="6">
        <v>8100</v>
      </c>
      <c r="L56" s="6">
        <v>5000</v>
      </c>
      <c r="M56" s="6">
        <v>0</v>
      </c>
      <c r="N56" s="6">
        <v>0</v>
      </c>
      <c r="O56" s="6">
        <v>5000</v>
      </c>
      <c r="P56" s="6">
        <v>4000</v>
      </c>
      <c r="Q56" s="6">
        <v>0</v>
      </c>
      <c r="R56" s="6">
        <v>0</v>
      </c>
      <c r="S56" s="6">
        <v>0</v>
      </c>
      <c r="T56" s="6">
        <v>0</v>
      </c>
      <c r="U56" s="6">
        <f t="shared" si="0"/>
        <v>66215</v>
      </c>
      <c r="V56" s="6">
        <v>66740</v>
      </c>
      <c r="W56" s="6">
        <f t="shared" si="1"/>
        <v>-525</v>
      </c>
      <c r="X56" s="3"/>
      <c r="Y56" s="3"/>
      <c r="Z56" s="3"/>
      <c r="AA56" s="3"/>
      <c r="AB56" s="3"/>
      <c r="AC56" s="4"/>
      <c r="AD56" s="4"/>
      <c r="AE56" s="4"/>
    </row>
    <row r="57" spans="1:31" x14ac:dyDescent="0.35">
      <c r="A57" s="5" t="s">
        <v>119</v>
      </c>
      <c r="B57" s="5" t="s">
        <v>121</v>
      </c>
      <c r="C57" s="5" t="s">
        <v>52</v>
      </c>
      <c r="D57" s="6">
        <v>22000</v>
      </c>
      <c r="E57" s="6">
        <v>1500</v>
      </c>
      <c r="F57" s="6">
        <f t="shared" si="16"/>
        <v>16500</v>
      </c>
      <c r="G57" s="6">
        <v>2000</v>
      </c>
      <c r="H57" s="6">
        <v>2500</v>
      </c>
      <c r="I57" s="6">
        <v>3500</v>
      </c>
      <c r="J57" s="6">
        <v>17600</v>
      </c>
      <c r="K57" s="6">
        <v>7660</v>
      </c>
      <c r="L57" s="6">
        <v>5000</v>
      </c>
      <c r="M57" s="6">
        <v>0</v>
      </c>
      <c r="N57" s="6">
        <v>0</v>
      </c>
      <c r="O57" s="6">
        <v>5000</v>
      </c>
      <c r="P57" s="6">
        <v>4000</v>
      </c>
      <c r="Q57" s="6">
        <v>0</v>
      </c>
      <c r="R57" s="6">
        <v>0</v>
      </c>
      <c r="S57" s="6">
        <v>0</v>
      </c>
      <c r="T57" s="6">
        <v>0</v>
      </c>
      <c r="U57" s="6">
        <f t="shared" si="0"/>
        <v>65260</v>
      </c>
      <c r="V57" s="6">
        <v>65260</v>
      </c>
      <c r="W57" s="6">
        <f t="shared" si="1"/>
        <v>0</v>
      </c>
      <c r="X57" s="3"/>
      <c r="Y57" s="3"/>
      <c r="Z57" s="3"/>
      <c r="AA57" s="3"/>
      <c r="AB57" s="3"/>
      <c r="AC57" s="4"/>
      <c r="AD57" s="4"/>
      <c r="AE57" s="4"/>
    </row>
    <row r="58" spans="1:31" x14ac:dyDescent="0.35">
      <c r="A58" s="5" t="s">
        <v>122</v>
      </c>
      <c r="B58" s="5" t="s">
        <v>123</v>
      </c>
      <c r="C58" s="5" t="s">
        <v>80</v>
      </c>
      <c r="D58" s="6">
        <v>0</v>
      </c>
      <c r="E58" s="6">
        <v>0</v>
      </c>
      <c r="F58" s="6">
        <f t="shared" ref="F58:F62" si="17">D58</f>
        <v>0</v>
      </c>
      <c r="G58" s="6">
        <f>D58</f>
        <v>0</v>
      </c>
      <c r="H58" s="6">
        <v>1500</v>
      </c>
      <c r="I58" s="6">
        <v>5000</v>
      </c>
      <c r="J58" s="6">
        <v>5700</v>
      </c>
      <c r="K58" s="6">
        <v>17200</v>
      </c>
      <c r="L58" s="6">
        <v>11000</v>
      </c>
      <c r="M58" s="6">
        <v>0</v>
      </c>
      <c r="N58" s="6">
        <v>0</v>
      </c>
      <c r="O58" s="6">
        <v>6000</v>
      </c>
      <c r="P58" s="6">
        <v>0</v>
      </c>
      <c r="Q58" s="6">
        <v>0</v>
      </c>
      <c r="R58" s="6">
        <v>0</v>
      </c>
      <c r="S58" s="6">
        <v>0</v>
      </c>
      <c r="T58" s="6">
        <v>6000</v>
      </c>
      <c r="U58" s="6">
        <f t="shared" si="0"/>
        <v>52400</v>
      </c>
      <c r="V58" s="6">
        <v>24000</v>
      </c>
      <c r="W58" s="6">
        <f t="shared" si="1"/>
        <v>28400</v>
      </c>
      <c r="X58" s="3"/>
      <c r="Y58" s="3"/>
      <c r="Z58" s="3"/>
      <c r="AA58" s="3"/>
      <c r="AB58" s="3"/>
      <c r="AC58" s="4"/>
      <c r="AD58" s="4"/>
      <c r="AE58" s="4"/>
    </row>
    <row r="59" spans="1:31" x14ac:dyDescent="0.35">
      <c r="A59" s="5" t="s">
        <v>122</v>
      </c>
      <c r="B59" s="5" t="s">
        <v>72</v>
      </c>
      <c r="C59" s="5" t="s">
        <v>52</v>
      </c>
      <c r="D59" s="6">
        <v>12600</v>
      </c>
      <c r="E59" s="6">
        <v>0</v>
      </c>
      <c r="F59" s="6">
        <f t="shared" si="17"/>
        <v>12600</v>
      </c>
      <c r="G59" s="6">
        <v>2000</v>
      </c>
      <c r="H59" s="6">
        <v>0</v>
      </c>
      <c r="I59" s="6">
        <v>3500</v>
      </c>
      <c r="J59" s="6">
        <v>17600</v>
      </c>
      <c r="K59" s="6">
        <v>3260</v>
      </c>
      <c r="L59" s="6">
        <v>0</v>
      </c>
      <c r="M59" s="6">
        <v>0</v>
      </c>
      <c r="N59" s="6">
        <v>0</v>
      </c>
      <c r="O59" s="6">
        <v>5000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f t="shared" si="0"/>
        <v>43960</v>
      </c>
      <c r="V59" s="6">
        <v>24000</v>
      </c>
      <c r="W59" s="6">
        <f t="shared" si="1"/>
        <v>19960</v>
      </c>
      <c r="X59" s="3"/>
      <c r="Y59" s="3"/>
      <c r="Z59" s="3"/>
      <c r="AA59" s="3"/>
      <c r="AB59" s="3"/>
      <c r="AC59" s="4"/>
      <c r="AD59" s="4"/>
      <c r="AE59" s="4"/>
    </row>
    <row r="60" spans="1:31" x14ac:dyDescent="0.35">
      <c r="A60" s="5" t="s">
        <v>124</v>
      </c>
      <c r="B60" s="5" t="s">
        <v>60</v>
      </c>
      <c r="C60" s="5" t="s">
        <v>25</v>
      </c>
      <c r="D60" s="6">
        <v>20000</v>
      </c>
      <c r="E60" s="6">
        <v>0</v>
      </c>
      <c r="F60" s="6">
        <f t="shared" si="17"/>
        <v>20000</v>
      </c>
      <c r="G60" s="6">
        <v>1500</v>
      </c>
      <c r="H60" s="6">
        <v>1000</v>
      </c>
      <c r="I60" s="6">
        <v>0</v>
      </c>
      <c r="J60" s="6">
        <v>10995</v>
      </c>
      <c r="K60" s="6">
        <v>4760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f t="shared" si="0"/>
        <v>38255</v>
      </c>
      <c r="V60" s="6">
        <v>39221</v>
      </c>
      <c r="W60" s="6">
        <f t="shared" si="1"/>
        <v>-966</v>
      </c>
      <c r="X60" s="3"/>
      <c r="Y60" s="3"/>
      <c r="Z60" s="3"/>
      <c r="AA60" s="3"/>
      <c r="AB60" s="3"/>
      <c r="AC60" s="4"/>
      <c r="AD60" s="4"/>
      <c r="AE60" s="4"/>
    </row>
    <row r="61" spans="1:31" x14ac:dyDescent="0.35">
      <c r="A61" s="5" t="s">
        <v>125</v>
      </c>
      <c r="B61" s="5" t="s">
        <v>126</v>
      </c>
      <c r="C61" s="5" t="s">
        <v>127</v>
      </c>
      <c r="D61" s="6">
        <v>22000</v>
      </c>
      <c r="E61" s="6">
        <v>0</v>
      </c>
      <c r="F61" s="6">
        <f t="shared" si="17"/>
        <v>22000</v>
      </c>
      <c r="G61" s="6">
        <v>2000</v>
      </c>
      <c r="H61" s="6">
        <v>0</v>
      </c>
      <c r="I61" s="6">
        <v>3500</v>
      </c>
      <c r="J61" s="6">
        <v>19035</v>
      </c>
      <c r="K61" s="6">
        <v>8100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-1195</v>
      </c>
      <c r="U61" s="6">
        <f t="shared" si="0"/>
        <v>53440</v>
      </c>
      <c r="V61" s="6">
        <v>30000</v>
      </c>
      <c r="W61" s="6">
        <f t="shared" si="1"/>
        <v>23440</v>
      </c>
      <c r="X61" s="3"/>
      <c r="Y61" s="3"/>
      <c r="Z61" s="3"/>
      <c r="AA61" s="3"/>
      <c r="AB61" s="3"/>
      <c r="AC61" s="4"/>
      <c r="AD61" s="4"/>
      <c r="AE61" s="4"/>
    </row>
    <row r="62" spans="1:31" x14ac:dyDescent="0.35">
      <c r="A62" s="5" t="s">
        <v>128</v>
      </c>
      <c r="B62" s="5" t="s">
        <v>129</v>
      </c>
      <c r="C62" s="5" t="s">
        <v>54</v>
      </c>
      <c r="D62" s="6">
        <v>20000</v>
      </c>
      <c r="E62" s="6">
        <v>0</v>
      </c>
      <c r="F62" s="6">
        <f t="shared" si="17"/>
        <v>20000</v>
      </c>
      <c r="G62" s="6">
        <v>1500</v>
      </c>
      <c r="H62" s="6">
        <v>1000</v>
      </c>
      <c r="I62" s="6">
        <v>1000</v>
      </c>
      <c r="J62" s="6">
        <v>1500</v>
      </c>
      <c r="K62" s="6">
        <v>6760</v>
      </c>
      <c r="L62" s="6">
        <v>5000</v>
      </c>
      <c r="M62" s="6">
        <v>0</v>
      </c>
      <c r="N62" s="6">
        <v>0</v>
      </c>
      <c r="O62" s="6">
        <v>5000</v>
      </c>
      <c r="P62" s="6">
        <v>4000</v>
      </c>
      <c r="Q62" s="6">
        <v>0</v>
      </c>
      <c r="R62" s="6">
        <v>0</v>
      </c>
      <c r="S62" s="6">
        <v>0</v>
      </c>
      <c r="T62" s="6">
        <v>2180</v>
      </c>
      <c r="U62" s="6">
        <f t="shared" si="0"/>
        <v>47940</v>
      </c>
      <c r="V62" s="6">
        <v>47940</v>
      </c>
      <c r="W62" s="6">
        <f t="shared" si="1"/>
        <v>0</v>
      </c>
      <c r="X62" s="3"/>
      <c r="Y62" s="3"/>
      <c r="Z62" s="3"/>
      <c r="AA62" s="3"/>
      <c r="AB62" s="3"/>
      <c r="AC62" s="4"/>
      <c r="AD62" s="4"/>
      <c r="AE62" s="4"/>
    </row>
    <row r="63" spans="1:31" x14ac:dyDescent="0.35">
      <c r="A63" s="5" t="s">
        <v>130</v>
      </c>
      <c r="B63" s="5" t="s">
        <v>131</v>
      </c>
      <c r="C63" s="5" t="s">
        <v>132</v>
      </c>
      <c r="D63" s="6">
        <v>32000</v>
      </c>
      <c r="E63" s="6">
        <v>0</v>
      </c>
      <c r="F63" s="6">
        <f t="shared" ref="F63:F70" si="18">D63*0.75</f>
        <v>24000</v>
      </c>
      <c r="G63" s="6">
        <v>2500</v>
      </c>
      <c r="H63" s="6">
        <v>1500</v>
      </c>
      <c r="I63" s="6">
        <v>5000</v>
      </c>
      <c r="J63" s="6">
        <v>5700</v>
      </c>
      <c r="K63" s="6">
        <v>5200</v>
      </c>
      <c r="L63" s="6">
        <v>0</v>
      </c>
      <c r="M63" s="6">
        <v>0</v>
      </c>
      <c r="N63" s="6">
        <v>0</v>
      </c>
      <c r="O63" s="6">
        <v>6000</v>
      </c>
      <c r="P63" s="6">
        <v>4000</v>
      </c>
      <c r="Q63" s="6">
        <v>0</v>
      </c>
      <c r="R63" s="6">
        <v>0</v>
      </c>
      <c r="S63" s="6">
        <v>4500</v>
      </c>
      <c r="T63" s="6">
        <v>0</v>
      </c>
      <c r="U63" s="6">
        <f t="shared" si="0"/>
        <v>58400</v>
      </c>
      <c r="V63" s="6">
        <v>55000</v>
      </c>
      <c r="W63" s="6">
        <f t="shared" si="1"/>
        <v>3400</v>
      </c>
      <c r="X63" s="3"/>
      <c r="Y63" s="3"/>
      <c r="Z63" s="3"/>
      <c r="AA63" s="3"/>
      <c r="AB63" s="3"/>
      <c r="AC63" s="4"/>
      <c r="AD63" s="4"/>
      <c r="AE63" s="4"/>
    </row>
    <row r="64" spans="1:31" x14ac:dyDescent="0.35">
      <c r="A64" s="5" t="s">
        <v>130</v>
      </c>
      <c r="B64" s="5" t="s">
        <v>133</v>
      </c>
      <c r="C64" s="5" t="s">
        <v>132</v>
      </c>
      <c r="D64" s="6">
        <v>32000</v>
      </c>
      <c r="E64" s="6">
        <v>0</v>
      </c>
      <c r="F64" s="6">
        <f t="shared" si="18"/>
        <v>24000</v>
      </c>
      <c r="G64" s="6">
        <v>2500</v>
      </c>
      <c r="H64" s="6">
        <v>1500</v>
      </c>
      <c r="I64" s="6">
        <v>5000</v>
      </c>
      <c r="J64" s="6">
        <v>2300</v>
      </c>
      <c r="K64" s="6">
        <v>5200</v>
      </c>
      <c r="L64" s="6">
        <v>0</v>
      </c>
      <c r="M64" s="6">
        <v>0</v>
      </c>
      <c r="N64" s="6">
        <v>0</v>
      </c>
      <c r="O64" s="6">
        <v>6000</v>
      </c>
      <c r="P64" s="6">
        <v>4000</v>
      </c>
      <c r="Q64" s="6">
        <v>0</v>
      </c>
      <c r="R64" s="6">
        <v>0</v>
      </c>
      <c r="S64" s="6">
        <v>4500</v>
      </c>
      <c r="T64" s="6">
        <v>0</v>
      </c>
      <c r="U64" s="6">
        <f t="shared" si="0"/>
        <v>55000</v>
      </c>
      <c r="V64" s="6">
        <v>55000</v>
      </c>
      <c r="W64" s="6">
        <f t="shared" si="1"/>
        <v>0</v>
      </c>
      <c r="X64" s="3"/>
      <c r="Y64" s="3"/>
      <c r="Z64" s="3"/>
      <c r="AA64" s="3"/>
      <c r="AB64" s="3"/>
      <c r="AC64" s="4"/>
      <c r="AD64" s="4"/>
      <c r="AE64" s="4"/>
    </row>
    <row r="65" spans="1:31" x14ac:dyDescent="0.35">
      <c r="A65" s="5" t="s">
        <v>134</v>
      </c>
      <c r="B65" s="5" t="s">
        <v>97</v>
      </c>
      <c r="C65" s="5" t="s">
        <v>28</v>
      </c>
      <c r="D65" s="6">
        <v>22000</v>
      </c>
      <c r="E65" s="6">
        <v>0</v>
      </c>
      <c r="F65" s="6">
        <f t="shared" si="18"/>
        <v>16500</v>
      </c>
      <c r="G65" s="6">
        <v>2000</v>
      </c>
      <c r="H65" s="6">
        <v>0</v>
      </c>
      <c r="I65" s="6">
        <v>3500</v>
      </c>
      <c r="J65" s="6">
        <v>17600</v>
      </c>
      <c r="K65" s="6">
        <v>7660</v>
      </c>
      <c r="L65" s="6">
        <v>0</v>
      </c>
      <c r="M65" s="6">
        <v>0</v>
      </c>
      <c r="N65" s="6">
        <v>0</v>
      </c>
      <c r="O65" s="6">
        <v>5000</v>
      </c>
      <c r="P65" s="6">
        <v>0</v>
      </c>
      <c r="Q65" s="6">
        <v>0</v>
      </c>
      <c r="R65" s="6">
        <v>0</v>
      </c>
      <c r="S65" s="6">
        <v>0</v>
      </c>
      <c r="T65" s="6">
        <v>1380</v>
      </c>
      <c r="U65" s="6">
        <f t="shared" si="0"/>
        <v>53640</v>
      </c>
      <c r="V65" s="6">
        <v>46215</v>
      </c>
      <c r="W65" s="6">
        <f t="shared" si="1"/>
        <v>7425</v>
      </c>
      <c r="X65" s="3"/>
      <c r="Y65" s="3"/>
      <c r="Z65" s="3"/>
      <c r="AA65" s="3"/>
      <c r="AB65" s="3"/>
      <c r="AC65" s="4"/>
      <c r="AD65" s="4"/>
      <c r="AE65" s="4"/>
    </row>
    <row r="66" spans="1:31" x14ac:dyDescent="0.35">
      <c r="A66" s="5" t="s">
        <v>134</v>
      </c>
      <c r="B66" s="5" t="s">
        <v>135</v>
      </c>
      <c r="C66" s="5" t="s">
        <v>75</v>
      </c>
      <c r="D66" s="6">
        <v>24500</v>
      </c>
      <c r="E66" s="6">
        <v>0</v>
      </c>
      <c r="F66" s="6">
        <f t="shared" si="18"/>
        <v>18375</v>
      </c>
      <c r="G66" s="6">
        <v>2500</v>
      </c>
      <c r="H66" s="6">
        <v>1500</v>
      </c>
      <c r="I66" s="6">
        <v>4500</v>
      </c>
      <c r="J66" s="6">
        <v>12710</v>
      </c>
      <c r="K66" s="6">
        <v>7200</v>
      </c>
      <c r="L66" s="6">
        <v>0</v>
      </c>
      <c r="M66" s="6">
        <v>0</v>
      </c>
      <c r="N66" s="6">
        <v>0</v>
      </c>
      <c r="O66" s="6">
        <v>6000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f t="shared" si="0"/>
        <v>52785</v>
      </c>
      <c r="V66" s="6">
        <v>52785</v>
      </c>
      <c r="W66" s="6">
        <f t="shared" si="1"/>
        <v>0</v>
      </c>
      <c r="X66" s="3"/>
      <c r="Y66" s="3"/>
      <c r="Z66" s="3"/>
      <c r="AA66" s="3"/>
      <c r="AB66" s="3"/>
      <c r="AC66" s="4"/>
      <c r="AD66" s="4"/>
      <c r="AE66" s="4"/>
    </row>
    <row r="67" spans="1:31" x14ac:dyDescent="0.35">
      <c r="A67" s="5" t="s">
        <v>136</v>
      </c>
      <c r="B67" s="5" t="s">
        <v>137</v>
      </c>
      <c r="C67" s="5" t="s">
        <v>127</v>
      </c>
      <c r="D67" s="6">
        <v>22000</v>
      </c>
      <c r="E67" s="6">
        <v>0</v>
      </c>
      <c r="F67" s="6">
        <f t="shared" si="18"/>
        <v>16500</v>
      </c>
      <c r="G67" s="6">
        <v>2000</v>
      </c>
      <c r="H67" s="6">
        <v>0</v>
      </c>
      <c r="I67" s="6">
        <v>3500</v>
      </c>
      <c r="J67" s="6">
        <v>19035</v>
      </c>
      <c r="K67" s="6">
        <v>8100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5500</v>
      </c>
      <c r="U67" s="6">
        <f t="shared" si="0"/>
        <v>54635</v>
      </c>
      <c r="V67" s="6">
        <v>45000</v>
      </c>
      <c r="W67" s="6">
        <f t="shared" si="1"/>
        <v>9635</v>
      </c>
      <c r="X67" s="3"/>
      <c r="Y67" s="3"/>
      <c r="Z67" s="3"/>
      <c r="AA67" s="3"/>
      <c r="AB67" s="3"/>
      <c r="AC67" s="4"/>
      <c r="AD67" s="4"/>
      <c r="AE67" s="4"/>
    </row>
    <row r="68" spans="1:31" x14ac:dyDescent="0.35">
      <c r="A68" s="5" t="s">
        <v>136</v>
      </c>
      <c r="B68" s="5" t="s">
        <v>60</v>
      </c>
      <c r="C68" s="5" t="s">
        <v>75</v>
      </c>
      <c r="D68" s="6">
        <v>24500</v>
      </c>
      <c r="E68" s="6">
        <v>0</v>
      </c>
      <c r="F68" s="6">
        <f t="shared" si="18"/>
        <v>18375</v>
      </c>
      <c r="G68" s="6">
        <v>2500</v>
      </c>
      <c r="H68" s="6">
        <v>1500</v>
      </c>
      <c r="I68" s="6">
        <v>4500</v>
      </c>
      <c r="J68" s="6">
        <v>12710</v>
      </c>
      <c r="K68" s="6">
        <v>7200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f t="shared" si="0"/>
        <v>46785</v>
      </c>
      <c r="V68" s="6">
        <v>45000</v>
      </c>
      <c r="W68" s="6">
        <f t="shared" si="1"/>
        <v>1785</v>
      </c>
      <c r="X68" s="3"/>
      <c r="Y68" s="3"/>
      <c r="Z68" s="3"/>
      <c r="AA68" s="3"/>
      <c r="AB68" s="3"/>
      <c r="AC68" s="4"/>
      <c r="AD68" s="4"/>
      <c r="AE68" s="4"/>
    </row>
    <row r="69" spans="1:31" x14ac:dyDescent="0.35">
      <c r="A69" s="5" t="s">
        <v>138</v>
      </c>
      <c r="B69" s="5" t="s">
        <v>139</v>
      </c>
      <c r="C69" s="5" t="s">
        <v>32</v>
      </c>
      <c r="D69" s="6">
        <v>22000</v>
      </c>
      <c r="E69" s="6">
        <v>0</v>
      </c>
      <c r="F69" s="6">
        <f t="shared" si="18"/>
        <v>16500</v>
      </c>
      <c r="G69" s="6">
        <v>2000</v>
      </c>
      <c r="H69" s="6">
        <v>0</v>
      </c>
      <c r="I69" s="6">
        <v>3500</v>
      </c>
      <c r="J69" s="6">
        <v>18350</v>
      </c>
      <c r="K69" s="6">
        <v>8100</v>
      </c>
      <c r="L69" s="6">
        <v>0</v>
      </c>
      <c r="M69" s="6">
        <v>0</v>
      </c>
      <c r="N69" s="6">
        <v>0</v>
      </c>
      <c r="O69" s="6">
        <v>5000</v>
      </c>
      <c r="P69" s="6">
        <v>4000</v>
      </c>
      <c r="Q69" s="6">
        <v>0</v>
      </c>
      <c r="R69" s="6">
        <v>0</v>
      </c>
      <c r="S69" s="6">
        <v>0</v>
      </c>
      <c r="T69" s="6">
        <v>34230</v>
      </c>
      <c r="U69" s="6">
        <f t="shared" si="0"/>
        <v>91680</v>
      </c>
      <c r="V69" s="6">
        <v>70920</v>
      </c>
      <c r="W69" s="6">
        <f t="shared" si="1"/>
        <v>20760</v>
      </c>
      <c r="X69" s="3"/>
      <c r="Y69" s="3"/>
      <c r="Z69" s="3"/>
      <c r="AA69" s="3"/>
      <c r="AB69" s="3"/>
      <c r="AC69" s="4"/>
      <c r="AD69" s="4"/>
      <c r="AE69" s="4"/>
    </row>
    <row r="70" spans="1:31" x14ac:dyDescent="0.35">
      <c r="A70" s="5" t="s">
        <v>138</v>
      </c>
      <c r="B70" s="5" t="s">
        <v>140</v>
      </c>
      <c r="C70" s="5" t="s">
        <v>34</v>
      </c>
      <c r="D70" s="6">
        <v>20000</v>
      </c>
      <c r="E70" s="6">
        <v>0</v>
      </c>
      <c r="F70" s="6">
        <f t="shared" si="18"/>
        <v>15000</v>
      </c>
      <c r="G70" s="6">
        <v>2000</v>
      </c>
      <c r="H70" s="6">
        <v>1000</v>
      </c>
      <c r="I70" s="6">
        <v>1000</v>
      </c>
      <c r="J70" s="6">
        <v>16970</v>
      </c>
      <c r="K70" s="6">
        <v>7160</v>
      </c>
      <c r="L70" s="6">
        <v>0</v>
      </c>
      <c r="M70" s="6">
        <v>0</v>
      </c>
      <c r="N70" s="6">
        <v>0</v>
      </c>
      <c r="O70" s="6">
        <v>5000</v>
      </c>
      <c r="P70" s="6">
        <v>4000</v>
      </c>
      <c r="Q70" s="6">
        <v>0</v>
      </c>
      <c r="R70" s="6">
        <v>0</v>
      </c>
      <c r="S70" s="6">
        <v>0</v>
      </c>
      <c r="T70" s="6">
        <v>950</v>
      </c>
      <c r="U70" s="6">
        <f t="shared" si="0"/>
        <v>53080</v>
      </c>
      <c r="V70" s="6">
        <v>53080</v>
      </c>
      <c r="W70" s="6">
        <f t="shared" si="1"/>
        <v>0</v>
      </c>
      <c r="X70" s="3"/>
      <c r="Y70" s="3"/>
      <c r="Z70" s="3"/>
      <c r="AA70" s="3"/>
      <c r="AB70" s="3"/>
      <c r="AC70" s="4"/>
      <c r="AD70" s="4"/>
      <c r="AE70" s="4"/>
    </row>
    <row r="71" spans="1:31" x14ac:dyDescent="0.35">
      <c r="A71" s="3"/>
      <c r="B71" s="3"/>
      <c r="C71" s="3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8"/>
      <c r="Y71" s="3"/>
      <c r="Z71" s="3"/>
      <c r="AA71" s="3"/>
      <c r="AB71" s="3"/>
      <c r="AC71" s="4"/>
      <c r="AD71" s="4"/>
      <c r="AE71" s="4"/>
    </row>
    <row r="72" spans="1:31" x14ac:dyDescent="0.35">
      <c r="A72" s="3"/>
      <c r="B72" s="3"/>
      <c r="C72" s="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3"/>
      <c r="Y72" s="3"/>
      <c r="Z72" s="3"/>
      <c r="AA72" s="3"/>
      <c r="AB72" s="3"/>
      <c r="AC72" s="4"/>
      <c r="AD72" s="4"/>
      <c r="AE72" s="4"/>
    </row>
    <row r="73" spans="1:31" x14ac:dyDescent="0.35">
      <c r="A73" s="3"/>
      <c r="B73" s="3"/>
      <c r="C73" s="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3"/>
      <c r="Y73" s="3"/>
      <c r="Z73" s="3"/>
      <c r="AA73" s="3"/>
      <c r="AB73" s="3"/>
      <c r="AC73" s="4"/>
      <c r="AD73" s="4"/>
      <c r="AE73" s="4"/>
    </row>
    <row r="74" spans="1:31" x14ac:dyDescent="0.35">
      <c r="A74" s="3"/>
      <c r="B74" s="3"/>
      <c r="C74" s="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3"/>
      <c r="Y74" s="3"/>
      <c r="Z74" s="3"/>
      <c r="AA74" s="3"/>
      <c r="AB74" s="3"/>
      <c r="AC74" s="4"/>
      <c r="AD74" s="4"/>
      <c r="AE74" s="4"/>
    </row>
    <row r="75" spans="1:31" x14ac:dyDescent="0.35">
      <c r="A75" s="3"/>
      <c r="B75" s="3"/>
      <c r="C75" s="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3"/>
      <c r="Y75" s="3"/>
      <c r="Z75" s="3"/>
      <c r="AA75" s="3"/>
      <c r="AB75" s="3"/>
      <c r="AC75" s="4"/>
      <c r="AD75" s="4"/>
      <c r="AE75" s="4"/>
    </row>
    <row r="76" spans="1:31" x14ac:dyDescent="0.35">
      <c r="A76" s="3"/>
      <c r="B76" s="3"/>
      <c r="C76" s="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3"/>
      <c r="Y76" s="3"/>
      <c r="Z76" s="3"/>
      <c r="AA76" s="3"/>
      <c r="AB76" s="3"/>
      <c r="AC76" s="4"/>
      <c r="AD76" s="4"/>
      <c r="AE76" s="4"/>
    </row>
    <row r="77" spans="1:31" x14ac:dyDescent="0.35">
      <c r="A77" s="3"/>
      <c r="B77" s="3"/>
      <c r="C77" s="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3"/>
      <c r="Y77" s="3"/>
      <c r="Z77" s="3"/>
      <c r="AA77" s="3"/>
      <c r="AB77" s="3"/>
      <c r="AC77" s="4"/>
      <c r="AD77" s="4"/>
      <c r="AE77" s="4"/>
    </row>
    <row r="78" spans="1:31" x14ac:dyDescent="0.35">
      <c r="A78" s="3"/>
      <c r="B78" s="3"/>
      <c r="C78" s="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3"/>
      <c r="Y78" s="3"/>
      <c r="Z78" s="3"/>
      <c r="AA78" s="3"/>
      <c r="AB78" s="3"/>
      <c r="AC78" s="4"/>
      <c r="AD78" s="4"/>
      <c r="AE78" s="4"/>
    </row>
    <row r="79" spans="1:31" x14ac:dyDescent="0.35">
      <c r="A79" s="3"/>
      <c r="B79" s="3"/>
      <c r="C79" s="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3"/>
      <c r="Y79" s="3"/>
      <c r="Z79" s="3"/>
      <c r="AA79" s="3"/>
      <c r="AB79" s="3"/>
      <c r="AC79" s="4"/>
      <c r="AD79" s="4"/>
      <c r="AE79" s="4"/>
    </row>
    <row r="80" spans="1:31" x14ac:dyDescent="0.35">
      <c r="A80" s="3"/>
      <c r="B80" s="3"/>
      <c r="C80" s="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3"/>
      <c r="Y80" s="3"/>
      <c r="Z80" s="3"/>
      <c r="AA80" s="3"/>
      <c r="AB80" s="3"/>
      <c r="AC80" s="4"/>
      <c r="AD80" s="4"/>
      <c r="AE80" s="4"/>
    </row>
    <row r="81" spans="1:31" x14ac:dyDescent="0.35">
      <c r="A81" s="3"/>
      <c r="B81" s="3"/>
      <c r="C81" s="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3"/>
      <c r="Y81" s="3"/>
      <c r="Z81" s="3"/>
      <c r="AA81" s="3"/>
      <c r="AB81" s="3"/>
      <c r="AC81" s="4"/>
      <c r="AD81" s="4"/>
      <c r="AE81" s="4"/>
    </row>
    <row r="82" spans="1:31" x14ac:dyDescent="0.35">
      <c r="A82" s="3"/>
      <c r="B82" s="3"/>
      <c r="C82" s="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3"/>
      <c r="Y82" s="3"/>
      <c r="Z82" s="3"/>
      <c r="AA82" s="3"/>
      <c r="AB82" s="3"/>
      <c r="AC82" s="4"/>
      <c r="AD82" s="4"/>
      <c r="AE82" s="4"/>
    </row>
    <row r="83" spans="1:31" x14ac:dyDescent="0.35">
      <c r="A83" s="3"/>
      <c r="B83" s="3"/>
      <c r="C83" s="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3"/>
      <c r="Y83" s="3"/>
      <c r="Z83" s="3"/>
      <c r="AA83" s="3"/>
      <c r="AB83" s="3"/>
      <c r="AC83" s="4"/>
      <c r="AD83" s="4"/>
      <c r="AE83" s="4"/>
    </row>
    <row r="84" spans="1:31" x14ac:dyDescent="0.35">
      <c r="A84" s="3"/>
      <c r="B84" s="3"/>
      <c r="C84" s="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3"/>
      <c r="Y84" s="3"/>
      <c r="Z84" s="3"/>
      <c r="AA84" s="3"/>
      <c r="AB84" s="3"/>
      <c r="AC84" s="4"/>
      <c r="AD84" s="4"/>
      <c r="AE84" s="4"/>
    </row>
    <row r="85" spans="1:31" x14ac:dyDescent="0.35">
      <c r="A85" s="3"/>
      <c r="B85" s="3"/>
      <c r="C85" s="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3"/>
      <c r="Y85" s="3"/>
      <c r="Z85" s="3"/>
      <c r="AA85" s="3"/>
      <c r="AB85" s="3"/>
      <c r="AC85" s="4"/>
      <c r="AD85" s="4"/>
      <c r="AE85" s="4"/>
    </row>
    <row r="86" spans="1:31" x14ac:dyDescent="0.35">
      <c r="A86" s="3"/>
      <c r="B86" s="3"/>
      <c r="C86" s="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3"/>
      <c r="Y86" s="3"/>
      <c r="Z86" s="3"/>
      <c r="AA86" s="3"/>
      <c r="AB86" s="3"/>
      <c r="AC86" s="4"/>
      <c r="AD86" s="4"/>
      <c r="AE86" s="4"/>
    </row>
    <row r="87" spans="1:31" x14ac:dyDescent="0.35">
      <c r="A87" s="3"/>
      <c r="B87" s="3"/>
      <c r="C87" s="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3"/>
      <c r="Y87" s="3"/>
      <c r="Z87" s="3"/>
      <c r="AA87" s="3"/>
      <c r="AB87" s="3"/>
      <c r="AC87" s="4"/>
      <c r="AD87" s="4"/>
      <c r="AE87" s="4"/>
    </row>
    <row r="88" spans="1:31" x14ac:dyDescent="0.35">
      <c r="A88" s="3"/>
      <c r="B88" s="3"/>
      <c r="C88" s="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3"/>
      <c r="Y88" s="3"/>
      <c r="Z88" s="3"/>
      <c r="AA88" s="3"/>
      <c r="AB88" s="3"/>
      <c r="AC88" s="4"/>
      <c r="AD88" s="4"/>
      <c r="AE88" s="4"/>
    </row>
    <row r="89" spans="1:31" x14ac:dyDescent="0.35">
      <c r="A89" s="3"/>
      <c r="B89" s="3"/>
      <c r="C89" s="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3"/>
      <c r="Y89" s="3"/>
      <c r="Z89" s="3"/>
      <c r="AA89" s="3"/>
      <c r="AB89" s="3"/>
      <c r="AC89" s="4"/>
      <c r="AD89" s="4"/>
      <c r="AE89" s="4"/>
    </row>
    <row r="90" spans="1:31" x14ac:dyDescent="0.35">
      <c r="A90" s="3"/>
      <c r="B90" s="3"/>
      <c r="C90" s="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3"/>
      <c r="Y90" s="3"/>
      <c r="Z90" s="3"/>
      <c r="AA90" s="3"/>
      <c r="AB90" s="3"/>
      <c r="AC90" s="4"/>
      <c r="AD90" s="4"/>
      <c r="AE90" s="4"/>
    </row>
    <row r="91" spans="1:31" x14ac:dyDescent="0.35">
      <c r="A91" s="3"/>
      <c r="B91" s="3"/>
      <c r="C91" s="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3"/>
      <c r="Y91" s="3"/>
      <c r="Z91" s="3"/>
      <c r="AA91" s="3"/>
      <c r="AB91" s="3"/>
      <c r="AC91" s="4"/>
      <c r="AD91" s="4"/>
      <c r="AE91" s="4"/>
    </row>
    <row r="92" spans="1:31" x14ac:dyDescent="0.35">
      <c r="A92" s="3"/>
      <c r="B92" s="3"/>
      <c r="C92" s="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3"/>
      <c r="Y92" s="3"/>
      <c r="Z92" s="3"/>
      <c r="AA92" s="3"/>
      <c r="AB92" s="3"/>
      <c r="AC92" s="4"/>
      <c r="AD92" s="4"/>
      <c r="AE92" s="4"/>
    </row>
    <row r="93" spans="1:31" x14ac:dyDescent="0.35">
      <c r="A93" s="3"/>
      <c r="B93" s="3"/>
      <c r="C93" s="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3"/>
      <c r="Y93" s="3"/>
      <c r="Z93" s="3"/>
      <c r="AA93" s="3"/>
      <c r="AB93" s="3"/>
      <c r="AC93" s="4"/>
      <c r="AD93" s="4"/>
      <c r="AE93" s="4"/>
    </row>
    <row r="94" spans="1:31" x14ac:dyDescent="0.35">
      <c r="A94" s="3"/>
      <c r="B94" s="3"/>
      <c r="C94" s="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3"/>
      <c r="Y94" s="3"/>
      <c r="Z94" s="3"/>
      <c r="AA94" s="3"/>
      <c r="AB94" s="3"/>
      <c r="AC94" s="4"/>
      <c r="AD94" s="4"/>
      <c r="AE94" s="4"/>
    </row>
    <row r="95" spans="1:31" x14ac:dyDescent="0.35">
      <c r="A95" s="3"/>
      <c r="B95" s="3"/>
      <c r="C95" s="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3"/>
      <c r="Y95" s="3"/>
      <c r="Z95" s="3"/>
      <c r="AA95" s="3"/>
      <c r="AB95" s="3"/>
      <c r="AC95" s="4"/>
      <c r="AD95" s="4"/>
      <c r="AE95" s="4"/>
    </row>
    <row r="96" spans="1:31" x14ac:dyDescent="0.35">
      <c r="A96" s="3"/>
      <c r="B96" s="3"/>
      <c r="C96" s="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3"/>
      <c r="Y96" s="3"/>
      <c r="Z96" s="3"/>
      <c r="AA96" s="3"/>
      <c r="AB96" s="3"/>
      <c r="AC96" s="4"/>
      <c r="AD96" s="4"/>
      <c r="AE96" s="4"/>
    </row>
    <row r="97" spans="1:31" x14ac:dyDescent="0.35">
      <c r="A97" s="3"/>
      <c r="B97" s="3"/>
      <c r="C97" s="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3"/>
      <c r="Y97" s="3"/>
      <c r="Z97" s="3"/>
      <c r="AA97" s="3"/>
      <c r="AB97" s="3"/>
      <c r="AC97" s="4"/>
      <c r="AD97" s="4"/>
      <c r="AE97" s="4"/>
    </row>
    <row r="98" spans="1:31" x14ac:dyDescent="0.35">
      <c r="A98" s="3"/>
      <c r="B98" s="3"/>
      <c r="C98" s="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3"/>
      <c r="Y98" s="3"/>
      <c r="Z98" s="3"/>
      <c r="AA98" s="3"/>
      <c r="AB98" s="3"/>
      <c r="AC98" s="4"/>
      <c r="AD98" s="4"/>
      <c r="AE98" s="4"/>
    </row>
    <row r="99" spans="1:31" x14ac:dyDescent="0.35">
      <c r="A99" s="3"/>
      <c r="B99" s="3"/>
      <c r="C99" s="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3"/>
      <c r="Y99" s="3"/>
      <c r="Z99" s="3"/>
      <c r="AA99" s="3"/>
      <c r="AB99" s="3"/>
      <c r="AC99" s="4"/>
      <c r="AD99" s="4"/>
      <c r="AE99" s="4"/>
    </row>
    <row r="100" spans="1:31" x14ac:dyDescent="0.35">
      <c r="A100" s="3"/>
      <c r="B100" s="3"/>
      <c r="C100" s="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3"/>
      <c r="Y100" s="3"/>
      <c r="Z100" s="3"/>
      <c r="AA100" s="3"/>
      <c r="AB100" s="3"/>
      <c r="AC100" s="4"/>
      <c r="AD100" s="4"/>
      <c r="AE100" s="4"/>
    </row>
    <row r="101" spans="1:31" x14ac:dyDescent="0.35">
      <c r="A101" s="3"/>
      <c r="B101" s="3"/>
      <c r="C101" s="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3"/>
      <c r="Y101" s="3"/>
      <c r="Z101" s="3"/>
      <c r="AA101" s="3"/>
      <c r="AB101" s="3"/>
      <c r="AC101" s="4"/>
      <c r="AD101" s="4"/>
      <c r="AE101" s="4"/>
    </row>
    <row r="102" spans="1:31" x14ac:dyDescent="0.35">
      <c r="A102" s="3"/>
      <c r="B102" s="3"/>
      <c r="C102" s="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3"/>
      <c r="Y102" s="3"/>
      <c r="Z102" s="3"/>
      <c r="AA102" s="3"/>
      <c r="AB102" s="3"/>
      <c r="AC102" s="4"/>
      <c r="AD102" s="4"/>
      <c r="AE102" s="4"/>
    </row>
    <row r="103" spans="1:31" x14ac:dyDescent="0.35">
      <c r="A103" s="3"/>
      <c r="B103" s="3"/>
      <c r="C103" s="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3"/>
      <c r="Y103" s="3"/>
      <c r="Z103" s="3"/>
      <c r="AA103" s="3"/>
      <c r="AB103" s="3"/>
      <c r="AC103" s="4"/>
      <c r="AD103" s="4"/>
      <c r="AE103" s="4"/>
    </row>
    <row r="104" spans="1:31" x14ac:dyDescent="0.35">
      <c r="A104" s="3"/>
      <c r="B104" s="3"/>
      <c r="C104" s="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3"/>
      <c r="Y104" s="3"/>
      <c r="Z104" s="3"/>
      <c r="AA104" s="3"/>
      <c r="AB104" s="3"/>
      <c r="AC104" s="4"/>
      <c r="AD104" s="4"/>
      <c r="AE104" s="4"/>
    </row>
    <row r="105" spans="1:31" x14ac:dyDescent="0.35">
      <c r="A105" s="3"/>
      <c r="B105" s="3"/>
      <c r="C105" s="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3"/>
      <c r="Y105" s="3"/>
      <c r="Z105" s="3"/>
      <c r="AA105" s="3"/>
      <c r="AB105" s="3"/>
      <c r="AC105" s="4"/>
      <c r="AD105" s="4"/>
      <c r="AE105" s="4"/>
    </row>
    <row r="106" spans="1:31" x14ac:dyDescent="0.35">
      <c r="A106" s="3"/>
      <c r="B106" s="3"/>
      <c r="C106" s="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3"/>
      <c r="Y106" s="3"/>
      <c r="Z106" s="3"/>
      <c r="AA106" s="3"/>
      <c r="AB106" s="3"/>
      <c r="AC106" s="4"/>
      <c r="AD106" s="4"/>
      <c r="AE106" s="4"/>
    </row>
    <row r="107" spans="1:31" x14ac:dyDescent="0.35">
      <c r="A107" s="3"/>
      <c r="B107" s="3"/>
      <c r="C107" s="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3"/>
      <c r="Y107" s="3"/>
      <c r="Z107" s="3"/>
      <c r="AA107" s="3"/>
      <c r="AB107" s="3"/>
      <c r="AC107" s="4"/>
      <c r="AD107" s="4"/>
      <c r="AE107" s="4"/>
    </row>
    <row r="108" spans="1:31" x14ac:dyDescent="0.35">
      <c r="A108" s="3"/>
      <c r="B108" s="3"/>
      <c r="C108" s="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3"/>
      <c r="Y108" s="3"/>
      <c r="Z108" s="3"/>
      <c r="AA108" s="3"/>
      <c r="AB108" s="3"/>
      <c r="AC108" s="4"/>
      <c r="AD108" s="4"/>
      <c r="AE108" s="4"/>
    </row>
    <row r="109" spans="1:31" x14ac:dyDescent="0.35">
      <c r="A109" s="3"/>
      <c r="B109" s="3"/>
      <c r="C109" s="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3"/>
      <c r="Y109" s="3"/>
      <c r="Z109" s="3"/>
      <c r="AA109" s="3"/>
      <c r="AB109" s="3"/>
      <c r="AC109" s="4"/>
      <c r="AD109" s="4"/>
      <c r="AE109" s="4"/>
    </row>
    <row r="110" spans="1:31" x14ac:dyDescent="0.35">
      <c r="A110" s="3"/>
      <c r="B110" s="3"/>
      <c r="C110" s="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3"/>
      <c r="Y110" s="3"/>
      <c r="Z110" s="3"/>
      <c r="AA110" s="3"/>
      <c r="AB110" s="3"/>
      <c r="AC110" s="4"/>
      <c r="AD110" s="4"/>
      <c r="AE110" s="4"/>
    </row>
    <row r="111" spans="1:31" x14ac:dyDescent="0.35">
      <c r="A111" s="3"/>
      <c r="B111" s="3"/>
      <c r="C111" s="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3"/>
      <c r="Y111" s="3"/>
      <c r="Z111" s="3"/>
      <c r="AA111" s="3"/>
      <c r="AB111" s="3"/>
      <c r="AC111" s="4"/>
      <c r="AD111" s="4"/>
      <c r="AE111" s="4"/>
    </row>
    <row r="112" spans="1:31" x14ac:dyDescent="0.35">
      <c r="A112" s="3"/>
      <c r="B112" s="3"/>
      <c r="C112" s="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3"/>
      <c r="Y112" s="3"/>
      <c r="Z112" s="3"/>
      <c r="AA112" s="3"/>
      <c r="AB112" s="3"/>
      <c r="AC112" s="4"/>
      <c r="AD112" s="4"/>
      <c r="AE112" s="4"/>
    </row>
    <row r="113" spans="1:31" x14ac:dyDescent="0.35">
      <c r="A113" s="3"/>
      <c r="B113" s="3"/>
      <c r="C113" s="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3"/>
      <c r="Y113" s="3"/>
      <c r="Z113" s="3"/>
      <c r="AA113" s="3"/>
      <c r="AB113" s="3"/>
      <c r="AC113" s="4"/>
      <c r="AD113" s="4"/>
      <c r="AE113" s="4"/>
    </row>
    <row r="114" spans="1:31" x14ac:dyDescent="0.35">
      <c r="A114" s="3"/>
      <c r="B114" s="3"/>
      <c r="C114" s="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3"/>
      <c r="Y114" s="3"/>
      <c r="Z114" s="3"/>
      <c r="AA114" s="3"/>
      <c r="AB114" s="3"/>
      <c r="AC114" s="4"/>
      <c r="AD114" s="4"/>
      <c r="AE114" s="4"/>
    </row>
    <row r="115" spans="1:31" x14ac:dyDescent="0.35">
      <c r="A115" s="3"/>
      <c r="B115" s="3"/>
      <c r="C115" s="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3"/>
      <c r="Y115" s="3"/>
      <c r="Z115" s="3"/>
      <c r="AA115" s="3"/>
      <c r="AB115" s="3"/>
      <c r="AC115" s="4"/>
      <c r="AD115" s="4"/>
      <c r="AE115" s="4"/>
    </row>
    <row r="116" spans="1:31" x14ac:dyDescent="0.35">
      <c r="A116" s="3"/>
      <c r="B116" s="3"/>
      <c r="C116" s="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3"/>
      <c r="Y116" s="3"/>
      <c r="Z116" s="3"/>
      <c r="AA116" s="3"/>
      <c r="AB116" s="3"/>
      <c r="AC116" s="4"/>
      <c r="AD116" s="4"/>
      <c r="AE116" s="4"/>
    </row>
    <row r="117" spans="1:31" x14ac:dyDescent="0.35">
      <c r="A117" s="3"/>
      <c r="B117" s="3"/>
      <c r="C117" s="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3"/>
      <c r="Y117" s="3"/>
      <c r="Z117" s="3"/>
      <c r="AA117" s="3"/>
      <c r="AB117" s="3"/>
      <c r="AC117" s="4"/>
      <c r="AD117" s="4"/>
      <c r="AE117" s="4"/>
    </row>
    <row r="118" spans="1:31" x14ac:dyDescent="0.35">
      <c r="A118" s="3"/>
      <c r="B118" s="3"/>
      <c r="C118" s="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3"/>
      <c r="Y118" s="3"/>
      <c r="Z118" s="3"/>
      <c r="AA118" s="3"/>
      <c r="AB118" s="3"/>
      <c r="AC118" s="4"/>
      <c r="AD118" s="4"/>
      <c r="AE118" s="4"/>
    </row>
    <row r="119" spans="1:31" x14ac:dyDescent="0.35">
      <c r="A119" s="3"/>
      <c r="B119" s="3"/>
      <c r="C119" s="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3"/>
      <c r="Y119" s="3"/>
      <c r="Z119" s="3"/>
      <c r="AA119" s="3"/>
      <c r="AB119" s="3"/>
      <c r="AC119" s="4"/>
      <c r="AD119" s="4"/>
      <c r="AE119" s="4"/>
    </row>
    <row r="120" spans="1:31" x14ac:dyDescent="0.35">
      <c r="A120" s="3"/>
      <c r="B120" s="3"/>
      <c r="C120" s="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3"/>
      <c r="Y120" s="3"/>
      <c r="Z120" s="3"/>
      <c r="AA120" s="3"/>
      <c r="AB120" s="3"/>
      <c r="AC120" s="4"/>
      <c r="AD120" s="4"/>
      <c r="AE120" s="4"/>
    </row>
    <row r="121" spans="1:31" x14ac:dyDescent="0.35">
      <c r="A121" s="3"/>
      <c r="B121" s="3"/>
      <c r="C121" s="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3"/>
      <c r="Y121" s="3"/>
      <c r="Z121" s="3"/>
      <c r="AA121" s="3"/>
      <c r="AB121" s="3"/>
      <c r="AC121" s="4"/>
      <c r="AD121" s="4"/>
      <c r="AE121" s="4"/>
    </row>
    <row r="122" spans="1:31" x14ac:dyDescent="0.35">
      <c r="A122" s="3"/>
      <c r="B122" s="3"/>
      <c r="C122" s="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3"/>
      <c r="Y122" s="3"/>
      <c r="Z122" s="3"/>
      <c r="AA122" s="3"/>
      <c r="AB122" s="3"/>
      <c r="AC122" s="4"/>
      <c r="AD122" s="4"/>
      <c r="AE122" s="4"/>
    </row>
    <row r="123" spans="1:31" x14ac:dyDescent="0.35">
      <c r="A123" s="3"/>
      <c r="B123" s="3"/>
      <c r="C123" s="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3"/>
      <c r="Y123" s="3"/>
      <c r="Z123" s="3"/>
      <c r="AA123" s="3"/>
      <c r="AB123" s="3"/>
      <c r="AC123" s="4"/>
      <c r="AD123" s="4"/>
      <c r="AE123" s="4"/>
    </row>
    <row r="124" spans="1:31" x14ac:dyDescent="0.35">
      <c r="A124" s="3"/>
      <c r="B124" s="3"/>
      <c r="C124" s="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3"/>
      <c r="Y124" s="3"/>
      <c r="Z124" s="3"/>
      <c r="AA124" s="3"/>
      <c r="AB124" s="3"/>
      <c r="AC124" s="4"/>
      <c r="AD124" s="4"/>
      <c r="AE124" s="4"/>
    </row>
    <row r="125" spans="1:31" x14ac:dyDescent="0.35">
      <c r="A125" s="3"/>
      <c r="B125" s="3"/>
      <c r="C125" s="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3"/>
      <c r="Y125" s="3"/>
      <c r="Z125" s="3"/>
      <c r="AA125" s="3"/>
      <c r="AB125" s="3"/>
      <c r="AC125" s="4"/>
      <c r="AD125" s="4"/>
      <c r="AE125" s="4"/>
    </row>
    <row r="126" spans="1:31" x14ac:dyDescent="0.35">
      <c r="A126" s="3"/>
      <c r="B126" s="3"/>
      <c r="C126" s="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3"/>
      <c r="Y126" s="3"/>
      <c r="Z126" s="3"/>
      <c r="AA126" s="3"/>
      <c r="AB126" s="3"/>
      <c r="AC126" s="4"/>
      <c r="AD126" s="4"/>
      <c r="AE126" s="4"/>
    </row>
    <row r="127" spans="1:31" x14ac:dyDescent="0.35">
      <c r="A127" s="3"/>
      <c r="B127" s="3"/>
      <c r="C127" s="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3"/>
      <c r="Y127" s="3"/>
      <c r="Z127" s="3"/>
      <c r="AA127" s="3"/>
      <c r="AB127" s="3"/>
      <c r="AC127" s="4"/>
      <c r="AD127" s="4"/>
      <c r="AE127" s="4"/>
    </row>
    <row r="128" spans="1:31" x14ac:dyDescent="0.35">
      <c r="A128" s="3"/>
      <c r="B128" s="3"/>
      <c r="C128" s="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3"/>
      <c r="Y128" s="3"/>
      <c r="Z128" s="3"/>
      <c r="AA128" s="3"/>
      <c r="AB128" s="3"/>
      <c r="AC128" s="4"/>
      <c r="AD128" s="4"/>
      <c r="AE128" s="4"/>
    </row>
    <row r="129" spans="1:31" x14ac:dyDescent="0.35">
      <c r="A129" s="3"/>
      <c r="B129" s="3"/>
      <c r="C129" s="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3"/>
      <c r="Y129" s="3"/>
      <c r="Z129" s="3"/>
      <c r="AA129" s="3"/>
      <c r="AB129" s="3"/>
      <c r="AC129" s="4"/>
      <c r="AD129" s="4"/>
      <c r="AE129" s="4"/>
    </row>
    <row r="130" spans="1:31" x14ac:dyDescent="0.35">
      <c r="A130" s="3"/>
      <c r="B130" s="3"/>
      <c r="C130" s="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3"/>
      <c r="Y130" s="3"/>
      <c r="Z130" s="3"/>
      <c r="AA130" s="3"/>
      <c r="AB130" s="3"/>
      <c r="AC130" s="4"/>
      <c r="AD130" s="4"/>
      <c r="AE130" s="4"/>
    </row>
    <row r="131" spans="1:31" x14ac:dyDescent="0.35">
      <c r="A131" s="3"/>
      <c r="B131" s="3"/>
      <c r="C131" s="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3"/>
      <c r="Y131" s="3"/>
      <c r="Z131" s="3"/>
      <c r="AA131" s="3"/>
      <c r="AB131" s="3"/>
      <c r="AC131" s="4"/>
      <c r="AD131" s="4"/>
      <c r="AE131" s="4"/>
    </row>
    <row r="132" spans="1:31" x14ac:dyDescent="0.35">
      <c r="A132" s="3"/>
      <c r="B132" s="3"/>
      <c r="C132" s="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3"/>
      <c r="Y132" s="3"/>
      <c r="Z132" s="3"/>
      <c r="AA132" s="3"/>
      <c r="AB132" s="3"/>
      <c r="AC132" s="4"/>
      <c r="AD132" s="4"/>
      <c r="AE132" s="4"/>
    </row>
    <row r="133" spans="1:31" x14ac:dyDescent="0.35">
      <c r="A133" s="3"/>
      <c r="B133" s="3"/>
      <c r="C133" s="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3"/>
      <c r="Y133" s="3"/>
      <c r="Z133" s="3"/>
      <c r="AA133" s="3"/>
      <c r="AB133" s="3"/>
      <c r="AC133" s="4"/>
      <c r="AD133" s="4"/>
      <c r="AE133" s="4"/>
    </row>
    <row r="134" spans="1:31" x14ac:dyDescent="0.35">
      <c r="A134" s="3"/>
      <c r="B134" s="3"/>
      <c r="C134" s="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3"/>
      <c r="Y134" s="3"/>
      <c r="Z134" s="3"/>
      <c r="AA134" s="3"/>
      <c r="AB134" s="3"/>
      <c r="AC134" s="4"/>
      <c r="AD134" s="4"/>
      <c r="AE134" s="4"/>
    </row>
    <row r="135" spans="1:31" x14ac:dyDescent="0.35">
      <c r="A135" s="3"/>
      <c r="B135" s="3"/>
      <c r="C135" s="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3"/>
      <c r="Y135" s="3"/>
      <c r="Z135" s="3"/>
      <c r="AA135" s="3"/>
      <c r="AB135" s="3"/>
      <c r="AC135" s="4"/>
      <c r="AD135" s="4"/>
      <c r="AE135" s="4"/>
    </row>
    <row r="136" spans="1:31" x14ac:dyDescent="0.35">
      <c r="A136" s="3"/>
      <c r="B136" s="3"/>
      <c r="C136" s="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3"/>
      <c r="Y136" s="3"/>
      <c r="Z136" s="3"/>
      <c r="AA136" s="3"/>
      <c r="AB136" s="3"/>
      <c r="AC136" s="4"/>
      <c r="AD136" s="4"/>
      <c r="AE136" s="4"/>
    </row>
    <row r="137" spans="1:31" x14ac:dyDescent="0.35">
      <c r="A137" s="3"/>
      <c r="B137" s="3"/>
      <c r="C137" s="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3"/>
      <c r="Y137" s="3"/>
      <c r="Z137" s="3"/>
      <c r="AA137" s="3"/>
      <c r="AB137" s="3"/>
      <c r="AC137" s="4"/>
      <c r="AD137" s="4"/>
      <c r="AE137" s="4"/>
    </row>
    <row r="138" spans="1:31" x14ac:dyDescent="0.35">
      <c r="A138" s="3"/>
      <c r="B138" s="3"/>
      <c r="C138" s="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3"/>
      <c r="Y138" s="3"/>
      <c r="Z138" s="3"/>
      <c r="AA138" s="3"/>
      <c r="AB138" s="3"/>
      <c r="AC138" s="4"/>
      <c r="AD138" s="4"/>
      <c r="AE138" s="4"/>
    </row>
    <row r="139" spans="1:31" x14ac:dyDescent="0.35">
      <c r="A139" s="3"/>
      <c r="B139" s="3"/>
      <c r="C139" s="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3"/>
      <c r="Y139" s="3"/>
      <c r="Z139" s="3"/>
      <c r="AA139" s="3"/>
      <c r="AB139" s="3"/>
      <c r="AC139" s="4"/>
      <c r="AD139" s="4"/>
      <c r="AE139" s="4"/>
    </row>
    <row r="140" spans="1:31" x14ac:dyDescent="0.35">
      <c r="A140" s="3"/>
      <c r="B140" s="3"/>
      <c r="C140" s="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3"/>
      <c r="Y140" s="3"/>
      <c r="Z140" s="3"/>
      <c r="AA140" s="3"/>
      <c r="AB140" s="3"/>
      <c r="AC140" s="4"/>
      <c r="AD140" s="4"/>
      <c r="AE140" s="4"/>
    </row>
    <row r="141" spans="1:31" x14ac:dyDescent="0.35">
      <c r="A141" s="3"/>
      <c r="B141" s="3"/>
      <c r="C141" s="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3"/>
      <c r="Y141" s="3"/>
      <c r="Z141" s="3"/>
      <c r="AA141" s="3"/>
      <c r="AB141" s="3"/>
      <c r="AC141" s="4"/>
      <c r="AD141" s="4"/>
      <c r="AE141" s="4"/>
    </row>
    <row r="142" spans="1:31" x14ac:dyDescent="0.35">
      <c r="A142" s="3"/>
      <c r="B142" s="3"/>
      <c r="C142" s="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3"/>
      <c r="Y142" s="3"/>
      <c r="Z142" s="3"/>
      <c r="AA142" s="3"/>
      <c r="AB142" s="3"/>
      <c r="AC142" s="4"/>
      <c r="AD142" s="4"/>
      <c r="AE142" s="4"/>
    </row>
    <row r="143" spans="1:31" x14ac:dyDescent="0.35">
      <c r="A143" s="3"/>
      <c r="B143" s="3"/>
      <c r="C143" s="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3"/>
      <c r="Y143" s="3"/>
      <c r="Z143" s="3"/>
      <c r="AA143" s="3"/>
      <c r="AB143" s="3"/>
      <c r="AC143" s="4"/>
      <c r="AD143" s="4"/>
      <c r="AE143" s="4"/>
    </row>
    <row r="144" spans="1:31" x14ac:dyDescent="0.35">
      <c r="A144" s="3"/>
      <c r="B144" s="3"/>
      <c r="C144" s="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3"/>
      <c r="Y144" s="3"/>
      <c r="Z144" s="3"/>
      <c r="AA144" s="3"/>
      <c r="AB144" s="3"/>
      <c r="AC144" s="4"/>
      <c r="AD144" s="4"/>
      <c r="AE144" s="4"/>
    </row>
    <row r="145" spans="1:31" x14ac:dyDescent="0.35">
      <c r="A145" s="3"/>
      <c r="B145" s="3"/>
      <c r="C145" s="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3"/>
      <c r="Y145" s="3"/>
      <c r="Z145" s="3"/>
      <c r="AA145" s="3"/>
      <c r="AB145" s="3"/>
      <c r="AC145" s="4"/>
      <c r="AD145" s="4"/>
      <c r="AE145" s="4"/>
    </row>
    <row r="146" spans="1:31" x14ac:dyDescent="0.35">
      <c r="A146" s="3"/>
      <c r="B146" s="3"/>
      <c r="C146" s="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3"/>
      <c r="Y146" s="3"/>
      <c r="Z146" s="3"/>
      <c r="AA146" s="3"/>
      <c r="AB146" s="3"/>
      <c r="AC146" s="4"/>
      <c r="AD146" s="4"/>
      <c r="AE146" s="4"/>
    </row>
    <row r="147" spans="1:31" x14ac:dyDescent="0.35">
      <c r="A147" s="3"/>
      <c r="B147" s="3"/>
      <c r="C147" s="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3"/>
      <c r="Y147" s="3"/>
      <c r="Z147" s="3"/>
      <c r="AA147" s="3"/>
      <c r="AB147" s="3"/>
      <c r="AC147" s="4"/>
      <c r="AD147" s="4"/>
      <c r="AE147" s="4"/>
    </row>
    <row r="148" spans="1:31" x14ac:dyDescent="0.35">
      <c r="A148" s="3"/>
      <c r="B148" s="3"/>
      <c r="C148" s="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3"/>
      <c r="Y148" s="3"/>
      <c r="Z148" s="3"/>
      <c r="AA148" s="3"/>
      <c r="AB148" s="3"/>
      <c r="AC148" s="4"/>
      <c r="AD148" s="4"/>
      <c r="AE148" s="4"/>
    </row>
    <row r="149" spans="1:31" x14ac:dyDescent="0.35">
      <c r="A149" s="3"/>
      <c r="B149" s="3"/>
      <c r="C149" s="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3"/>
      <c r="Y149" s="3"/>
      <c r="Z149" s="3"/>
      <c r="AA149" s="3"/>
      <c r="AB149" s="3"/>
      <c r="AC149" s="4"/>
      <c r="AD149" s="4"/>
      <c r="AE149" s="4"/>
    </row>
    <row r="150" spans="1:31" x14ac:dyDescent="0.35">
      <c r="A150" s="3"/>
      <c r="B150" s="3"/>
      <c r="C150" s="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3"/>
      <c r="Y150" s="3"/>
      <c r="Z150" s="3"/>
      <c r="AA150" s="3"/>
      <c r="AB150" s="3"/>
      <c r="AC150" s="4"/>
      <c r="AD150" s="4"/>
      <c r="AE150" s="4"/>
    </row>
    <row r="151" spans="1:31" x14ac:dyDescent="0.35">
      <c r="A151" s="3"/>
      <c r="B151" s="3"/>
      <c r="C151" s="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3"/>
      <c r="Y151" s="3"/>
      <c r="Z151" s="3"/>
      <c r="AA151" s="3"/>
      <c r="AB151" s="3"/>
      <c r="AC151" s="4"/>
      <c r="AD151" s="4"/>
      <c r="AE151" s="4"/>
    </row>
    <row r="152" spans="1:31" x14ac:dyDescent="0.35">
      <c r="A152" s="3"/>
      <c r="B152" s="3"/>
      <c r="C152" s="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3"/>
      <c r="Y152" s="3"/>
      <c r="Z152" s="3"/>
      <c r="AA152" s="3"/>
      <c r="AB152" s="3"/>
      <c r="AC152" s="4"/>
      <c r="AD152" s="4"/>
      <c r="AE152" s="4"/>
    </row>
    <row r="153" spans="1:31" x14ac:dyDescent="0.35">
      <c r="A153" s="3"/>
      <c r="B153" s="3"/>
      <c r="C153" s="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3"/>
      <c r="Y153" s="3"/>
      <c r="Z153" s="3"/>
      <c r="AA153" s="3"/>
      <c r="AB153" s="3"/>
      <c r="AC153" s="4"/>
      <c r="AD153" s="4"/>
      <c r="AE153" s="4"/>
    </row>
    <row r="154" spans="1:31" x14ac:dyDescent="0.35">
      <c r="A154" s="3"/>
      <c r="B154" s="3"/>
      <c r="C154" s="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3"/>
      <c r="Y154" s="3"/>
      <c r="Z154" s="3"/>
      <c r="AA154" s="3"/>
      <c r="AB154" s="3"/>
      <c r="AC154" s="4"/>
      <c r="AD154" s="4"/>
      <c r="AE154" s="4"/>
    </row>
    <row r="155" spans="1:31" x14ac:dyDescent="0.35">
      <c r="A155" s="3"/>
      <c r="B155" s="3"/>
      <c r="C155" s="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3"/>
      <c r="Y155" s="3"/>
      <c r="Z155" s="3"/>
      <c r="AA155" s="3"/>
      <c r="AB155" s="3"/>
      <c r="AC155" s="4"/>
      <c r="AD155" s="4"/>
      <c r="AE155" s="4"/>
    </row>
    <row r="156" spans="1:31" x14ac:dyDescent="0.35">
      <c r="A156" s="3"/>
      <c r="B156" s="3"/>
      <c r="C156" s="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3"/>
      <c r="Y156" s="3"/>
      <c r="Z156" s="3"/>
      <c r="AA156" s="3"/>
      <c r="AB156" s="3"/>
      <c r="AC156" s="4"/>
      <c r="AD156" s="4"/>
      <c r="AE156" s="4"/>
    </row>
    <row r="157" spans="1:31" x14ac:dyDescent="0.35">
      <c r="A157" s="3"/>
      <c r="B157" s="3"/>
      <c r="C157" s="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3"/>
      <c r="Y157" s="3"/>
      <c r="Z157" s="3"/>
      <c r="AA157" s="3"/>
      <c r="AB157" s="3"/>
      <c r="AC157" s="4"/>
      <c r="AD157" s="4"/>
      <c r="AE157" s="4"/>
    </row>
    <row r="158" spans="1:31" x14ac:dyDescent="0.35">
      <c r="A158" s="3"/>
      <c r="B158" s="3"/>
      <c r="C158" s="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3"/>
      <c r="Y158" s="3"/>
      <c r="Z158" s="3"/>
      <c r="AA158" s="3"/>
      <c r="AB158" s="3"/>
      <c r="AC158" s="4"/>
      <c r="AD158" s="4"/>
      <c r="AE158" s="4"/>
    </row>
    <row r="159" spans="1:31" x14ac:dyDescent="0.35">
      <c r="A159" s="3"/>
      <c r="B159" s="3"/>
      <c r="C159" s="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3"/>
      <c r="Y159" s="3"/>
      <c r="Z159" s="3"/>
      <c r="AA159" s="3"/>
      <c r="AB159" s="3"/>
      <c r="AC159" s="4"/>
      <c r="AD159" s="4"/>
      <c r="AE159" s="4"/>
    </row>
    <row r="160" spans="1:31" x14ac:dyDescent="0.35">
      <c r="A160" s="3"/>
      <c r="B160" s="3"/>
      <c r="C160" s="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3"/>
      <c r="Y160" s="3"/>
      <c r="Z160" s="3"/>
      <c r="AA160" s="3"/>
      <c r="AB160" s="3"/>
      <c r="AC160" s="4"/>
      <c r="AD160" s="4"/>
      <c r="AE160" s="4"/>
    </row>
    <row r="161" spans="1:31" x14ac:dyDescent="0.35">
      <c r="A161" s="3"/>
      <c r="B161" s="3"/>
      <c r="C161" s="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3"/>
      <c r="Y161" s="3"/>
      <c r="Z161" s="3"/>
      <c r="AA161" s="3"/>
      <c r="AB161" s="3"/>
      <c r="AC161" s="4"/>
      <c r="AD161" s="4"/>
      <c r="AE161" s="4"/>
    </row>
    <row r="162" spans="1:31" x14ac:dyDescent="0.35">
      <c r="A162" s="3"/>
      <c r="B162" s="3"/>
      <c r="C162" s="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3"/>
      <c r="Y162" s="3"/>
      <c r="Z162" s="3"/>
      <c r="AA162" s="3"/>
      <c r="AB162" s="3"/>
      <c r="AC162" s="4"/>
      <c r="AD162" s="4"/>
      <c r="AE162" s="4"/>
    </row>
    <row r="163" spans="1:31" x14ac:dyDescent="0.35">
      <c r="A163" s="3"/>
      <c r="B163" s="3"/>
      <c r="C163" s="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3"/>
      <c r="Y163" s="3"/>
      <c r="Z163" s="3"/>
      <c r="AA163" s="3"/>
      <c r="AB163" s="3"/>
      <c r="AC163" s="4"/>
      <c r="AD163" s="4"/>
      <c r="AE163" s="4"/>
    </row>
    <row r="164" spans="1:31" x14ac:dyDescent="0.35">
      <c r="A164" s="3"/>
      <c r="B164" s="3"/>
      <c r="C164" s="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3"/>
      <c r="Y164" s="3"/>
      <c r="Z164" s="3"/>
      <c r="AA164" s="3"/>
      <c r="AB164" s="3"/>
      <c r="AC164" s="4"/>
      <c r="AD164" s="4"/>
      <c r="AE164" s="4"/>
    </row>
    <row r="165" spans="1:31" x14ac:dyDescent="0.35">
      <c r="A165" s="3"/>
      <c r="B165" s="3"/>
      <c r="C165" s="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3"/>
      <c r="Y165" s="3"/>
      <c r="Z165" s="3"/>
      <c r="AA165" s="3"/>
      <c r="AB165" s="3"/>
      <c r="AC165" s="4"/>
      <c r="AD165" s="4"/>
      <c r="AE165" s="4"/>
    </row>
    <row r="166" spans="1:31" x14ac:dyDescent="0.35">
      <c r="A166" s="3"/>
      <c r="B166" s="3"/>
      <c r="C166" s="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3"/>
      <c r="Y166" s="3"/>
      <c r="Z166" s="3"/>
      <c r="AA166" s="3"/>
      <c r="AB166" s="3"/>
      <c r="AC166" s="4"/>
      <c r="AD166" s="4"/>
      <c r="AE166" s="4"/>
    </row>
    <row r="167" spans="1:31" x14ac:dyDescent="0.35">
      <c r="A167" s="3"/>
      <c r="B167" s="3"/>
      <c r="C167" s="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3"/>
      <c r="Y167" s="3"/>
      <c r="Z167" s="3"/>
      <c r="AA167" s="3"/>
      <c r="AB167" s="3"/>
      <c r="AC167" s="4"/>
      <c r="AD167" s="4"/>
      <c r="AE167" s="4"/>
    </row>
    <row r="168" spans="1:31" x14ac:dyDescent="0.35">
      <c r="A168" s="3"/>
      <c r="B168" s="3"/>
      <c r="C168" s="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3"/>
      <c r="Y168" s="3"/>
      <c r="Z168" s="3"/>
      <c r="AA168" s="3"/>
      <c r="AB168" s="3"/>
      <c r="AC168" s="4"/>
      <c r="AD168" s="4"/>
      <c r="AE168" s="4"/>
    </row>
    <row r="169" spans="1:31" x14ac:dyDescent="0.35">
      <c r="A169" s="3"/>
      <c r="B169" s="3"/>
      <c r="C169" s="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3"/>
      <c r="Y169" s="3"/>
      <c r="Z169" s="3"/>
      <c r="AA169" s="3"/>
      <c r="AB169" s="3"/>
      <c r="AC169" s="4"/>
      <c r="AD169" s="4"/>
      <c r="AE169" s="4"/>
    </row>
    <row r="170" spans="1:31" x14ac:dyDescent="0.35">
      <c r="A170" s="3"/>
      <c r="B170" s="3"/>
      <c r="C170" s="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3"/>
      <c r="Y170" s="3"/>
      <c r="Z170" s="3"/>
      <c r="AA170" s="3"/>
      <c r="AB170" s="3"/>
      <c r="AC170" s="4"/>
      <c r="AD170" s="4"/>
      <c r="AE170" s="4"/>
    </row>
    <row r="171" spans="1:31" x14ac:dyDescent="0.35">
      <c r="A171" s="3"/>
      <c r="B171" s="3"/>
      <c r="C171" s="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3"/>
      <c r="Y171" s="3"/>
      <c r="Z171" s="3"/>
      <c r="AA171" s="3"/>
      <c r="AB171" s="3"/>
      <c r="AC171" s="4"/>
      <c r="AD171" s="4"/>
      <c r="AE171" s="4"/>
    </row>
    <row r="172" spans="1:31" x14ac:dyDescent="0.35">
      <c r="A172" s="3"/>
      <c r="B172" s="3"/>
      <c r="C172" s="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3"/>
      <c r="Y172" s="3"/>
      <c r="Z172" s="3"/>
      <c r="AA172" s="3"/>
      <c r="AB172" s="3"/>
      <c r="AC172" s="4"/>
      <c r="AD172" s="4"/>
      <c r="AE172" s="4"/>
    </row>
    <row r="173" spans="1:31" x14ac:dyDescent="0.35">
      <c r="A173" s="3"/>
      <c r="B173" s="3"/>
      <c r="C173" s="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3"/>
      <c r="Y173" s="3"/>
      <c r="Z173" s="3"/>
      <c r="AA173" s="3"/>
      <c r="AB173" s="3"/>
      <c r="AC173" s="4"/>
      <c r="AD173" s="4"/>
      <c r="AE173" s="4"/>
    </row>
    <row r="174" spans="1:31" x14ac:dyDescent="0.35">
      <c r="A174" s="3"/>
      <c r="B174" s="3"/>
      <c r="C174" s="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3"/>
      <c r="Y174" s="3"/>
      <c r="Z174" s="3"/>
      <c r="AA174" s="3"/>
      <c r="AB174" s="3"/>
      <c r="AC174" s="4"/>
      <c r="AD174" s="4"/>
      <c r="AE174" s="4"/>
    </row>
    <row r="175" spans="1:31" x14ac:dyDescent="0.35">
      <c r="A175" s="3"/>
      <c r="B175" s="3"/>
      <c r="C175" s="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3"/>
      <c r="Y175" s="3"/>
      <c r="Z175" s="3"/>
      <c r="AA175" s="3"/>
      <c r="AB175" s="3"/>
      <c r="AC175" s="4"/>
      <c r="AD175" s="4"/>
      <c r="AE175" s="4"/>
    </row>
    <row r="176" spans="1:31" x14ac:dyDescent="0.35">
      <c r="A176" s="3"/>
      <c r="B176" s="3"/>
      <c r="C176" s="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3"/>
      <c r="Y176" s="3"/>
      <c r="Z176" s="3"/>
      <c r="AA176" s="3"/>
      <c r="AB176" s="3"/>
      <c r="AC176" s="4"/>
      <c r="AD176" s="4"/>
      <c r="AE176" s="4"/>
    </row>
    <row r="177" spans="1:31" x14ac:dyDescent="0.35">
      <c r="A177" s="3"/>
      <c r="B177" s="3"/>
      <c r="C177" s="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3"/>
      <c r="Y177" s="3"/>
      <c r="Z177" s="3"/>
      <c r="AA177" s="3"/>
      <c r="AB177" s="3"/>
      <c r="AC177" s="4"/>
      <c r="AD177" s="4"/>
      <c r="AE177" s="4"/>
    </row>
    <row r="178" spans="1:31" x14ac:dyDescent="0.35">
      <c r="A178" s="3"/>
      <c r="B178" s="3"/>
      <c r="C178" s="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3"/>
      <c r="Y178" s="3"/>
      <c r="Z178" s="3"/>
      <c r="AA178" s="3"/>
      <c r="AB178" s="3"/>
      <c r="AC178" s="4"/>
      <c r="AD178" s="4"/>
      <c r="AE178" s="4"/>
    </row>
    <row r="179" spans="1:31" x14ac:dyDescent="0.35">
      <c r="A179" s="3"/>
      <c r="B179" s="3"/>
      <c r="C179" s="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3"/>
      <c r="Y179" s="3"/>
      <c r="Z179" s="3"/>
      <c r="AA179" s="3"/>
      <c r="AB179" s="3"/>
      <c r="AC179" s="4"/>
      <c r="AD179" s="4"/>
      <c r="AE179" s="4"/>
    </row>
    <row r="180" spans="1:31" x14ac:dyDescent="0.35">
      <c r="A180" s="3"/>
      <c r="B180" s="3"/>
      <c r="C180" s="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3"/>
      <c r="Y180" s="3"/>
      <c r="Z180" s="3"/>
      <c r="AA180" s="3"/>
      <c r="AB180" s="3"/>
      <c r="AC180" s="4"/>
      <c r="AD180" s="4"/>
      <c r="AE180" s="4"/>
    </row>
    <row r="181" spans="1:31" x14ac:dyDescent="0.35">
      <c r="A181" s="3"/>
      <c r="B181" s="3"/>
      <c r="C181" s="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3"/>
      <c r="Y181" s="3"/>
      <c r="Z181" s="3"/>
      <c r="AA181" s="3"/>
      <c r="AB181" s="3"/>
      <c r="AC181" s="4"/>
      <c r="AD181" s="4"/>
      <c r="AE181" s="4"/>
    </row>
    <row r="182" spans="1:31" x14ac:dyDescent="0.35">
      <c r="A182" s="3"/>
      <c r="B182" s="3"/>
      <c r="C182" s="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3"/>
      <c r="Y182" s="3"/>
      <c r="Z182" s="3"/>
      <c r="AA182" s="3"/>
      <c r="AB182" s="3"/>
      <c r="AC182" s="4"/>
      <c r="AD182" s="4"/>
      <c r="AE182" s="4"/>
    </row>
    <row r="183" spans="1:31" x14ac:dyDescent="0.35">
      <c r="A183" s="3"/>
      <c r="B183" s="3"/>
      <c r="C183" s="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3"/>
      <c r="Y183" s="3"/>
      <c r="Z183" s="3"/>
      <c r="AA183" s="3"/>
      <c r="AB183" s="3"/>
      <c r="AC183" s="4"/>
      <c r="AD183" s="4"/>
      <c r="AE183" s="4"/>
    </row>
    <row r="184" spans="1:31" x14ac:dyDescent="0.35">
      <c r="A184" s="3"/>
      <c r="B184" s="3"/>
      <c r="C184" s="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3"/>
      <c r="Y184" s="3"/>
      <c r="Z184" s="3"/>
      <c r="AA184" s="3"/>
      <c r="AB184" s="3"/>
      <c r="AC184" s="4"/>
      <c r="AD184" s="4"/>
      <c r="AE184" s="4"/>
    </row>
    <row r="185" spans="1:31" x14ac:dyDescent="0.35">
      <c r="A185" s="3"/>
      <c r="B185" s="3"/>
      <c r="C185" s="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3"/>
      <c r="Y185" s="3"/>
      <c r="Z185" s="3"/>
      <c r="AA185" s="3"/>
      <c r="AB185" s="3"/>
      <c r="AC185" s="4"/>
      <c r="AD185" s="4"/>
      <c r="AE185" s="4"/>
    </row>
    <row r="186" spans="1:31" x14ac:dyDescent="0.35">
      <c r="A186" s="3"/>
      <c r="B186" s="3"/>
      <c r="C186" s="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3"/>
      <c r="Y186" s="3"/>
      <c r="Z186" s="3"/>
      <c r="AA186" s="3"/>
      <c r="AB186" s="3"/>
      <c r="AC186" s="4"/>
      <c r="AD186" s="4"/>
      <c r="AE186" s="4"/>
    </row>
    <row r="187" spans="1:31" x14ac:dyDescent="0.35">
      <c r="A187" s="3"/>
      <c r="B187" s="3"/>
      <c r="C187" s="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3"/>
      <c r="Y187" s="3"/>
      <c r="Z187" s="3"/>
      <c r="AA187" s="3"/>
      <c r="AB187" s="3"/>
      <c r="AC187" s="4"/>
      <c r="AD187" s="4"/>
      <c r="AE187" s="4"/>
    </row>
    <row r="188" spans="1:31" x14ac:dyDescent="0.35">
      <c r="A188" s="3"/>
      <c r="B188" s="3"/>
      <c r="C188" s="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3"/>
      <c r="Y188" s="3"/>
      <c r="Z188" s="3"/>
      <c r="AA188" s="3"/>
      <c r="AB188" s="3"/>
      <c r="AC188" s="4"/>
      <c r="AD188" s="4"/>
      <c r="AE188" s="4"/>
    </row>
    <row r="189" spans="1:31" x14ac:dyDescent="0.35">
      <c r="A189" s="3"/>
      <c r="B189" s="3"/>
      <c r="C189" s="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3"/>
      <c r="Y189" s="3"/>
      <c r="Z189" s="3"/>
      <c r="AA189" s="3"/>
      <c r="AB189" s="3"/>
      <c r="AC189" s="4"/>
      <c r="AD189" s="4"/>
      <c r="AE189" s="4"/>
    </row>
    <row r="190" spans="1:31" x14ac:dyDescent="0.35">
      <c r="A190" s="3"/>
      <c r="B190" s="3"/>
      <c r="C190" s="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3"/>
      <c r="Y190" s="3"/>
      <c r="Z190" s="3"/>
      <c r="AA190" s="3"/>
      <c r="AB190" s="3"/>
      <c r="AC190" s="4"/>
      <c r="AD190" s="4"/>
      <c r="AE190" s="4"/>
    </row>
    <row r="191" spans="1:31" x14ac:dyDescent="0.35">
      <c r="A191" s="3"/>
      <c r="B191" s="3"/>
      <c r="C191" s="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3"/>
      <c r="Y191" s="3"/>
      <c r="Z191" s="3"/>
      <c r="AA191" s="3"/>
      <c r="AB191" s="3"/>
      <c r="AC191" s="4"/>
      <c r="AD191" s="4"/>
      <c r="AE191" s="4"/>
    </row>
    <row r="192" spans="1:31" x14ac:dyDescent="0.35">
      <c r="A192" s="3"/>
      <c r="B192" s="3"/>
      <c r="C192" s="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3"/>
      <c r="Y192" s="3"/>
      <c r="Z192" s="3"/>
      <c r="AA192" s="3"/>
      <c r="AB192" s="3"/>
      <c r="AC192" s="4"/>
      <c r="AD192" s="4"/>
      <c r="AE192" s="4"/>
    </row>
    <row r="193" spans="1:31" x14ac:dyDescent="0.35">
      <c r="A193" s="3"/>
      <c r="B193" s="3"/>
      <c r="C193" s="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3"/>
      <c r="Y193" s="3"/>
      <c r="Z193" s="3"/>
      <c r="AA193" s="3"/>
      <c r="AB193" s="3"/>
      <c r="AC193" s="4"/>
      <c r="AD193" s="4"/>
      <c r="AE193" s="4"/>
    </row>
    <row r="194" spans="1:31" x14ac:dyDescent="0.35">
      <c r="A194" s="3"/>
      <c r="B194" s="3"/>
      <c r="C194" s="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3"/>
      <c r="Y194" s="3"/>
      <c r="Z194" s="3"/>
      <c r="AA194" s="3"/>
      <c r="AB194" s="3"/>
      <c r="AC194" s="4"/>
      <c r="AD194" s="4"/>
      <c r="AE194" s="4"/>
    </row>
    <row r="195" spans="1:31" x14ac:dyDescent="0.35">
      <c r="A195" s="3"/>
      <c r="B195" s="3"/>
      <c r="C195" s="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3"/>
      <c r="Y195" s="3"/>
      <c r="Z195" s="3"/>
      <c r="AA195" s="3"/>
      <c r="AB195" s="3"/>
      <c r="AC195" s="4"/>
      <c r="AD195" s="4"/>
      <c r="AE195" s="4"/>
    </row>
    <row r="196" spans="1:31" x14ac:dyDescent="0.35">
      <c r="A196" s="3"/>
      <c r="B196" s="3"/>
      <c r="C196" s="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3"/>
      <c r="Y196" s="3"/>
      <c r="Z196" s="3"/>
      <c r="AA196" s="3"/>
      <c r="AB196" s="3"/>
      <c r="AC196" s="4"/>
      <c r="AD196" s="4"/>
      <c r="AE196" s="4"/>
    </row>
    <row r="197" spans="1:31" x14ac:dyDescent="0.35">
      <c r="A197" s="3"/>
      <c r="B197" s="3"/>
      <c r="C197" s="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3"/>
      <c r="Y197" s="3"/>
      <c r="Z197" s="3"/>
      <c r="AA197" s="3"/>
      <c r="AB197" s="3"/>
      <c r="AC197" s="4"/>
      <c r="AD197" s="4"/>
      <c r="AE197" s="4"/>
    </row>
    <row r="198" spans="1:31" x14ac:dyDescent="0.35">
      <c r="A198" s="3"/>
      <c r="B198" s="3"/>
      <c r="C198" s="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3"/>
      <c r="Y198" s="3"/>
      <c r="Z198" s="3"/>
      <c r="AA198" s="3"/>
      <c r="AB198" s="3"/>
      <c r="AC198" s="4"/>
      <c r="AD198" s="4"/>
      <c r="AE198" s="4"/>
    </row>
    <row r="199" spans="1:31" x14ac:dyDescent="0.35">
      <c r="A199" s="3"/>
      <c r="B199" s="3"/>
      <c r="C199" s="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3"/>
      <c r="Y199" s="3"/>
      <c r="Z199" s="3"/>
      <c r="AA199" s="3"/>
      <c r="AB199" s="3"/>
      <c r="AC199" s="4"/>
      <c r="AD199" s="4"/>
      <c r="AE199" s="4"/>
    </row>
    <row r="200" spans="1:31" x14ac:dyDescent="0.35">
      <c r="A200" s="3"/>
      <c r="B200" s="3"/>
      <c r="C200" s="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3"/>
      <c r="Y200" s="3"/>
      <c r="Z200" s="3"/>
      <c r="AA200" s="3"/>
      <c r="AB200" s="3"/>
      <c r="AC200" s="4"/>
      <c r="AD200" s="4"/>
      <c r="AE200" s="4"/>
    </row>
    <row r="201" spans="1:31" x14ac:dyDescent="0.35">
      <c r="A201" s="3"/>
      <c r="B201" s="3"/>
      <c r="C201" s="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3"/>
      <c r="Y201" s="3"/>
      <c r="Z201" s="3"/>
      <c r="AA201" s="3"/>
      <c r="AB201" s="3"/>
      <c r="AC201" s="4"/>
      <c r="AD201" s="4"/>
      <c r="AE201" s="4"/>
    </row>
    <row r="202" spans="1:31" x14ac:dyDescent="0.35">
      <c r="A202" s="3"/>
      <c r="B202" s="3"/>
      <c r="C202" s="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3"/>
      <c r="Y202" s="3"/>
      <c r="Z202" s="3"/>
      <c r="AA202" s="3"/>
      <c r="AB202" s="3"/>
      <c r="AC202" s="4"/>
      <c r="AD202" s="4"/>
      <c r="AE202" s="4"/>
    </row>
    <row r="203" spans="1:31" x14ac:dyDescent="0.35">
      <c r="A203" s="3"/>
      <c r="B203" s="3"/>
      <c r="C203" s="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3"/>
      <c r="Y203" s="3"/>
      <c r="Z203" s="3"/>
      <c r="AA203" s="3"/>
      <c r="AB203" s="3"/>
      <c r="AC203" s="4"/>
      <c r="AD203" s="4"/>
      <c r="AE203" s="4"/>
    </row>
    <row r="204" spans="1:31" x14ac:dyDescent="0.35">
      <c r="A204" s="3"/>
      <c r="B204" s="3"/>
      <c r="C204" s="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3"/>
      <c r="Y204" s="3"/>
      <c r="Z204" s="3"/>
      <c r="AA204" s="3"/>
      <c r="AB204" s="3"/>
      <c r="AC204" s="4"/>
      <c r="AD204" s="4"/>
      <c r="AE204" s="4"/>
    </row>
    <row r="205" spans="1:31" x14ac:dyDescent="0.35">
      <c r="A205" s="3"/>
      <c r="B205" s="3"/>
      <c r="C205" s="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3"/>
      <c r="Y205" s="3"/>
      <c r="Z205" s="3"/>
      <c r="AA205" s="3"/>
      <c r="AB205" s="3"/>
      <c r="AC205" s="4"/>
      <c r="AD205" s="4"/>
      <c r="AE205" s="4"/>
    </row>
    <row r="206" spans="1:31" x14ac:dyDescent="0.35">
      <c r="A206" s="3"/>
      <c r="B206" s="3"/>
      <c r="C206" s="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3"/>
      <c r="Y206" s="3"/>
      <c r="Z206" s="3"/>
      <c r="AA206" s="3"/>
      <c r="AB206" s="3"/>
      <c r="AC206" s="4"/>
      <c r="AD206" s="4"/>
      <c r="AE206" s="4"/>
    </row>
    <row r="207" spans="1:31" x14ac:dyDescent="0.35">
      <c r="A207" s="3"/>
      <c r="B207" s="3"/>
      <c r="C207" s="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3"/>
      <c r="Y207" s="3"/>
      <c r="Z207" s="3"/>
      <c r="AA207" s="3"/>
      <c r="AB207" s="3"/>
      <c r="AC207" s="4"/>
      <c r="AD207" s="4"/>
      <c r="AE207" s="4"/>
    </row>
    <row r="208" spans="1:31" x14ac:dyDescent="0.35">
      <c r="A208" s="3"/>
      <c r="B208" s="3"/>
      <c r="C208" s="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3"/>
      <c r="Y208" s="3"/>
      <c r="Z208" s="3"/>
      <c r="AA208" s="3"/>
      <c r="AB208" s="3"/>
      <c r="AC208" s="4"/>
      <c r="AD208" s="4"/>
      <c r="AE208" s="4"/>
    </row>
    <row r="209" spans="1:31" x14ac:dyDescent="0.35">
      <c r="A209" s="3"/>
      <c r="B209" s="3"/>
      <c r="C209" s="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3"/>
      <c r="Y209" s="3"/>
      <c r="Z209" s="3"/>
      <c r="AA209" s="3"/>
      <c r="AB209" s="3"/>
      <c r="AC209" s="4"/>
      <c r="AD209" s="4"/>
      <c r="AE209" s="4"/>
    </row>
    <row r="210" spans="1:31" x14ac:dyDescent="0.35">
      <c r="A210" s="3"/>
      <c r="B210" s="3"/>
      <c r="C210" s="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3"/>
      <c r="Y210" s="3"/>
      <c r="Z210" s="3"/>
      <c r="AA210" s="3"/>
      <c r="AB210" s="3"/>
      <c r="AC210" s="4"/>
      <c r="AD210" s="4"/>
      <c r="AE210" s="4"/>
    </row>
    <row r="211" spans="1:31" x14ac:dyDescent="0.35">
      <c r="A211" s="3"/>
      <c r="B211" s="3"/>
      <c r="C211" s="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3"/>
      <c r="Y211" s="3"/>
      <c r="Z211" s="3"/>
      <c r="AA211" s="3"/>
      <c r="AB211" s="3"/>
      <c r="AC211" s="4"/>
      <c r="AD211" s="4"/>
      <c r="AE211" s="4"/>
    </row>
    <row r="212" spans="1:31" x14ac:dyDescent="0.35">
      <c r="A212" s="3"/>
      <c r="B212" s="3"/>
      <c r="C212" s="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3"/>
      <c r="Y212" s="3"/>
      <c r="Z212" s="3"/>
      <c r="AA212" s="3"/>
      <c r="AB212" s="3"/>
      <c r="AC212" s="4"/>
      <c r="AD212" s="4"/>
      <c r="AE212" s="4"/>
    </row>
    <row r="213" spans="1:31" x14ac:dyDescent="0.35">
      <c r="A213" s="3"/>
      <c r="B213" s="3"/>
      <c r="C213" s="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3"/>
      <c r="Y213" s="3"/>
      <c r="Z213" s="3"/>
      <c r="AA213" s="3"/>
      <c r="AB213" s="3"/>
      <c r="AC213" s="4"/>
      <c r="AD213" s="4"/>
      <c r="AE213" s="4"/>
    </row>
    <row r="214" spans="1:31" x14ac:dyDescent="0.35">
      <c r="A214" s="3"/>
      <c r="B214" s="3"/>
      <c r="C214" s="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3"/>
      <c r="Y214" s="3"/>
      <c r="Z214" s="3"/>
      <c r="AA214" s="3"/>
      <c r="AB214" s="3"/>
      <c r="AC214" s="4"/>
      <c r="AD214" s="4"/>
      <c r="AE214" s="4"/>
    </row>
    <row r="215" spans="1:31" x14ac:dyDescent="0.35">
      <c r="A215" s="3"/>
      <c r="B215" s="3"/>
      <c r="C215" s="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3"/>
      <c r="Y215" s="3"/>
      <c r="Z215" s="3"/>
      <c r="AA215" s="3"/>
      <c r="AB215" s="3"/>
      <c r="AC215" s="4"/>
      <c r="AD215" s="4"/>
      <c r="AE215" s="4"/>
    </row>
    <row r="216" spans="1:31" x14ac:dyDescent="0.35">
      <c r="A216" s="3"/>
      <c r="B216" s="3"/>
      <c r="C216" s="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3"/>
      <c r="Y216" s="3"/>
      <c r="Z216" s="3"/>
      <c r="AA216" s="3"/>
      <c r="AB216" s="3"/>
      <c r="AC216" s="4"/>
      <c r="AD216" s="4"/>
      <c r="AE216" s="4"/>
    </row>
    <row r="217" spans="1:31" x14ac:dyDescent="0.35">
      <c r="A217" s="3"/>
      <c r="B217" s="3"/>
      <c r="C217" s="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3"/>
      <c r="Y217" s="3"/>
      <c r="Z217" s="3"/>
      <c r="AA217" s="3"/>
      <c r="AB217" s="3"/>
      <c r="AC217" s="4"/>
      <c r="AD217" s="4"/>
      <c r="AE217" s="4"/>
    </row>
    <row r="218" spans="1:31" x14ac:dyDescent="0.35">
      <c r="A218" s="3"/>
      <c r="B218" s="3"/>
      <c r="C218" s="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3"/>
      <c r="Y218" s="3"/>
      <c r="Z218" s="3"/>
      <c r="AA218" s="3"/>
      <c r="AB218" s="3"/>
      <c r="AC218" s="4"/>
      <c r="AD218" s="4"/>
      <c r="AE218" s="4"/>
    </row>
    <row r="219" spans="1:31" x14ac:dyDescent="0.35">
      <c r="A219" s="3"/>
      <c r="B219" s="3"/>
      <c r="C219" s="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3"/>
      <c r="Y219" s="3"/>
      <c r="Z219" s="3"/>
      <c r="AA219" s="3"/>
      <c r="AB219" s="3"/>
      <c r="AC219" s="4"/>
      <c r="AD219" s="4"/>
      <c r="AE219" s="4"/>
    </row>
    <row r="220" spans="1:31" x14ac:dyDescent="0.35">
      <c r="A220" s="3"/>
      <c r="B220" s="3"/>
      <c r="C220" s="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3"/>
      <c r="Y220" s="3"/>
      <c r="Z220" s="3"/>
      <c r="AA220" s="3"/>
      <c r="AB220" s="3"/>
      <c r="AC220" s="4"/>
      <c r="AD220" s="4"/>
      <c r="AE220" s="4"/>
    </row>
    <row r="221" spans="1:31" x14ac:dyDescent="0.35">
      <c r="A221" s="3"/>
      <c r="B221" s="3"/>
      <c r="C221" s="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3"/>
      <c r="Y221" s="3"/>
      <c r="Z221" s="3"/>
      <c r="AA221" s="3"/>
      <c r="AB221" s="3"/>
      <c r="AC221" s="4"/>
      <c r="AD221" s="4"/>
      <c r="AE221" s="4"/>
    </row>
    <row r="222" spans="1:31" x14ac:dyDescent="0.35">
      <c r="A222" s="3"/>
      <c r="B222" s="3"/>
      <c r="C222" s="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3"/>
      <c r="Y222" s="3"/>
      <c r="Z222" s="3"/>
      <c r="AA222" s="3"/>
      <c r="AB222" s="3"/>
      <c r="AC222" s="4"/>
      <c r="AD222" s="4"/>
      <c r="AE222" s="4"/>
    </row>
    <row r="223" spans="1:31" x14ac:dyDescent="0.35">
      <c r="A223" s="3"/>
      <c r="B223" s="3"/>
      <c r="C223" s="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3"/>
      <c r="Y223" s="3"/>
      <c r="Z223" s="3"/>
      <c r="AA223" s="3"/>
      <c r="AB223" s="3"/>
      <c r="AC223" s="4"/>
      <c r="AD223" s="4"/>
      <c r="AE223" s="4"/>
    </row>
    <row r="224" spans="1:31" x14ac:dyDescent="0.35">
      <c r="A224" s="3"/>
      <c r="B224" s="3"/>
      <c r="C224" s="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3"/>
      <c r="Y224" s="3"/>
      <c r="Z224" s="3"/>
      <c r="AA224" s="3"/>
      <c r="AB224" s="3"/>
      <c r="AC224" s="4"/>
      <c r="AD224" s="4"/>
      <c r="AE224" s="4"/>
    </row>
    <row r="225" spans="1:31" x14ac:dyDescent="0.35">
      <c r="A225" s="3"/>
      <c r="B225" s="3"/>
      <c r="C225" s="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3"/>
      <c r="Y225" s="3"/>
      <c r="Z225" s="3"/>
      <c r="AA225" s="3"/>
      <c r="AB225" s="3"/>
      <c r="AC225" s="4"/>
      <c r="AD225" s="4"/>
      <c r="AE225" s="4"/>
    </row>
    <row r="226" spans="1:31" x14ac:dyDescent="0.35">
      <c r="A226" s="3"/>
      <c r="B226" s="3"/>
      <c r="C226" s="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3"/>
      <c r="Y226" s="3"/>
      <c r="Z226" s="3"/>
      <c r="AA226" s="3"/>
      <c r="AB226" s="3"/>
      <c r="AC226" s="4"/>
      <c r="AD226" s="4"/>
      <c r="AE226" s="4"/>
    </row>
    <row r="227" spans="1:31" x14ac:dyDescent="0.35">
      <c r="A227" s="3"/>
      <c r="B227" s="3"/>
      <c r="C227" s="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3"/>
      <c r="Y227" s="3"/>
      <c r="Z227" s="3"/>
      <c r="AA227" s="3"/>
      <c r="AB227" s="3"/>
      <c r="AC227" s="4"/>
      <c r="AD227" s="4"/>
      <c r="AE227" s="4"/>
    </row>
    <row r="228" spans="1:31" x14ac:dyDescent="0.35">
      <c r="A228" s="3"/>
      <c r="B228" s="3"/>
      <c r="C228" s="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3"/>
      <c r="Y228" s="3"/>
      <c r="Z228" s="3"/>
      <c r="AA228" s="3"/>
      <c r="AB228" s="3"/>
      <c r="AC228" s="4"/>
      <c r="AD228" s="4"/>
      <c r="AE228" s="4"/>
    </row>
    <row r="229" spans="1:31" x14ac:dyDescent="0.35">
      <c r="A229" s="3"/>
      <c r="B229" s="3"/>
      <c r="C229" s="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3"/>
      <c r="Y229" s="3"/>
      <c r="Z229" s="3"/>
      <c r="AA229" s="3"/>
      <c r="AB229" s="3"/>
      <c r="AC229" s="4"/>
      <c r="AD229" s="4"/>
      <c r="AE229" s="4"/>
    </row>
    <row r="230" spans="1:31" x14ac:dyDescent="0.35">
      <c r="A230" s="3"/>
      <c r="B230" s="3"/>
      <c r="C230" s="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3"/>
      <c r="Y230" s="3"/>
      <c r="Z230" s="3"/>
      <c r="AA230" s="3"/>
      <c r="AB230" s="3"/>
      <c r="AC230" s="4"/>
      <c r="AD230" s="4"/>
      <c r="AE230" s="4"/>
    </row>
    <row r="231" spans="1:31" x14ac:dyDescent="0.35">
      <c r="A231" s="3"/>
      <c r="B231" s="3"/>
      <c r="C231" s="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3"/>
      <c r="Y231" s="3"/>
      <c r="Z231" s="3"/>
      <c r="AA231" s="3"/>
      <c r="AB231" s="3"/>
      <c r="AC231" s="4"/>
      <c r="AD231" s="4"/>
      <c r="AE231" s="4"/>
    </row>
    <row r="232" spans="1:31" x14ac:dyDescent="0.35">
      <c r="A232" s="3"/>
      <c r="B232" s="3"/>
      <c r="C232" s="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3"/>
      <c r="Y232" s="3"/>
      <c r="Z232" s="3"/>
      <c r="AA232" s="3"/>
      <c r="AB232" s="3"/>
      <c r="AC232" s="4"/>
      <c r="AD232" s="4"/>
      <c r="AE232" s="4"/>
    </row>
    <row r="233" spans="1:31" x14ac:dyDescent="0.35">
      <c r="A233" s="3"/>
      <c r="B233" s="3"/>
      <c r="C233" s="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3"/>
      <c r="Y233" s="3"/>
      <c r="Z233" s="3"/>
      <c r="AA233" s="3"/>
      <c r="AB233" s="3"/>
      <c r="AC233" s="4"/>
      <c r="AD233" s="4"/>
      <c r="AE233" s="4"/>
    </row>
    <row r="234" spans="1:31" x14ac:dyDescent="0.35">
      <c r="A234" s="3"/>
      <c r="B234" s="3"/>
      <c r="C234" s="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3"/>
      <c r="Y234" s="3"/>
      <c r="Z234" s="3"/>
      <c r="AA234" s="3"/>
      <c r="AB234" s="3"/>
      <c r="AC234" s="4"/>
      <c r="AD234" s="4"/>
      <c r="AE234" s="4"/>
    </row>
    <row r="235" spans="1:31" x14ac:dyDescent="0.35">
      <c r="A235" s="3"/>
      <c r="B235" s="3"/>
      <c r="C235" s="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3"/>
      <c r="Y235" s="3"/>
      <c r="Z235" s="3"/>
      <c r="AA235" s="3"/>
      <c r="AB235" s="3"/>
      <c r="AC235" s="4"/>
      <c r="AD235" s="4"/>
      <c r="AE235" s="4"/>
    </row>
    <row r="236" spans="1:31" x14ac:dyDescent="0.35">
      <c r="A236" s="3"/>
      <c r="B236" s="3"/>
      <c r="C236" s="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3"/>
      <c r="Y236" s="3"/>
      <c r="Z236" s="3"/>
      <c r="AA236" s="3"/>
      <c r="AB236" s="3"/>
      <c r="AC236" s="4"/>
      <c r="AD236" s="4"/>
      <c r="AE236" s="4"/>
    </row>
    <row r="237" spans="1:31" x14ac:dyDescent="0.35">
      <c r="A237" s="3"/>
      <c r="B237" s="3"/>
      <c r="C237" s="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3"/>
      <c r="Y237" s="3"/>
      <c r="Z237" s="3"/>
      <c r="AA237" s="3"/>
      <c r="AB237" s="3"/>
      <c r="AC237" s="4"/>
      <c r="AD237" s="4"/>
      <c r="AE237" s="4"/>
    </row>
    <row r="238" spans="1:31" x14ac:dyDescent="0.35">
      <c r="A238" s="3"/>
      <c r="B238" s="3"/>
      <c r="C238" s="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3"/>
      <c r="Y238" s="3"/>
      <c r="Z238" s="3"/>
      <c r="AA238" s="3"/>
      <c r="AB238" s="3"/>
      <c r="AC238" s="4"/>
      <c r="AD238" s="4"/>
      <c r="AE238" s="4"/>
    </row>
    <row r="239" spans="1:31" x14ac:dyDescent="0.35">
      <c r="A239" s="3"/>
      <c r="B239" s="3"/>
      <c r="C239" s="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3"/>
      <c r="Y239" s="3"/>
      <c r="Z239" s="3"/>
      <c r="AA239" s="3"/>
      <c r="AB239" s="3"/>
      <c r="AC239" s="4"/>
      <c r="AD239" s="4"/>
      <c r="AE239" s="4"/>
    </row>
    <row r="240" spans="1:31" x14ac:dyDescent="0.35">
      <c r="A240" s="3"/>
      <c r="B240" s="3"/>
      <c r="C240" s="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3"/>
      <c r="Y240" s="3"/>
      <c r="Z240" s="3"/>
      <c r="AA240" s="3"/>
      <c r="AB240" s="3"/>
      <c r="AC240" s="4"/>
      <c r="AD240" s="4"/>
      <c r="AE240" s="4"/>
    </row>
    <row r="241" spans="1:31" x14ac:dyDescent="0.35">
      <c r="A241" s="3"/>
      <c r="B241" s="3"/>
      <c r="C241" s="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3"/>
      <c r="Y241" s="3"/>
      <c r="Z241" s="3"/>
      <c r="AA241" s="3"/>
      <c r="AB241" s="3"/>
      <c r="AC241" s="4"/>
      <c r="AD241" s="4"/>
      <c r="AE241" s="4"/>
    </row>
    <row r="242" spans="1:31" x14ac:dyDescent="0.35">
      <c r="A242" s="3"/>
      <c r="B242" s="3"/>
      <c r="C242" s="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3"/>
      <c r="Y242" s="3"/>
      <c r="Z242" s="3"/>
      <c r="AA242" s="3"/>
      <c r="AB242" s="3"/>
      <c r="AC242" s="4"/>
      <c r="AD242" s="4"/>
      <c r="AE242" s="4"/>
    </row>
    <row r="243" spans="1:31" x14ac:dyDescent="0.35">
      <c r="A243" s="3"/>
      <c r="B243" s="3"/>
      <c r="C243" s="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3"/>
      <c r="Y243" s="3"/>
      <c r="Z243" s="3"/>
      <c r="AA243" s="3"/>
      <c r="AB243" s="3"/>
      <c r="AC243" s="4"/>
      <c r="AD243" s="4"/>
      <c r="AE243" s="4"/>
    </row>
    <row r="244" spans="1:31" x14ac:dyDescent="0.35">
      <c r="A244" s="3"/>
      <c r="B244" s="3"/>
      <c r="C244" s="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3"/>
      <c r="Y244" s="3"/>
      <c r="Z244" s="3"/>
      <c r="AA244" s="3"/>
      <c r="AB244" s="3"/>
      <c r="AC244" s="4"/>
      <c r="AD244" s="4"/>
      <c r="AE244" s="4"/>
    </row>
    <row r="245" spans="1:31" x14ac:dyDescent="0.35">
      <c r="A245" s="3"/>
      <c r="B245" s="3"/>
      <c r="C245" s="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3"/>
      <c r="Y245" s="3"/>
      <c r="Z245" s="3"/>
      <c r="AA245" s="3"/>
      <c r="AB245" s="3"/>
      <c r="AC245" s="4"/>
      <c r="AD245" s="4"/>
      <c r="AE245" s="4"/>
    </row>
    <row r="246" spans="1:31" x14ac:dyDescent="0.35">
      <c r="A246" s="3"/>
      <c r="B246" s="3"/>
      <c r="C246" s="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3"/>
      <c r="Y246" s="3"/>
      <c r="Z246" s="3"/>
      <c r="AA246" s="3"/>
      <c r="AB246" s="3"/>
      <c r="AC246" s="4"/>
      <c r="AD246" s="4"/>
      <c r="AE246" s="4"/>
    </row>
    <row r="247" spans="1:31" x14ac:dyDescent="0.35">
      <c r="A247" s="3"/>
      <c r="B247" s="3"/>
      <c r="C247" s="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3"/>
      <c r="Y247" s="3"/>
      <c r="Z247" s="3"/>
      <c r="AA247" s="3"/>
      <c r="AB247" s="3"/>
      <c r="AC247" s="4"/>
      <c r="AD247" s="4"/>
      <c r="AE247" s="4"/>
    </row>
    <row r="248" spans="1:31" x14ac:dyDescent="0.35">
      <c r="A248" s="3"/>
      <c r="B248" s="3"/>
      <c r="C248" s="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3"/>
      <c r="Y248" s="3"/>
      <c r="Z248" s="3"/>
      <c r="AA248" s="3"/>
      <c r="AB248" s="3"/>
      <c r="AC248" s="4"/>
      <c r="AD248" s="4"/>
      <c r="AE248" s="4"/>
    </row>
    <row r="249" spans="1:31" x14ac:dyDescent="0.35">
      <c r="A249" s="3"/>
      <c r="B249" s="3"/>
      <c r="C249" s="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3"/>
      <c r="Y249" s="3"/>
      <c r="Z249" s="3"/>
      <c r="AA249" s="3"/>
      <c r="AB249" s="3"/>
      <c r="AC249" s="4"/>
      <c r="AD249" s="4"/>
      <c r="AE249" s="4"/>
    </row>
    <row r="250" spans="1:31" x14ac:dyDescent="0.35">
      <c r="A250" s="3"/>
      <c r="B250" s="3"/>
      <c r="C250" s="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3"/>
      <c r="Y250" s="3"/>
      <c r="Z250" s="3"/>
      <c r="AA250" s="3"/>
      <c r="AB250" s="3"/>
      <c r="AC250" s="4"/>
      <c r="AD250" s="4"/>
      <c r="AE250" s="4"/>
    </row>
    <row r="251" spans="1:31" x14ac:dyDescent="0.35">
      <c r="A251" s="3"/>
      <c r="B251" s="3"/>
      <c r="C251" s="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3"/>
      <c r="Y251" s="3"/>
      <c r="Z251" s="3"/>
      <c r="AA251" s="3"/>
      <c r="AB251" s="3"/>
      <c r="AC251" s="4"/>
      <c r="AD251" s="4"/>
      <c r="AE251" s="4"/>
    </row>
    <row r="252" spans="1:31" x14ac:dyDescent="0.35">
      <c r="A252" s="3"/>
      <c r="B252" s="3"/>
      <c r="C252" s="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3"/>
      <c r="Y252" s="3"/>
      <c r="Z252" s="3"/>
      <c r="AA252" s="3"/>
      <c r="AB252" s="3"/>
      <c r="AC252" s="4"/>
      <c r="AD252" s="4"/>
      <c r="AE252" s="4"/>
    </row>
    <row r="253" spans="1:31" x14ac:dyDescent="0.35">
      <c r="A253" s="3"/>
      <c r="B253" s="3"/>
      <c r="C253" s="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3"/>
      <c r="Y253" s="3"/>
      <c r="Z253" s="3"/>
      <c r="AA253" s="3"/>
      <c r="AB253" s="3"/>
      <c r="AC253" s="4"/>
      <c r="AD253" s="4"/>
      <c r="AE253" s="4"/>
    </row>
    <row r="254" spans="1:31" x14ac:dyDescent="0.35">
      <c r="A254" s="3"/>
      <c r="B254" s="3"/>
      <c r="C254" s="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3"/>
      <c r="Y254" s="3"/>
      <c r="Z254" s="3"/>
      <c r="AA254" s="3"/>
      <c r="AB254" s="3"/>
      <c r="AC254" s="4"/>
      <c r="AD254" s="4"/>
      <c r="AE254" s="4"/>
    </row>
    <row r="255" spans="1:31" x14ac:dyDescent="0.35">
      <c r="A255" s="3"/>
      <c r="B255" s="3"/>
      <c r="C255" s="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3"/>
      <c r="Y255" s="3"/>
      <c r="Z255" s="3"/>
      <c r="AA255" s="3"/>
      <c r="AB255" s="3"/>
      <c r="AC255" s="4"/>
      <c r="AD255" s="4"/>
      <c r="AE255" s="4"/>
    </row>
    <row r="256" spans="1:31" x14ac:dyDescent="0.35">
      <c r="A256" s="3"/>
      <c r="B256" s="3"/>
      <c r="C256" s="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3"/>
      <c r="Y256" s="3"/>
      <c r="Z256" s="3"/>
      <c r="AA256" s="3"/>
      <c r="AB256" s="3"/>
      <c r="AC256" s="4"/>
      <c r="AD256" s="4"/>
      <c r="AE256" s="4"/>
    </row>
    <row r="257" spans="1:31" x14ac:dyDescent="0.35">
      <c r="A257" s="3"/>
      <c r="B257" s="3"/>
      <c r="C257" s="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3"/>
      <c r="Y257" s="3"/>
      <c r="Z257" s="3"/>
      <c r="AA257" s="3"/>
      <c r="AB257" s="3"/>
      <c r="AC257" s="4"/>
      <c r="AD257" s="4"/>
      <c r="AE257" s="4"/>
    </row>
    <row r="258" spans="1:31" x14ac:dyDescent="0.35">
      <c r="A258" s="3"/>
      <c r="B258" s="3"/>
      <c r="C258" s="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3"/>
      <c r="Y258" s="3"/>
      <c r="Z258" s="3"/>
      <c r="AA258" s="3"/>
      <c r="AB258" s="3"/>
      <c r="AC258" s="4"/>
      <c r="AD258" s="4"/>
      <c r="AE258" s="4"/>
    </row>
    <row r="259" spans="1:31" x14ac:dyDescent="0.35">
      <c r="A259" s="3"/>
      <c r="B259" s="3"/>
      <c r="C259" s="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3"/>
      <c r="Y259" s="3"/>
      <c r="Z259" s="3"/>
      <c r="AA259" s="3"/>
      <c r="AB259" s="3"/>
      <c r="AC259" s="4"/>
      <c r="AD259" s="4"/>
      <c r="AE259" s="4"/>
    </row>
    <row r="260" spans="1:31" x14ac:dyDescent="0.35">
      <c r="A260" s="3"/>
      <c r="B260" s="3"/>
      <c r="C260" s="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3"/>
      <c r="Y260" s="3"/>
      <c r="Z260" s="3"/>
      <c r="AA260" s="3"/>
      <c r="AB260" s="3"/>
      <c r="AC260" s="4"/>
      <c r="AD260" s="4"/>
      <c r="AE260" s="4"/>
    </row>
    <row r="261" spans="1:31" x14ac:dyDescent="0.35">
      <c r="A261" s="3"/>
      <c r="B261" s="3"/>
      <c r="C261" s="3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3"/>
      <c r="Y261" s="3"/>
      <c r="Z261" s="3"/>
      <c r="AA261" s="3"/>
      <c r="AB261" s="3"/>
      <c r="AC261" s="4"/>
      <c r="AD261" s="4"/>
      <c r="AE261" s="4"/>
    </row>
    <row r="262" spans="1:31" x14ac:dyDescent="0.35">
      <c r="A262" s="3"/>
      <c r="B262" s="3"/>
      <c r="C262" s="3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3"/>
      <c r="Y262" s="3"/>
      <c r="Z262" s="3"/>
      <c r="AA262" s="3"/>
      <c r="AB262" s="3"/>
      <c r="AC262" s="4"/>
      <c r="AD262" s="4"/>
      <c r="AE262" s="4"/>
    </row>
    <row r="263" spans="1:31" x14ac:dyDescent="0.35">
      <c r="A263" s="3"/>
      <c r="B263" s="3"/>
      <c r="C263" s="3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3"/>
      <c r="Y263" s="3"/>
      <c r="Z263" s="3"/>
      <c r="AA263" s="3"/>
      <c r="AB263" s="3"/>
      <c r="AC263" s="4"/>
      <c r="AD263" s="4"/>
      <c r="AE263" s="4"/>
    </row>
    <row r="264" spans="1:31" x14ac:dyDescent="0.35">
      <c r="A264" s="3"/>
      <c r="B264" s="3"/>
      <c r="C264" s="3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3"/>
      <c r="Y264" s="3"/>
      <c r="Z264" s="3"/>
      <c r="AA264" s="3"/>
      <c r="AB264" s="3"/>
      <c r="AC264" s="4"/>
      <c r="AD264" s="4"/>
      <c r="AE264" s="4"/>
    </row>
    <row r="265" spans="1:31" x14ac:dyDescent="0.3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4"/>
      <c r="AD265" s="4"/>
      <c r="AE265" s="4"/>
    </row>
    <row r="266" spans="1:31" x14ac:dyDescent="0.3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4"/>
      <c r="AD266" s="4"/>
      <c r="AE266" s="4"/>
    </row>
    <row r="267" spans="1:31" x14ac:dyDescent="0.3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4"/>
      <c r="AD267" s="4"/>
      <c r="AE267" s="4"/>
    </row>
    <row r="268" spans="1:31" x14ac:dyDescent="0.3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4"/>
      <c r="AD268" s="4"/>
      <c r="AE268" s="4"/>
    </row>
    <row r="269" spans="1:31" x14ac:dyDescent="0.3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4"/>
      <c r="AD269" s="4"/>
      <c r="AE269" s="4"/>
    </row>
    <row r="270" spans="1:31" x14ac:dyDescent="0.3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x14ac:dyDescent="0.3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x14ac:dyDescent="0.3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x14ac:dyDescent="0.3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x14ac:dyDescent="0.3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x14ac:dyDescent="0.3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x14ac:dyDescent="0.3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x14ac:dyDescent="0.3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x14ac:dyDescent="0.3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x14ac:dyDescent="0.3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x14ac:dyDescent="0.3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x14ac:dyDescent="0.3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x14ac:dyDescent="0.3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x14ac:dyDescent="0.3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x14ac:dyDescent="0.3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x14ac:dyDescent="0.3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x14ac:dyDescent="0.3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x14ac:dyDescent="0.3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x14ac:dyDescent="0.3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x14ac:dyDescent="0.3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x14ac:dyDescent="0.3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x14ac:dyDescent="0.3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x14ac:dyDescent="0.3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x14ac:dyDescent="0.3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x14ac:dyDescent="0.3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x14ac:dyDescent="0.3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x14ac:dyDescent="0.3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x14ac:dyDescent="0.3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x14ac:dyDescent="0.3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x14ac:dyDescent="0.3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x14ac:dyDescent="0.3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x14ac:dyDescent="0.3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x14ac:dyDescent="0.3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x14ac:dyDescent="0.3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x14ac:dyDescent="0.3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x14ac:dyDescent="0.3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x14ac:dyDescent="0.3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x14ac:dyDescent="0.3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x14ac:dyDescent="0.3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x14ac:dyDescent="0.3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x14ac:dyDescent="0.3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x14ac:dyDescent="0.3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x14ac:dyDescent="0.3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x14ac:dyDescent="0.3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x14ac:dyDescent="0.3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x14ac:dyDescent="0.3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x14ac:dyDescent="0.3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x14ac:dyDescent="0.3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x14ac:dyDescent="0.3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x14ac:dyDescent="0.3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x14ac:dyDescent="0.3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x14ac:dyDescent="0.3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x14ac:dyDescent="0.3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x14ac:dyDescent="0.3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x14ac:dyDescent="0.3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x14ac:dyDescent="0.3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x14ac:dyDescent="0.3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x14ac:dyDescent="0.3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x14ac:dyDescent="0.3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x14ac:dyDescent="0.3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x14ac:dyDescent="0.3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x14ac:dyDescent="0.3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x14ac:dyDescent="0.3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x14ac:dyDescent="0.3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x14ac:dyDescent="0.3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x14ac:dyDescent="0.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x14ac:dyDescent="0.3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x14ac:dyDescent="0.3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x14ac:dyDescent="0.3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x14ac:dyDescent="0.3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x14ac:dyDescent="0.3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x14ac:dyDescent="0.3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x14ac:dyDescent="0.3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x14ac:dyDescent="0.3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x14ac:dyDescent="0.3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x14ac:dyDescent="0.3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x14ac:dyDescent="0.3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x14ac:dyDescent="0.3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x14ac:dyDescent="0.3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x14ac:dyDescent="0.3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x14ac:dyDescent="0.3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x14ac:dyDescent="0.3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x14ac:dyDescent="0.3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x14ac:dyDescent="0.3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x14ac:dyDescent="0.3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x14ac:dyDescent="0.3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x14ac:dyDescent="0.3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x14ac:dyDescent="0.3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x14ac:dyDescent="0.3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x14ac:dyDescent="0.3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x14ac:dyDescent="0.3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x14ac:dyDescent="0.3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x14ac:dyDescent="0.3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x14ac:dyDescent="0.3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x14ac:dyDescent="0.3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x14ac:dyDescent="0.3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x14ac:dyDescent="0.3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x14ac:dyDescent="0.3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x14ac:dyDescent="0.3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x14ac:dyDescent="0.3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x14ac:dyDescent="0.3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x14ac:dyDescent="0.3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x14ac:dyDescent="0.3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x14ac:dyDescent="0.3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x14ac:dyDescent="0.3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x14ac:dyDescent="0.3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x14ac:dyDescent="0.3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x14ac:dyDescent="0.3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x14ac:dyDescent="0.3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x14ac:dyDescent="0.3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x14ac:dyDescent="0.3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x14ac:dyDescent="0.3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x14ac:dyDescent="0.3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x14ac:dyDescent="0.3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x14ac:dyDescent="0.3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x14ac:dyDescent="0.3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x14ac:dyDescent="0.3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x14ac:dyDescent="0.3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x14ac:dyDescent="0.3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x14ac:dyDescent="0.3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x14ac:dyDescent="0.3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x14ac:dyDescent="0.3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x14ac:dyDescent="0.3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x14ac:dyDescent="0.3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x14ac:dyDescent="0.3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x14ac:dyDescent="0.3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x14ac:dyDescent="0.3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x14ac:dyDescent="0.3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x14ac:dyDescent="0.3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x14ac:dyDescent="0.3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x14ac:dyDescent="0.3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x14ac:dyDescent="0.3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x14ac:dyDescent="0.3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x14ac:dyDescent="0.3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x14ac:dyDescent="0.3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x14ac:dyDescent="0.3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x14ac:dyDescent="0.3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x14ac:dyDescent="0.3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x14ac:dyDescent="0.3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x14ac:dyDescent="0.3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x14ac:dyDescent="0.3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x14ac:dyDescent="0.3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x14ac:dyDescent="0.3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x14ac:dyDescent="0.3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x14ac:dyDescent="0.3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x14ac:dyDescent="0.3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x14ac:dyDescent="0.3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x14ac:dyDescent="0.3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x14ac:dyDescent="0.3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x14ac:dyDescent="0.3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x14ac:dyDescent="0.3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x14ac:dyDescent="0.3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x14ac:dyDescent="0.3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x14ac:dyDescent="0.3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x14ac:dyDescent="0.3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x14ac:dyDescent="0.3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x14ac:dyDescent="0.3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x14ac:dyDescent="0.3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x14ac:dyDescent="0.3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x14ac:dyDescent="0.3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x14ac:dyDescent="0.3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x14ac:dyDescent="0.3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x14ac:dyDescent="0.3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x14ac:dyDescent="0.3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x14ac:dyDescent="0.3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x14ac:dyDescent="0.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x14ac:dyDescent="0.3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x14ac:dyDescent="0.3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x14ac:dyDescent="0.3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x14ac:dyDescent="0.3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x14ac:dyDescent="0.3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x14ac:dyDescent="0.3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x14ac:dyDescent="0.3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x14ac:dyDescent="0.3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x14ac:dyDescent="0.3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x14ac:dyDescent="0.3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x14ac:dyDescent="0.3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x14ac:dyDescent="0.3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x14ac:dyDescent="0.3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x14ac:dyDescent="0.3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x14ac:dyDescent="0.3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x14ac:dyDescent="0.3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x14ac:dyDescent="0.3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x14ac:dyDescent="0.3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x14ac:dyDescent="0.3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x14ac:dyDescent="0.3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x14ac:dyDescent="0.3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x14ac:dyDescent="0.3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x14ac:dyDescent="0.3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x14ac:dyDescent="0.3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x14ac:dyDescent="0.3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x14ac:dyDescent="0.3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x14ac:dyDescent="0.3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x14ac:dyDescent="0.3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x14ac:dyDescent="0.3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x14ac:dyDescent="0.3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x14ac:dyDescent="0.3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x14ac:dyDescent="0.3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x14ac:dyDescent="0.3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x14ac:dyDescent="0.3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x14ac:dyDescent="0.3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x14ac:dyDescent="0.3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x14ac:dyDescent="0.3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x14ac:dyDescent="0.3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x14ac:dyDescent="0.3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x14ac:dyDescent="0.3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x14ac:dyDescent="0.3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x14ac:dyDescent="0.3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x14ac:dyDescent="0.3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x14ac:dyDescent="0.3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x14ac:dyDescent="0.3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x14ac:dyDescent="0.3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x14ac:dyDescent="0.3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x14ac:dyDescent="0.3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x14ac:dyDescent="0.3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x14ac:dyDescent="0.3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x14ac:dyDescent="0.3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x14ac:dyDescent="0.3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x14ac:dyDescent="0.3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x14ac:dyDescent="0.3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x14ac:dyDescent="0.3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x14ac:dyDescent="0.3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x14ac:dyDescent="0.3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x14ac:dyDescent="0.3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x14ac:dyDescent="0.3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x14ac:dyDescent="0.3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x14ac:dyDescent="0.3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x14ac:dyDescent="0.3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x14ac:dyDescent="0.3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x14ac:dyDescent="0.3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x14ac:dyDescent="0.3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x14ac:dyDescent="0.3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x14ac:dyDescent="0.3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x14ac:dyDescent="0.3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x14ac:dyDescent="0.3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x14ac:dyDescent="0.3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x14ac:dyDescent="0.3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x14ac:dyDescent="0.3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x14ac:dyDescent="0.3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x14ac:dyDescent="0.3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x14ac:dyDescent="0.3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x14ac:dyDescent="0.3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x14ac:dyDescent="0.3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x14ac:dyDescent="0.3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x14ac:dyDescent="0.3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x14ac:dyDescent="0.3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x14ac:dyDescent="0.3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x14ac:dyDescent="0.3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x14ac:dyDescent="0.3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x14ac:dyDescent="0.3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x14ac:dyDescent="0.3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x14ac:dyDescent="0.3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x14ac:dyDescent="0.3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x14ac:dyDescent="0.3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x14ac:dyDescent="0.3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x14ac:dyDescent="0.3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x14ac:dyDescent="0.3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x14ac:dyDescent="0.3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x14ac:dyDescent="0.3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x14ac:dyDescent="0.3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x14ac:dyDescent="0.3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x14ac:dyDescent="0.3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x14ac:dyDescent="0.3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x14ac:dyDescent="0.3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x14ac:dyDescent="0.3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x14ac:dyDescent="0.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x14ac:dyDescent="0.3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x14ac:dyDescent="0.3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x14ac:dyDescent="0.3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x14ac:dyDescent="0.3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x14ac:dyDescent="0.3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x14ac:dyDescent="0.3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x14ac:dyDescent="0.3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x14ac:dyDescent="0.3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x14ac:dyDescent="0.3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x14ac:dyDescent="0.3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x14ac:dyDescent="0.3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x14ac:dyDescent="0.3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x14ac:dyDescent="0.3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x14ac:dyDescent="0.3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x14ac:dyDescent="0.3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x14ac:dyDescent="0.3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x14ac:dyDescent="0.3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x14ac:dyDescent="0.3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x14ac:dyDescent="0.3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x14ac:dyDescent="0.3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x14ac:dyDescent="0.3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x14ac:dyDescent="0.3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x14ac:dyDescent="0.3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x14ac:dyDescent="0.3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x14ac:dyDescent="0.3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x14ac:dyDescent="0.3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x14ac:dyDescent="0.3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x14ac:dyDescent="0.3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x14ac:dyDescent="0.3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x14ac:dyDescent="0.3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x14ac:dyDescent="0.3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x14ac:dyDescent="0.3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x14ac:dyDescent="0.3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x14ac:dyDescent="0.3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x14ac:dyDescent="0.3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x14ac:dyDescent="0.3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x14ac:dyDescent="0.3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x14ac:dyDescent="0.3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x14ac:dyDescent="0.3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x14ac:dyDescent="0.3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x14ac:dyDescent="0.3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x14ac:dyDescent="0.3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x14ac:dyDescent="0.3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x14ac:dyDescent="0.3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x14ac:dyDescent="0.3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x14ac:dyDescent="0.3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x14ac:dyDescent="0.3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x14ac:dyDescent="0.3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x14ac:dyDescent="0.3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x14ac:dyDescent="0.3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x14ac:dyDescent="0.3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x14ac:dyDescent="0.3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x14ac:dyDescent="0.3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x14ac:dyDescent="0.3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x14ac:dyDescent="0.3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x14ac:dyDescent="0.3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x14ac:dyDescent="0.3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x14ac:dyDescent="0.3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x14ac:dyDescent="0.3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x14ac:dyDescent="0.3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x14ac:dyDescent="0.3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x14ac:dyDescent="0.3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x14ac:dyDescent="0.3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x14ac:dyDescent="0.3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x14ac:dyDescent="0.3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x14ac:dyDescent="0.3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x14ac:dyDescent="0.3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x14ac:dyDescent="0.3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x14ac:dyDescent="0.3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x14ac:dyDescent="0.3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x14ac:dyDescent="0.3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x14ac:dyDescent="0.3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x14ac:dyDescent="0.3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x14ac:dyDescent="0.3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x14ac:dyDescent="0.3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x14ac:dyDescent="0.3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x14ac:dyDescent="0.3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x14ac:dyDescent="0.3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x14ac:dyDescent="0.3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x14ac:dyDescent="0.3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x14ac:dyDescent="0.3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x14ac:dyDescent="0.3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x14ac:dyDescent="0.3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x14ac:dyDescent="0.3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x14ac:dyDescent="0.3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x14ac:dyDescent="0.3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x14ac:dyDescent="0.3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x14ac:dyDescent="0.3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x14ac:dyDescent="0.3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x14ac:dyDescent="0.3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x14ac:dyDescent="0.3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x14ac:dyDescent="0.3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x14ac:dyDescent="0.3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x14ac:dyDescent="0.3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x14ac:dyDescent="0.3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x14ac:dyDescent="0.3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x14ac:dyDescent="0.3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x14ac:dyDescent="0.3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x14ac:dyDescent="0.3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x14ac:dyDescent="0.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x14ac:dyDescent="0.3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x14ac:dyDescent="0.3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x14ac:dyDescent="0.3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x14ac:dyDescent="0.3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x14ac:dyDescent="0.3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x14ac:dyDescent="0.3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x14ac:dyDescent="0.3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x14ac:dyDescent="0.3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x14ac:dyDescent="0.3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x14ac:dyDescent="0.3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x14ac:dyDescent="0.3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x14ac:dyDescent="0.3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x14ac:dyDescent="0.3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x14ac:dyDescent="0.3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x14ac:dyDescent="0.3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x14ac:dyDescent="0.3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x14ac:dyDescent="0.3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x14ac:dyDescent="0.3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x14ac:dyDescent="0.3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x14ac:dyDescent="0.3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x14ac:dyDescent="0.3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x14ac:dyDescent="0.3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x14ac:dyDescent="0.3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x14ac:dyDescent="0.3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x14ac:dyDescent="0.3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x14ac:dyDescent="0.3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x14ac:dyDescent="0.3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x14ac:dyDescent="0.3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x14ac:dyDescent="0.3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x14ac:dyDescent="0.3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x14ac:dyDescent="0.3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x14ac:dyDescent="0.3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x14ac:dyDescent="0.3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x14ac:dyDescent="0.3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x14ac:dyDescent="0.3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x14ac:dyDescent="0.3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x14ac:dyDescent="0.3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x14ac:dyDescent="0.3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x14ac:dyDescent="0.3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x14ac:dyDescent="0.3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x14ac:dyDescent="0.3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x14ac:dyDescent="0.3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x14ac:dyDescent="0.3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x14ac:dyDescent="0.3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x14ac:dyDescent="0.3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x14ac:dyDescent="0.3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x14ac:dyDescent="0.3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x14ac:dyDescent="0.3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x14ac:dyDescent="0.3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x14ac:dyDescent="0.3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x14ac:dyDescent="0.3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x14ac:dyDescent="0.3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x14ac:dyDescent="0.3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x14ac:dyDescent="0.3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x14ac:dyDescent="0.3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x14ac:dyDescent="0.3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x14ac:dyDescent="0.3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x14ac:dyDescent="0.3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x14ac:dyDescent="0.3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x14ac:dyDescent="0.3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x14ac:dyDescent="0.3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x14ac:dyDescent="0.3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x14ac:dyDescent="0.3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x14ac:dyDescent="0.3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x14ac:dyDescent="0.3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x14ac:dyDescent="0.3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x14ac:dyDescent="0.3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x14ac:dyDescent="0.3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x14ac:dyDescent="0.3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x14ac:dyDescent="0.3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x14ac:dyDescent="0.3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</row>
    <row r="707" spans="1:31" x14ac:dyDescent="0.3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spans="1:31" x14ac:dyDescent="0.3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spans="1:31" x14ac:dyDescent="0.3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spans="1:31" x14ac:dyDescent="0.3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spans="1:31" x14ac:dyDescent="0.3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spans="1:31" x14ac:dyDescent="0.3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spans="1:31" x14ac:dyDescent="0.3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spans="1:31" x14ac:dyDescent="0.3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spans="1:31" x14ac:dyDescent="0.3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spans="1:31" x14ac:dyDescent="0.3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spans="1:31" x14ac:dyDescent="0.3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spans="1:31" x14ac:dyDescent="0.3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spans="1:31" x14ac:dyDescent="0.3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spans="1:31" x14ac:dyDescent="0.3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spans="1:31" x14ac:dyDescent="0.3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spans="1:31" x14ac:dyDescent="0.3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spans="1:31" x14ac:dyDescent="0.3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spans="1:31" x14ac:dyDescent="0.3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spans="1:31" x14ac:dyDescent="0.3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spans="1:31" x14ac:dyDescent="0.3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spans="1:31" x14ac:dyDescent="0.3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spans="1:31" x14ac:dyDescent="0.3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spans="1:31" x14ac:dyDescent="0.3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spans="1:31" x14ac:dyDescent="0.3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spans="1:31" x14ac:dyDescent="0.3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spans="1:31" x14ac:dyDescent="0.3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spans="1:31" x14ac:dyDescent="0.3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spans="1:31" x14ac:dyDescent="0.3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spans="1:31" x14ac:dyDescent="0.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spans="1:31" x14ac:dyDescent="0.3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spans="1:31" x14ac:dyDescent="0.3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spans="1:31" x14ac:dyDescent="0.3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spans="1:31" x14ac:dyDescent="0.3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spans="1:31" x14ac:dyDescent="0.3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spans="1:31" x14ac:dyDescent="0.3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spans="1:31" x14ac:dyDescent="0.3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spans="1:31" x14ac:dyDescent="0.3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spans="1:31" x14ac:dyDescent="0.3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spans="1:31" x14ac:dyDescent="0.3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spans="1:31" x14ac:dyDescent="0.3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spans="1:31" x14ac:dyDescent="0.3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spans="1:31" x14ac:dyDescent="0.3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spans="1:31" x14ac:dyDescent="0.3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spans="1:31" x14ac:dyDescent="0.3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spans="1:31" x14ac:dyDescent="0.3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spans="1:31" x14ac:dyDescent="0.3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spans="1:31" x14ac:dyDescent="0.3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spans="1:31" x14ac:dyDescent="0.3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spans="1:31" x14ac:dyDescent="0.3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spans="1:31" x14ac:dyDescent="0.3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spans="1:31" x14ac:dyDescent="0.3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spans="1:31" x14ac:dyDescent="0.3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spans="1:31" x14ac:dyDescent="0.3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spans="1:31" x14ac:dyDescent="0.3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spans="1:31" x14ac:dyDescent="0.3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spans="1:31" x14ac:dyDescent="0.3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spans="1:31" x14ac:dyDescent="0.3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spans="1:31" x14ac:dyDescent="0.3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spans="1:31" x14ac:dyDescent="0.3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spans="1:31" x14ac:dyDescent="0.3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spans="1:31" x14ac:dyDescent="0.3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spans="1:31" x14ac:dyDescent="0.3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spans="1:31" x14ac:dyDescent="0.3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spans="1:31" x14ac:dyDescent="0.3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spans="1:31" x14ac:dyDescent="0.3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spans="1:31" x14ac:dyDescent="0.3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spans="1:31" x14ac:dyDescent="0.3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spans="1:31" x14ac:dyDescent="0.3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spans="1:31" x14ac:dyDescent="0.3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spans="1:31" x14ac:dyDescent="0.3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spans="1:31" x14ac:dyDescent="0.3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spans="1:31" x14ac:dyDescent="0.3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spans="1:31" x14ac:dyDescent="0.3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spans="1:31" x14ac:dyDescent="0.3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spans="1:31" x14ac:dyDescent="0.3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spans="1:31" x14ac:dyDescent="0.3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spans="1:31" x14ac:dyDescent="0.3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spans="1:31" x14ac:dyDescent="0.3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spans="1:31" x14ac:dyDescent="0.3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spans="1:31" x14ac:dyDescent="0.3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spans="1:31" x14ac:dyDescent="0.3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spans="1:31" x14ac:dyDescent="0.3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spans="1:31" x14ac:dyDescent="0.3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spans="1:31" x14ac:dyDescent="0.3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spans="1:31" x14ac:dyDescent="0.3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spans="1:31" x14ac:dyDescent="0.3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spans="1:31" x14ac:dyDescent="0.3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spans="1:31" x14ac:dyDescent="0.3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spans="1:31" x14ac:dyDescent="0.3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spans="1:31" x14ac:dyDescent="0.3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spans="1:31" x14ac:dyDescent="0.3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spans="1:31" x14ac:dyDescent="0.3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spans="1:31" x14ac:dyDescent="0.3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spans="1:31" x14ac:dyDescent="0.3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spans="1:31" x14ac:dyDescent="0.3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spans="1:31" x14ac:dyDescent="0.3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spans="1:31" x14ac:dyDescent="0.3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spans="1:31" x14ac:dyDescent="0.3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spans="1:31" x14ac:dyDescent="0.3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spans="1:31" x14ac:dyDescent="0.3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spans="1:31" x14ac:dyDescent="0.3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spans="1:31" x14ac:dyDescent="0.3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spans="1:31" x14ac:dyDescent="0.3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spans="1:31" x14ac:dyDescent="0.3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spans="1:31" x14ac:dyDescent="0.3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spans="1:31" x14ac:dyDescent="0.3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spans="1:31" x14ac:dyDescent="0.3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spans="1:31" x14ac:dyDescent="0.3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spans="1:31" x14ac:dyDescent="0.3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spans="1:31" x14ac:dyDescent="0.3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spans="1:31" x14ac:dyDescent="0.3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spans="1:31" x14ac:dyDescent="0.3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spans="1:31" x14ac:dyDescent="0.3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spans="1:31" x14ac:dyDescent="0.3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spans="1:31" x14ac:dyDescent="0.3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spans="1:31" x14ac:dyDescent="0.3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spans="1:31" x14ac:dyDescent="0.3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spans="1:31" x14ac:dyDescent="0.3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spans="1:31" x14ac:dyDescent="0.3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spans="1:31" x14ac:dyDescent="0.3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spans="1:31" x14ac:dyDescent="0.3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spans="1:31" x14ac:dyDescent="0.3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spans="1:31" x14ac:dyDescent="0.3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spans="1:31" x14ac:dyDescent="0.3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spans="1:31" x14ac:dyDescent="0.3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spans="1:31" x14ac:dyDescent="0.3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spans="1:31" x14ac:dyDescent="0.3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spans="1:31" x14ac:dyDescent="0.3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spans="1:31" x14ac:dyDescent="0.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spans="1:31" x14ac:dyDescent="0.3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spans="1:31" x14ac:dyDescent="0.3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spans="1:31" x14ac:dyDescent="0.3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spans="1:31" x14ac:dyDescent="0.3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spans="1:31" x14ac:dyDescent="0.3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spans="1:31" x14ac:dyDescent="0.3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spans="1:31" x14ac:dyDescent="0.3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spans="1:31" x14ac:dyDescent="0.3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spans="1:31" x14ac:dyDescent="0.3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spans="1:31" x14ac:dyDescent="0.3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spans="1:31" x14ac:dyDescent="0.3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spans="1:31" x14ac:dyDescent="0.3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spans="1:31" x14ac:dyDescent="0.3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spans="1:31" x14ac:dyDescent="0.3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spans="1:31" x14ac:dyDescent="0.3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spans="1:31" x14ac:dyDescent="0.3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spans="1:31" x14ac:dyDescent="0.3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spans="1:31" x14ac:dyDescent="0.3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spans="1:31" x14ac:dyDescent="0.3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spans="1:31" x14ac:dyDescent="0.3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spans="1:31" x14ac:dyDescent="0.3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spans="1:31" x14ac:dyDescent="0.3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spans="1:31" x14ac:dyDescent="0.3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spans="1:31" x14ac:dyDescent="0.3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spans="1:31" x14ac:dyDescent="0.3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spans="1:31" x14ac:dyDescent="0.3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spans="1:31" x14ac:dyDescent="0.3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spans="1:31" x14ac:dyDescent="0.3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spans="1:31" x14ac:dyDescent="0.3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spans="1:31" x14ac:dyDescent="0.3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spans="1:31" x14ac:dyDescent="0.3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spans="1:31" x14ac:dyDescent="0.3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spans="1:31" x14ac:dyDescent="0.3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spans="1:31" x14ac:dyDescent="0.3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spans="1:31" x14ac:dyDescent="0.3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spans="1:31" x14ac:dyDescent="0.3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spans="1:31" x14ac:dyDescent="0.3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spans="1:31" x14ac:dyDescent="0.3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spans="1:31" x14ac:dyDescent="0.3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spans="1:31" x14ac:dyDescent="0.3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spans="1:31" x14ac:dyDescent="0.3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spans="1:31" x14ac:dyDescent="0.3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spans="1:31" x14ac:dyDescent="0.3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spans="1:31" x14ac:dyDescent="0.3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spans="1:31" x14ac:dyDescent="0.3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spans="1:31" x14ac:dyDescent="0.3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spans="1:31" x14ac:dyDescent="0.3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spans="1:31" x14ac:dyDescent="0.3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spans="1:31" x14ac:dyDescent="0.3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spans="1:31" x14ac:dyDescent="0.3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spans="1:31" x14ac:dyDescent="0.3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spans="1:31" x14ac:dyDescent="0.3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spans="1:31" x14ac:dyDescent="0.3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spans="1:31" x14ac:dyDescent="0.3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spans="1:31" x14ac:dyDescent="0.3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spans="1:31" x14ac:dyDescent="0.3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spans="1:31" x14ac:dyDescent="0.3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spans="1:31" x14ac:dyDescent="0.3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spans="1:31" x14ac:dyDescent="0.3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spans="1:31" x14ac:dyDescent="0.3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spans="1:31" x14ac:dyDescent="0.3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spans="1:31" x14ac:dyDescent="0.3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spans="1:31" x14ac:dyDescent="0.3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spans="1:31" x14ac:dyDescent="0.3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spans="1:31" x14ac:dyDescent="0.3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spans="1:31" x14ac:dyDescent="0.3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spans="1:31" x14ac:dyDescent="0.3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spans="1:31" x14ac:dyDescent="0.3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spans="1:31" x14ac:dyDescent="0.3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spans="1:31" x14ac:dyDescent="0.3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spans="1:31" x14ac:dyDescent="0.3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spans="1:31" x14ac:dyDescent="0.3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spans="1:31" x14ac:dyDescent="0.3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spans="1:31" x14ac:dyDescent="0.3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spans="1:31" x14ac:dyDescent="0.3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spans="1:31" x14ac:dyDescent="0.3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spans="1:31" x14ac:dyDescent="0.3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spans="1:31" x14ac:dyDescent="0.3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spans="1:31" x14ac:dyDescent="0.3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spans="1:31" x14ac:dyDescent="0.3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spans="1:31" x14ac:dyDescent="0.3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spans="1:31" x14ac:dyDescent="0.3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spans="1:31" x14ac:dyDescent="0.3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spans="1:31" x14ac:dyDescent="0.3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spans="1:31" x14ac:dyDescent="0.3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spans="1:31" x14ac:dyDescent="0.3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spans="1:31" x14ac:dyDescent="0.3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spans="1:31" x14ac:dyDescent="0.3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spans="1:31" x14ac:dyDescent="0.3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spans="1:31" x14ac:dyDescent="0.3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spans="1:31" x14ac:dyDescent="0.3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spans="1:31" x14ac:dyDescent="0.3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spans="1:31" x14ac:dyDescent="0.3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spans="1:31" x14ac:dyDescent="0.3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spans="1:31" x14ac:dyDescent="0.3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spans="1:31" x14ac:dyDescent="0.3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spans="1:31" x14ac:dyDescent="0.3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spans="1:31" x14ac:dyDescent="0.3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spans="1:31" x14ac:dyDescent="0.3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spans="1:31" x14ac:dyDescent="0.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spans="1:31" x14ac:dyDescent="0.3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spans="1:31" x14ac:dyDescent="0.3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spans="1:31" x14ac:dyDescent="0.3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spans="1:31" x14ac:dyDescent="0.3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spans="1:31" x14ac:dyDescent="0.3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spans="1:31" x14ac:dyDescent="0.3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spans="1:31" x14ac:dyDescent="0.3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spans="1:31" x14ac:dyDescent="0.3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spans="1:31" x14ac:dyDescent="0.3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spans="1:31" x14ac:dyDescent="0.3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spans="1:31" x14ac:dyDescent="0.3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spans="1:31" x14ac:dyDescent="0.3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spans="1:31" x14ac:dyDescent="0.3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spans="1:31" x14ac:dyDescent="0.3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spans="1:31" x14ac:dyDescent="0.3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spans="1:31" x14ac:dyDescent="0.3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spans="1:31" x14ac:dyDescent="0.3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spans="1:31" x14ac:dyDescent="0.3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spans="1:31" x14ac:dyDescent="0.3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spans="1:31" x14ac:dyDescent="0.3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spans="1:31" x14ac:dyDescent="0.3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spans="1:31" x14ac:dyDescent="0.3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spans="1:31" x14ac:dyDescent="0.3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spans="1:31" x14ac:dyDescent="0.3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spans="1:31" x14ac:dyDescent="0.3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spans="1:31" x14ac:dyDescent="0.3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spans="1:31" x14ac:dyDescent="0.3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spans="1:31" x14ac:dyDescent="0.3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spans="1:31" x14ac:dyDescent="0.3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spans="1:31" x14ac:dyDescent="0.3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spans="1:31" x14ac:dyDescent="0.3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spans="1:31" x14ac:dyDescent="0.3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spans="1:31" x14ac:dyDescent="0.3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spans="1:31" x14ac:dyDescent="0.3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spans="1:31" x14ac:dyDescent="0.3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spans="1:31" x14ac:dyDescent="0.3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spans="1:31" x14ac:dyDescent="0.3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spans="1:31" x14ac:dyDescent="0.3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spans="1:31" x14ac:dyDescent="0.3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spans="1:31" x14ac:dyDescent="0.3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spans="1:31" x14ac:dyDescent="0.3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977" spans="1:31" x14ac:dyDescent="0.3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</row>
    <row r="978" spans="1:31" x14ac:dyDescent="0.3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</row>
    <row r="979" spans="1:31" x14ac:dyDescent="0.3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</row>
    <row r="980" spans="1:31" x14ac:dyDescent="0.3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</row>
    <row r="981" spans="1:31" x14ac:dyDescent="0.3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</row>
    <row r="982" spans="1:31" x14ac:dyDescent="0.3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</row>
    <row r="983" spans="1:31" x14ac:dyDescent="0.3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</row>
    <row r="984" spans="1:31" x14ac:dyDescent="0.3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</row>
    <row r="985" spans="1:31" x14ac:dyDescent="0.3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</row>
    <row r="986" spans="1:31" x14ac:dyDescent="0.3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</row>
    <row r="987" spans="1:31" x14ac:dyDescent="0.3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</row>
    <row r="988" spans="1:31" x14ac:dyDescent="0.3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</row>
    <row r="989" spans="1:31" x14ac:dyDescent="0.3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</row>
    <row r="990" spans="1:31" x14ac:dyDescent="0.3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</row>
    <row r="991" spans="1:31" x14ac:dyDescent="0.3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</row>
    <row r="992" spans="1:31" x14ac:dyDescent="0.3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</row>
    <row r="993" spans="1:31" x14ac:dyDescent="0.3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</row>
    <row r="994" spans="1:31" x14ac:dyDescent="0.3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</row>
    <row r="995" spans="1:31" x14ac:dyDescent="0.3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</row>
    <row r="996" spans="1:31" x14ac:dyDescent="0.3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</row>
    <row r="997" spans="1:31" x14ac:dyDescent="0.3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</row>
    <row r="998" spans="1:31" x14ac:dyDescent="0.3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</row>
    <row r="999" spans="1:31" x14ac:dyDescent="0.3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</row>
  </sheetData>
  <printOptions horizontalCentered="1" gridLines="1"/>
  <pageMargins left="0.25" right="0.25" top="0.75" bottom="0.75" header="0" footer="0"/>
  <pageSetup paperSize="9" orientation="portrait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23" customWidth="1"/>
    <col min="2" max="2" width="62.26953125" customWidth="1"/>
    <col min="3" max="3" width="21.08984375" customWidth="1"/>
    <col min="4" max="4" width="36.54296875" customWidth="1"/>
    <col min="5" max="5" width="14" customWidth="1"/>
    <col min="6" max="6" width="20.7265625" customWidth="1"/>
    <col min="7" max="24" width="24.08984375" customWidth="1"/>
  </cols>
  <sheetData>
    <row r="1" spans="1:25" ht="17.5" x14ac:dyDescent="0.35">
      <c r="A1" s="10" t="s">
        <v>141</v>
      </c>
      <c r="B1" s="11" t="s">
        <v>142</v>
      </c>
      <c r="C1" s="11" t="s">
        <v>143</v>
      </c>
      <c r="D1" s="12" t="s">
        <v>144</v>
      </c>
      <c r="E1" s="12" t="s">
        <v>145</v>
      </c>
      <c r="F1" s="13">
        <f>SUM(C2:C1000)</f>
        <v>3440048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t="14.5" x14ac:dyDescent="0.35">
      <c r="A2" s="15">
        <v>45152</v>
      </c>
      <c r="B2" s="16" t="s">
        <v>146</v>
      </c>
      <c r="C2" s="17">
        <v>49500</v>
      </c>
      <c r="D2" s="5" t="s">
        <v>147</v>
      </c>
      <c r="E2" s="5" t="s">
        <v>148</v>
      </c>
      <c r="F2" s="18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spans="1:25" ht="14.5" x14ac:dyDescent="0.35">
      <c r="A3" s="20">
        <v>45152</v>
      </c>
      <c r="B3" s="21" t="s">
        <v>149</v>
      </c>
      <c r="C3" s="22">
        <v>9000</v>
      </c>
      <c r="D3" s="18" t="s">
        <v>150</v>
      </c>
      <c r="E3" s="18" t="s">
        <v>151</v>
      </c>
      <c r="F3" s="18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</row>
    <row r="4" spans="1:25" ht="14.5" x14ac:dyDescent="0.35">
      <c r="A4" s="20">
        <v>45155</v>
      </c>
      <c r="B4" s="21" t="s">
        <v>152</v>
      </c>
      <c r="C4" s="22">
        <v>5000</v>
      </c>
      <c r="D4" s="18" t="s">
        <v>153</v>
      </c>
      <c r="E4" s="18" t="s">
        <v>151</v>
      </c>
      <c r="F4" s="18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</row>
    <row r="5" spans="1:25" ht="14.5" x14ac:dyDescent="0.35">
      <c r="A5" s="20">
        <v>45159</v>
      </c>
      <c r="B5" s="21" t="s">
        <v>154</v>
      </c>
      <c r="C5" s="22">
        <v>7500</v>
      </c>
      <c r="D5" s="18" t="s">
        <v>155</v>
      </c>
      <c r="E5" s="18" t="s">
        <v>151</v>
      </c>
      <c r="F5" s="18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</row>
    <row r="6" spans="1:25" ht="14.5" x14ac:dyDescent="0.35">
      <c r="A6" s="20">
        <v>45166</v>
      </c>
      <c r="B6" s="21" t="s">
        <v>156</v>
      </c>
      <c r="C6" s="22">
        <v>5000</v>
      </c>
      <c r="D6" s="18" t="s">
        <v>157</v>
      </c>
      <c r="E6" s="18" t="s">
        <v>151</v>
      </c>
      <c r="F6" s="18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</row>
    <row r="7" spans="1:25" ht="14.5" x14ac:dyDescent="0.35">
      <c r="A7" s="20">
        <v>45169</v>
      </c>
      <c r="B7" s="21" t="s">
        <v>158</v>
      </c>
      <c r="C7" s="22">
        <v>9000</v>
      </c>
      <c r="D7" s="18" t="s">
        <v>159</v>
      </c>
      <c r="E7" s="18" t="s">
        <v>151</v>
      </c>
      <c r="F7" s="18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</row>
    <row r="8" spans="1:25" ht="14.5" x14ac:dyDescent="0.35">
      <c r="A8" s="20">
        <v>45169</v>
      </c>
      <c r="B8" s="21" t="s">
        <v>160</v>
      </c>
      <c r="C8" s="22">
        <v>3000</v>
      </c>
      <c r="D8" s="18" t="s">
        <v>150</v>
      </c>
      <c r="E8" s="18" t="s">
        <v>161</v>
      </c>
      <c r="F8" s="18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</row>
    <row r="9" spans="1:25" ht="14.5" x14ac:dyDescent="0.35">
      <c r="A9" s="20">
        <v>45172</v>
      </c>
      <c r="B9" s="21" t="s">
        <v>162</v>
      </c>
      <c r="C9" s="22">
        <v>80000</v>
      </c>
      <c r="D9" s="18" t="s">
        <v>163</v>
      </c>
      <c r="E9" s="18" t="s">
        <v>148</v>
      </c>
      <c r="F9" s="18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</row>
    <row r="10" spans="1:25" ht="14.5" x14ac:dyDescent="0.35">
      <c r="A10" s="20">
        <v>45172</v>
      </c>
      <c r="B10" s="21" t="s">
        <v>164</v>
      </c>
      <c r="C10" s="22">
        <v>10000</v>
      </c>
      <c r="D10" s="18" t="s">
        <v>165</v>
      </c>
      <c r="E10" s="18" t="s">
        <v>148</v>
      </c>
      <c r="F10" s="18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</row>
    <row r="11" spans="1:25" ht="14.5" x14ac:dyDescent="0.35">
      <c r="A11" s="20">
        <v>45172</v>
      </c>
      <c r="B11" s="21" t="s">
        <v>166</v>
      </c>
      <c r="C11" s="22">
        <v>40000</v>
      </c>
      <c r="D11" s="18" t="s">
        <v>167</v>
      </c>
      <c r="E11" s="18" t="s">
        <v>148</v>
      </c>
      <c r="F11" s="18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</row>
    <row r="12" spans="1:25" ht="14.5" x14ac:dyDescent="0.35">
      <c r="A12" s="20">
        <v>45176</v>
      </c>
      <c r="B12" s="21" t="s">
        <v>168</v>
      </c>
      <c r="C12" s="22">
        <v>50000</v>
      </c>
      <c r="D12" s="18" t="s">
        <v>169</v>
      </c>
      <c r="E12" s="18" t="s">
        <v>148</v>
      </c>
      <c r="F12" s="18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</row>
    <row r="13" spans="1:25" ht="14.5" x14ac:dyDescent="0.35">
      <c r="A13" s="20">
        <v>45179</v>
      </c>
      <c r="B13" s="21" t="s">
        <v>170</v>
      </c>
      <c r="C13" s="22">
        <v>60000</v>
      </c>
      <c r="D13" s="18" t="s">
        <v>155</v>
      </c>
      <c r="E13" s="18" t="s">
        <v>148</v>
      </c>
      <c r="F13" s="18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</row>
    <row r="14" spans="1:25" ht="14.5" x14ac:dyDescent="0.35">
      <c r="A14" s="20">
        <v>45180</v>
      </c>
      <c r="B14" s="21" t="s">
        <v>156</v>
      </c>
      <c r="C14" s="22">
        <v>20000</v>
      </c>
      <c r="D14" s="18" t="s">
        <v>157</v>
      </c>
      <c r="E14" s="18" t="s">
        <v>148</v>
      </c>
      <c r="F14" s="22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</row>
    <row r="15" spans="1:25" ht="14.5" x14ac:dyDescent="0.35">
      <c r="A15" s="20">
        <v>45183</v>
      </c>
      <c r="B15" s="21" t="s">
        <v>171</v>
      </c>
      <c r="C15" s="22">
        <v>50000</v>
      </c>
      <c r="D15" s="18" t="s">
        <v>172</v>
      </c>
      <c r="E15" s="18" t="s">
        <v>148</v>
      </c>
      <c r="F15" s="18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</row>
    <row r="16" spans="1:25" ht="14.5" x14ac:dyDescent="0.35">
      <c r="A16" s="20">
        <v>45184</v>
      </c>
      <c r="B16" s="21" t="s">
        <v>173</v>
      </c>
      <c r="C16" s="22">
        <v>132138</v>
      </c>
      <c r="D16" s="18" t="s">
        <v>174</v>
      </c>
      <c r="E16" s="18" t="s">
        <v>148</v>
      </c>
      <c r="F16" s="18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</row>
    <row r="17" spans="1:25" ht="14.5" x14ac:dyDescent="0.35">
      <c r="A17" s="15">
        <v>45186</v>
      </c>
      <c r="B17" s="21" t="s">
        <v>175</v>
      </c>
      <c r="C17" s="22">
        <v>50000</v>
      </c>
      <c r="D17" s="18" t="s">
        <v>159</v>
      </c>
      <c r="E17" s="18" t="s">
        <v>148</v>
      </c>
      <c r="F17" s="18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</row>
    <row r="18" spans="1:25" ht="14.5" x14ac:dyDescent="0.35">
      <c r="A18" s="15">
        <v>45186</v>
      </c>
      <c r="B18" s="21" t="s">
        <v>166</v>
      </c>
      <c r="C18" s="22">
        <v>10300</v>
      </c>
      <c r="D18" s="18" t="s">
        <v>167</v>
      </c>
      <c r="E18" s="18" t="s">
        <v>148</v>
      </c>
      <c r="F18" s="18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</row>
    <row r="19" spans="1:25" ht="14.5" x14ac:dyDescent="0.35">
      <c r="A19" s="15">
        <v>45186</v>
      </c>
      <c r="B19" s="21" t="s">
        <v>176</v>
      </c>
      <c r="C19" s="22">
        <v>10000</v>
      </c>
      <c r="D19" s="18" t="s">
        <v>177</v>
      </c>
      <c r="E19" s="18" t="s">
        <v>148</v>
      </c>
      <c r="F19" s="18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</row>
    <row r="20" spans="1:25" ht="14.5" x14ac:dyDescent="0.35">
      <c r="A20" s="15">
        <v>45187</v>
      </c>
      <c r="B20" s="21" t="s">
        <v>178</v>
      </c>
      <c r="C20" s="22">
        <v>20000</v>
      </c>
      <c r="D20" s="18" t="s">
        <v>179</v>
      </c>
      <c r="E20" s="18" t="s">
        <v>148</v>
      </c>
      <c r="F20" s="18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</row>
    <row r="21" spans="1:25" ht="15.75" customHeight="1" x14ac:dyDescent="0.35">
      <c r="A21" s="15">
        <v>45187</v>
      </c>
      <c r="B21" s="21" t="s">
        <v>160</v>
      </c>
      <c r="C21" s="22">
        <v>60000</v>
      </c>
      <c r="D21" s="18" t="s">
        <v>150</v>
      </c>
      <c r="E21" s="18" t="s">
        <v>148</v>
      </c>
      <c r="F21" s="18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</row>
    <row r="22" spans="1:25" ht="15.75" customHeight="1" x14ac:dyDescent="0.35">
      <c r="A22" s="15">
        <v>45187</v>
      </c>
      <c r="B22" s="21" t="s">
        <v>180</v>
      </c>
      <c r="C22" s="22">
        <v>20000</v>
      </c>
      <c r="D22" s="18" t="s">
        <v>181</v>
      </c>
      <c r="E22" s="18" t="s">
        <v>148</v>
      </c>
      <c r="F22" s="18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</row>
    <row r="23" spans="1:25" ht="15.75" customHeight="1" x14ac:dyDescent="0.35">
      <c r="A23" s="15">
        <v>45188</v>
      </c>
      <c r="B23" s="21" t="s">
        <v>182</v>
      </c>
      <c r="C23" s="22">
        <v>49000</v>
      </c>
      <c r="D23" s="18" t="s">
        <v>183</v>
      </c>
      <c r="E23" s="18" t="s">
        <v>148</v>
      </c>
      <c r="F23" s="18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</row>
    <row r="24" spans="1:25" ht="15.75" customHeight="1" x14ac:dyDescent="0.35">
      <c r="A24" s="15">
        <v>45188</v>
      </c>
      <c r="B24" s="21" t="s">
        <v>184</v>
      </c>
      <c r="C24" s="22">
        <v>40000</v>
      </c>
      <c r="D24" s="18" t="s">
        <v>185</v>
      </c>
      <c r="E24" s="18" t="s">
        <v>148</v>
      </c>
      <c r="F24" s="18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</row>
    <row r="25" spans="1:25" ht="15.75" customHeight="1" x14ac:dyDescent="0.35">
      <c r="A25" s="15">
        <v>45188</v>
      </c>
      <c r="B25" s="21" t="s">
        <v>186</v>
      </c>
      <c r="C25" s="22">
        <v>30000</v>
      </c>
      <c r="D25" s="18" t="s">
        <v>169</v>
      </c>
      <c r="E25" s="18" t="s">
        <v>148</v>
      </c>
      <c r="F25" s="18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</row>
    <row r="26" spans="1:25" ht="15.75" customHeight="1" x14ac:dyDescent="0.35">
      <c r="A26" s="15">
        <v>45188</v>
      </c>
      <c r="B26" s="21" t="s">
        <v>187</v>
      </c>
      <c r="C26" s="22">
        <v>39221</v>
      </c>
      <c r="D26" s="18" t="s">
        <v>188</v>
      </c>
      <c r="E26" s="18" t="s">
        <v>148</v>
      </c>
      <c r="F26" s="18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</row>
    <row r="27" spans="1:25" ht="15.75" customHeight="1" x14ac:dyDescent="0.35">
      <c r="A27" s="15">
        <v>45189</v>
      </c>
      <c r="B27" s="21" t="s">
        <v>189</v>
      </c>
      <c r="C27" s="22">
        <v>40000</v>
      </c>
      <c r="D27" s="18" t="s">
        <v>190</v>
      </c>
      <c r="E27" s="18" t="s">
        <v>148</v>
      </c>
      <c r="F27" s="18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</row>
    <row r="28" spans="1:25" ht="15.75" customHeight="1" x14ac:dyDescent="0.35">
      <c r="A28" s="15">
        <v>45190</v>
      </c>
      <c r="B28" s="21" t="s">
        <v>191</v>
      </c>
      <c r="C28" s="22">
        <v>25000</v>
      </c>
      <c r="D28" s="18" t="s">
        <v>183</v>
      </c>
      <c r="E28" s="18" t="s">
        <v>148</v>
      </c>
      <c r="F28" s="18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</row>
    <row r="29" spans="1:25" ht="15.75" customHeight="1" x14ac:dyDescent="0.35">
      <c r="A29" s="15">
        <v>45190</v>
      </c>
      <c r="B29" s="21" t="s">
        <v>192</v>
      </c>
      <c r="C29" s="22">
        <v>20000</v>
      </c>
      <c r="D29" s="18" t="s">
        <v>193</v>
      </c>
      <c r="E29" s="18" t="s">
        <v>148</v>
      </c>
      <c r="F29" s="18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</row>
    <row r="30" spans="1:25" ht="15.75" customHeight="1" x14ac:dyDescent="0.35">
      <c r="A30" s="15">
        <v>45190</v>
      </c>
      <c r="B30" s="21" t="s">
        <v>194</v>
      </c>
      <c r="C30" s="22">
        <v>43940</v>
      </c>
      <c r="D30" s="18" t="s">
        <v>195</v>
      </c>
      <c r="E30" s="18" t="s">
        <v>148</v>
      </c>
      <c r="F30" s="18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</row>
    <row r="31" spans="1:25" ht="15.75" customHeight="1" x14ac:dyDescent="0.35">
      <c r="A31" s="15">
        <v>45192</v>
      </c>
      <c r="B31" s="21" t="s">
        <v>196</v>
      </c>
      <c r="C31" s="22">
        <v>50000</v>
      </c>
      <c r="D31" s="18" t="s">
        <v>197</v>
      </c>
      <c r="E31" s="18" t="s">
        <v>148</v>
      </c>
      <c r="F31" s="18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</row>
    <row r="32" spans="1:25" ht="15.75" customHeight="1" x14ac:dyDescent="0.35">
      <c r="A32" s="15">
        <v>45194</v>
      </c>
      <c r="B32" s="21" t="s">
        <v>198</v>
      </c>
      <c r="C32" s="22">
        <v>18255</v>
      </c>
      <c r="D32" s="18" t="s">
        <v>199</v>
      </c>
      <c r="E32" s="18" t="s">
        <v>148</v>
      </c>
      <c r="F32" s="18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</row>
    <row r="33" spans="1:25" ht="15.75" customHeight="1" x14ac:dyDescent="0.35">
      <c r="A33" s="15">
        <v>45194</v>
      </c>
      <c r="B33" s="5" t="s">
        <v>200</v>
      </c>
      <c r="C33" s="22">
        <v>28881</v>
      </c>
      <c r="D33" s="18" t="s">
        <v>201</v>
      </c>
      <c r="E33" s="18" t="s">
        <v>148</v>
      </c>
      <c r="F33" s="18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</row>
    <row r="34" spans="1:25" ht="15.75" customHeight="1" x14ac:dyDescent="0.35">
      <c r="A34" s="15">
        <v>45194</v>
      </c>
      <c r="B34" s="21" t="s">
        <v>202</v>
      </c>
      <c r="C34" s="22">
        <v>44381</v>
      </c>
      <c r="D34" s="18" t="s">
        <v>203</v>
      </c>
      <c r="E34" s="18" t="s">
        <v>148</v>
      </c>
      <c r="F34" s="18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</row>
    <row r="35" spans="1:25" ht="15.75" customHeight="1" x14ac:dyDescent="0.35">
      <c r="A35" s="15">
        <v>45194</v>
      </c>
      <c r="B35" s="21" t="s">
        <v>204</v>
      </c>
      <c r="C35" s="22">
        <v>20000</v>
      </c>
      <c r="D35" s="18" t="s">
        <v>205</v>
      </c>
      <c r="E35" s="18" t="s">
        <v>148</v>
      </c>
      <c r="F35" s="18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</row>
    <row r="36" spans="1:25" ht="15.75" customHeight="1" x14ac:dyDescent="0.35">
      <c r="A36" s="15">
        <v>45194</v>
      </c>
      <c r="B36" s="21" t="s">
        <v>206</v>
      </c>
      <c r="C36" s="22">
        <v>50000</v>
      </c>
      <c r="D36" s="18" t="s">
        <v>207</v>
      </c>
      <c r="E36" s="18" t="s">
        <v>148</v>
      </c>
      <c r="F36" s="18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</row>
    <row r="37" spans="1:25" ht="15.75" customHeight="1" x14ac:dyDescent="0.35">
      <c r="A37" s="15">
        <v>45194</v>
      </c>
      <c r="B37" s="18" t="s">
        <v>208</v>
      </c>
      <c r="C37" s="22">
        <v>20000</v>
      </c>
      <c r="D37" s="18" t="s">
        <v>209</v>
      </c>
      <c r="E37" s="18" t="s">
        <v>148</v>
      </c>
      <c r="F37" s="18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</row>
    <row r="38" spans="1:25" ht="15.75" customHeight="1" x14ac:dyDescent="0.35">
      <c r="A38" s="15">
        <v>45194</v>
      </c>
      <c r="B38" s="18" t="s">
        <v>210</v>
      </c>
      <c r="C38" s="22">
        <v>30000</v>
      </c>
      <c r="D38" s="18" t="s">
        <v>211</v>
      </c>
      <c r="E38" s="18" t="s">
        <v>148</v>
      </c>
      <c r="F38" s="18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</row>
    <row r="39" spans="1:25" ht="15.75" customHeight="1" x14ac:dyDescent="0.35">
      <c r="A39" s="15">
        <v>45194</v>
      </c>
      <c r="B39" s="18" t="s">
        <v>210</v>
      </c>
      <c r="C39" s="22">
        <v>25000</v>
      </c>
      <c r="D39" s="18" t="s">
        <v>212</v>
      </c>
      <c r="E39" s="18" t="s">
        <v>148</v>
      </c>
      <c r="F39" s="18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</row>
    <row r="40" spans="1:25" ht="15.75" customHeight="1" x14ac:dyDescent="0.35">
      <c r="A40" s="15">
        <v>45194</v>
      </c>
      <c r="B40" s="21" t="s">
        <v>213</v>
      </c>
      <c r="C40" s="22">
        <v>50000</v>
      </c>
      <c r="D40" s="18" t="s">
        <v>214</v>
      </c>
      <c r="E40" s="18" t="s">
        <v>148</v>
      </c>
      <c r="F40" s="18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</row>
    <row r="41" spans="1:25" ht="15.75" customHeight="1" x14ac:dyDescent="0.35">
      <c r="A41" s="15">
        <v>45195</v>
      </c>
      <c r="B41" s="21" t="s">
        <v>215</v>
      </c>
      <c r="C41" s="22">
        <v>60000</v>
      </c>
      <c r="D41" s="18" t="s">
        <v>216</v>
      </c>
      <c r="E41" s="18" t="s">
        <v>148</v>
      </c>
      <c r="F41" s="18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</row>
    <row r="42" spans="1:25" ht="15.75" customHeight="1" x14ac:dyDescent="0.35">
      <c r="A42" s="15">
        <v>45195</v>
      </c>
      <c r="B42" s="21" t="s">
        <v>178</v>
      </c>
      <c r="C42" s="22">
        <v>10000</v>
      </c>
      <c r="D42" s="18" t="s">
        <v>179</v>
      </c>
      <c r="E42" s="18" t="s">
        <v>148</v>
      </c>
      <c r="F42" s="18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</row>
    <row r="43" spans="1:25" ht="15.75" customHeight="1" x14ac:dyDescent="0.35">
      <c r="A43" s="15">
        <v>45195</v>
      </c>
      <c r="B43" s="21" t="s">
        <v>217</v>
      </c>
      <c r="C43" s="22">
        <v>60000</v>
      </c>
      <c r="D43" s="18" t="s">
        <v>218</v>
      </c>
      <c r="E43" s="18" t="s">
        <v>148</v>
      </c>
      <c r="F43" s="18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</row>
    <row r="44" spans="1:25" ht="15.75" customHeight="1" x14ac:dyDescent="0.35">
      <c r="A44" s="15">
        <v>45195</v>
      </c>
      <c r="B44" s="21" t="s">
        <v>219</v>
      </c>
      <c r="C44" s="22">
        <v>20000</v>
      </c>
      <c r="D44" s="18" t="s">
        <v>220</v>
      </c>
      <c r="E44" s="18" t="s">
        <v>148</v>
      </c>
      <c r="F44" s="18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</row>
    <row r="45" spans="1:25" ht="15.75" customHeight="1" x14ac:dyDescent="0.35">
      <c r="A45" s="15">
        <v>45197</v>
      </c>
      <c r="B45" s="21" t="s">
        <v>221</v>
      </c>
      <c r="C45" s="22">
        <v>15000</v>
      </c>
      <c r="D45" s="18" t="s">
        <v>222</v>
      </c>
      <c r="E45" s="18" t="s">
        <v>148</v>
      </c>
      <c r="F45" s="18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</row>
    <row r="46" spans="1:25" ht="15.75" customHeight="1" x14ac:dyDescent="0.35">
      <c r="A46" s="15">
        <v>45198</v>
      </c>
      <c r="B46" s="21" t="s">
        <v>223</v>
      </c>
      <c r="C46" s="22">
        <v>15000</v>
      </c>
      <c r="D46" s="18" t="s">
        <v>224</v>
      </c>
      <c r="E46" s="18" t="s">
        <v>148</v>
      </c>
      <c r="F46" s="18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</row>
    <row r="47" spans="1:25" ht="15.75" customHeight="1" x14ac:dyDescent="0.35">
      <c r="A47" s="15">
        <v>45201</v>
      </c>
      <c r="B47" s="21" t="s">
        <v>180</v>
      </c>
      <c r="C47" s="22">
        <v>10000</v>
      </c>
      <c r="D47" s="18" t="s">
        <v>181</v>
      </c>
      <c r="E47" s="18" t="s">
        <v>148</v>
      </c>
      <c r="F47" s="18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</row>
    <row r="48" spans="1:25" ht="15.75" customHeight="1" x14ac:dyDescent="0.35">
      <c r="A48" s="23">
        <v>45202</v>
      </c>
      <c r="B48" s="21" t="s">
        <v>208</v>
      </c>
      <c r="C48" s="22">
        <v>20000</v>
      </c>
      <c r="D48" s="18" t="s">
        <v>209</v>
      </c>
      <c r="E48" s="18" t="s">
        <v>148</v>
      </c>
      <c r="F48" s="18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</row>
    <row r="49" spans="1:25" ht="15.75" customHeight="1" x14ac:dyDescent="0.35">
      <c r="A49" s="23">
        <v>45202</v>
      </c>
      <c r="B49" s="21" t="s">
        <v>225</v>
      </c>
      <c r="C49" s="22">
        <v>30000</v>
      </c>
      <c r="D49" s="18" t="s">
        <v>159</v>
      </c>
      <c r="E49" s="18" t="s">
        <v>148</v>
      </c>
      <c r="F49" s="18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</row>
    <row r="50" spans="1:25" ht="15.75" customHeight="1" x14ac:dyDescent="0.35">
      <c r="A50" s="23">
        <v>45203</v>
      </c>
      <c r="B50" s="21" t="s">
        <v>226</v>
      </c>
      <c r="C50" s="22">
        <v>30000</v>
      </c>
      <c r="D50" s="18" t="s">
        <v>227</v>
      </c>
      <c r="E50" s="18" t="s">
        <v>148</v>
      </c>
      <c r="F50" s="18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</row>
    <row r="51" spans="1:25" ht="15.75" customHeight="1" x14ac:dyDescent="0.35">
      <c r="A51" s="23">
        <v>45205</v>
      </c>
      <c r="B51" s="24" t="s">
        <v>228</v>
      </c>
      <c r="C51" s="22">
        <v>15000</v>
      </c>
      <c r="D51" s="18" t="s">
        <v>229</v>
      </c>
      <c r="E51" s="18" t="s">
        <v>148</v>
      </c>
      <c r="F51" s="18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</row>
    <row r="52" spans="1:25" ht="15.75" customHeight="1" x14ac:dyDescent="0.35">
      <c r="A52" s="15">
        <v>45205</v>
      </c>
      <c r="B52" s="21" t="s">
        <v>230</v>
      </c>
      <c r="C52" s="22">
        <v>50000</v>
      </c>
      <c r="D52" s="18" t="s">
        <v>231</v>
      </c>
      <c r="E52" s="18" t="s">
        <v>148</v>
      </c>
      <c r="F52" s="18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</row>
    <row r="53" spans="1:25" ht="15.75" customHeight="1" x14ac:dyDescent="0.35">
      <c r="A53" s="23">
        <v>45205</v>
      </c>
      <c r="B53" s="25" t="s">
        <v>232</v>
      </c>
      <c r="C53" s="22">
        <v>50000</v>
      </c>
      <c r="D53" s="18" t="s">
        <v>177</v>
      </c>
      <c r="E53" s="18" t="s">
        <v>148</v>
      </c>
      <c r="F53" s="18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</row>
    <row r="54" spans="1:25" ht="15.75" customHeight="1" x14ac:dyDescent="0.35">
      <c r="A54" s="23">
        <v>45207</v>
      </c>
      <c r="B54" s="25" t="s">
        <v>233</v>
      </c>
      <c r="C54" s="22">
        <v>18255</v>
      </c>
      <c r="D54" s="18" t="s">
        <v>205</v>
      </c>
      <c r="E54" s="18" t="s">
        <v>148</v>
      </c>
      <c r="F54" s="18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</row>
    <row r="55" spans="1:25" ht="15.75" customHeight="1" x14ac:dyDescent="0.35">
      <c r="A55" s="23">
        <v>45207</v>
      </c>
      <c r="B55" s="25" t="s">
        <v>234</v>
      </c>
      <c r="C55" s="22">
        <v>20000</v>
      </c>
      <c r="D55" s="18" t="s">
        <v>147</v>
      </c>
      <c r="E55" s="18" t="s">
        <v>148</v>
      </c>
      <c r="F55" s="18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</row>
    <row r="56" spans="1:25" ht="15.75" customHeight="1" x14ac:dyDescent="0.35">
      <c r="A56" s="23">
        <v>45208</v>
      </c>
      <c r="B56" s="25" t="s">
        <v>235</v>
      </c>
      <c r="C56" s="22">
        <v>10000</v>
      </c>
      <c r="D56" s="18" t="s">
        <v>236</v>
      </c>
      <c r="E56" s="18" t="s">
        <v>148</v>
      </c>
      <c r="F56" s="18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</row>
    <row r="57" spans="1:25" ht="15.75" customHeight="1" x14ac:dyDescent="0.35">
      <c r="A57" s="23">
        <v>45208</v>
      </c>
      <c r="B57" s="25" t="s">
        <v>237</v>
      </c>
      <c r="C57" s="22">
        <v>42500</v>
      </c>
      <c r="D57" s="18" t="s">
        <v>238</v>
      </c>
      <c r="E57" s="18" t="s">
        <v>148</v>
      </c>
      <c r="F57" s="18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</row>
    <row r="58" spans="1:25" ht="15.75" customHeight="1" x14ac:dyDescent="0.35">
      <c r="A58" s="23">
        <v>45210</v>
      </c>
      <c r="B58" s="25" t="s">
        <v>239</v>
      </c>
      <c r="C58" s="22">
        <v>15000</v>
      </c>
      <c r="D58" s="18" t="s">
        <v>240</v>
      </c>
      <c r="E58" s="18" t="s">
        <v>148</v>
      </c>
      <c r="F58" s="18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</row>
    <row r="59" spans="1:25" ht="15.75" customHeight="1" x14ac:dyDescent="0.35">
      <c r="A59" s="23">
        <v>45210</v>
      </c>
      <c r="B59" s="25" t="s">
        <v>200</v>
      </c>
      <c r="C59" s="22">
        <v>4000</v>
      </c>
      <c r="D59" s="18" t="s">
        <v>201</v>
      </c>
      <c r="E59" s="18" t="s">
        <v>148</v>
      </c>
      <c r="F59" s="18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</row>
    <row r="60" spans="1:25" ht="15.75" customHeight="1" x14ac:dyDescent="0.35">
      <c r="A60" s="23">
        <v>45211</v>
      </c>
      <c r="B60" s="21" t="s">
        <v>241</v>
      </c>
      <c r="C60" s="22">
        <v>70000</v>
      </c>
      <c r="D60" s="18" t="s">
        <v>163</v>
      </c>
      <c r="E60" s="18" t="s">
        <v>148</v>
      </c>
      <c r="F60" s="18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</row>
    <row r="61" spans="1:25" ht="15.75" customHeight="1" x14ac:dyDescent="0.35">
      <c r="A61" s="23">
        <v>45215</v>
      </c>
      <c r="B61" s="25" t="s">
        <v>242</v>
      </c>
      <c r="C61" s="22">
        <v>20000</v>
      </c>
      <c r="D61" s="18" t="s">
        <v>243</v>
      </c>
      <c r="E61" s="18" t="s">
        <v>148</v>
      </c>
      <c r="F61" s="18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</row>
    <row r="62" spans="1:25" ht="15.75" customHeight="1" x14ac:dyDescent="0.35">
      <c r="A62" s="23">
        <v>45215</v>
      </c>
      <c r="B62" s="21" t="s">
        <v>244</v>
      </c>
      <c r="C62" s="22">
        <v>10000</v>
      </c>
      <c r="D62" s="18" t="s">
        <v>245</v>
      </c>
      <c r="E62" s="18" t="s">
        <v>148</v>
      </c>
      <c r="F62" s="18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</row>
    <row r="63" spans="1:25" ht="15.75" customHeight="1" x14ac:dyDescent="0.35">
      <c r="A63" s="23">
        <v>45219</v>
      </c>
      <c r="B63" s="21" t="s">
        <v>246</v>
      </c>
      <c r="C63" s="22">
        <v>40000</v>
      </c>
      <c r="D63" s="18" t="s">
        <v>207</v>
      </c>
      <c r="E63" s="18" t="s">
        <v>148</v>
      </c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</row>
    <row r="64" spans="1:25" ht="15.75" customHeight="1" x14ac:dyDescent="0.35">
      <c r="A64" s="23">
        <v>45221</v>
      </c>
      <c r="B64" s="25" t="s">
        <v>247</v>
      </c>
      <c r="C64" s="22">
        <v>34000</v>
      </c>
      <c r="D64" s="18" t="s">
        <v>248</v>
      </c>
      <c r="E64" s="18" t="s">
        <v>148</v>
      </c>
      <c r="F64" s="18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</row>
    <row r="65" spans="1:25" ht="15.75" customHeight="1" x14ac:dyDescent="0.35">
      <c r="A65" s="23">
        <v>45226</v>
      </c>
      <c r="B65" s="25" t="s">
        <v>249</v>
      </c>
      <c r="C65" s="22">
        <v>10000</v>
      </c>
      <c r="D65" s="18" t="s">
        <v>229</v>
      </c>
      <c r="E65" s="18" t="s">
        <v>148</v>
      </c>
      <c r="F65" s="18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</row>
    <row r="66" spans="1:25" ht="15.75" customHeight="1" x14ac:dyDescent="0.35">
      <c r="A66" s="23">
        <v>45228</v>
      </c>
      <c r="B66" s="25" t="s">
        <v>146</v>
      </c>
      <c r="C66" s="22">
        <v>20000</v>
      </c>
      <c r="D66" s="18" t="s">
        <v>147</v>
      </c>
      <c r="E66" s="18" t="s">
        <v>148</v>
      </c>
      <c r="F66" s="18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</row>
    <row r="67" spans="1:25" ht="15.75" customHeight="1" x14ac:dyDescent="0.35">
      <c r="A67" s="23">
        <v>45228</v>
      </c>
      <c r="B67" s="25" t="s">
        <v>239</v>
      </c>
      <c r="C67" s="22">
        <v>15000</v>
      </c>
      <c r="D67" s="18" t="s">
        <v>240</v>
      </c>
      <c r="E67" s="18" t="s">
        <v>148</v>
      </c>
      <c r="F67" s="18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</row>
    <row r="68" spans="1:25" ht="15.75" customHeight="1" x14ac:dyDescent="0.35">
      <c r="A68" s="23">
        <v>45230</v>
      </c>
      <c r="B68" s="25" t="s">
        <v>250</v>
      </c>
      <c r="C68" s="22">
        <v>25000</v>
      </c>
      <c r="D68" s="18" t="s">
        <v>197</v>
      </c>
      <c r="E68" s="18" t="s">
        <v>148</v>
      </c>
      <c r="F68" s="18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</row>
    <row r="69" spans="1:25" ht="15.75" customHeight="1" x14ac:dyDescent="0.35">
      <c r="A69" s="23">
        <v>45230</v>
      </c>
      <c r="B69" s="25" t="s">
        <v>202</v>
      </c>
      <c r="C69" s="22">
        <v>10000</v>
      </c>
      <c r="D69" s="18" t="s">
        <v>203</v>
      </c>
      <c r="E69" s="18" t="s">
        <v>148</v>
      </c>
      <c r="F69" s="18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</row>
    <row r="70" spans="1:25" ht="15.75" customHeight="1" x14ac:dyDescent="0.35">
      <c r="A70" s="23">
        <v>45233</v>
      </c>
      <c r="B70" s="5" t="s">
        <v>251</v>
      </c>
      <c r="C70" s="22">
        <v>7755</v>
      </c>
      <c r="D70" s="18" t="s">
        <v>172</v>
      </c>
      <c r="E70" s="18" t="s">
        <v>148</v>
      </c>
      <c r="F70" s="18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</row>
    <row r="71" spans="1:25" ht="15.75" customHeight="1" x14ac:dyDescent="0.35">
      <c r="A71" s="23">
        <v>45235</v>
      </c>
      <c r="B71" s="5" t="s">
        <v>156</v>
      </c>
      <c r="C71" s="22">
        <v>25000</v>
      </c>
      <c r="D71" s="18" t="s">
        <v>157</v>
      </c>
      <c r="E71" s="18" t="s">
        <v>148</v>
      </c>
      <c r="F71" s="18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</row>
    <row r="72" spans="1:25" ht="15.75" customHeight="1" x14ac:dyDescent="0.35">
      <c r="A72" s="23">
        <v>45235</v>
      </c>
      <c r="B72" s="5" t="s">
        <v>200</v>
      </c>
      <c r="C72" s="22">
        <v>28000</v>
      </c>
      <c r="D72" s="18" t="s">
        <v>201</v>
      </c>
      <c r="E72" s="18" t="s">
        <v>148</v>
      </c>
      <c r="F72" s="18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</row>
    <row r="73" spans="1:25" ht="15.75" customHeight="1" x14ac:dyDescent="0.35">
      <c r="A73" s="23">
        <v>45235</v>
      </c>
      <c r="B73" s="5" t="s">
        <v>252</v>
      </c>
      <c r="C73" s="22">
        <v>20000</v>
      </c>
      <c r="D73" s="18" t="s">
        <v>181</v>
      </c>
      <c r="E73" s="18" t="s">
        <v>148</v>
      </c>
      <c r="F73" s="18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</row>
    <row r="74" spans="1:25" ht="15.75" customHeight="1" x14ac:dyDescent="0.35">
      <c r="A74" s="23">
        <v>45235</v>
      </c>
      <c r="B74" s="25" t="s">
        <v>253</v>
      </c>
      <c r="C74" s="22">
        <v>20000</v>
      </c>
      <c r="D74" s="18" t="s">
        <v>209</v>
      </c>
      <c r="E74" s="18" t="s">
        <v>148</v>
      </c>
      <c r="F74" s="18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</row>
    <row r="75" spans="1:25" ht="15.75" customHeight="1" x14ac:dyDescent="0.35">
      <c r="A75" s="23">
        <v>45236</v>
      </c>
      <c r="B75" s="5" t="s">
        <v>254</v>
      </c>
      <c r="C75" s="22">
        <v>74085</v>
      </c>
      <c r="D75" s="18" t="s">
        <v>150</v>
      </c>
      <c r="E75" s="18" t="s">
        <v>148</v>
      </c>
      <c r="F75" s="18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</row>
    <row r="76" spans="1:25" ht="15.75" customHeight="1" x14ac:dyDescent="0.35">
      <c r="A76" s="23">
        <v>45236</v>
      </c>
      <c r="B76" s="5" t="s">
        <v>255</v>
      </c>
      <c r="C76" s="22">
        <v>27000</v>
      </c>
      <c r="D76" s="18" t="s">
        <v>177</v>
      </c>
      <c r="E76" s="18" t="s">
        <v>148</v>
      </c>
      <c r="F76" s="18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</row>
    <row r="77" spans="1:25" ht="15.75" customHeight="1" x14ac:dyDescent="0.35">
      <c r="A77" s="23">
        <v>45236</v>
      </c>
      <c r="B77" s="5" t="s">
        <v>256</v>
      </c>
      <c r="C77" s="22">
        <v>30000</v>
      </c>
      <c r="D77" s="18" t="s">
        <v>231</v>
      </c>
      <c r="E77" s="18" t="s">
        <v>148</v>
      </c>
      <c r="F77" s="18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</row>
    <row r="78" spans="1:25" ht="15.75" customHeight="1" x14ac:dyDescent="0.35">
      <c r="A78" s="23">
        <v>45236</v>
      </c>
      <c r="B78" s="5" t="s">
        <v>257</v>
      </c>
      <c r="C78" s="22">
        <v>15000</v>
      </c>
      <c r="D78" s="18" t="s">
        <v>222</v>
      </c>
      <c r="E78" s="18" t="s">
        <v>148</v>
      </c>
      <c r="F78" s="18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</row>
    <row r="79" spans="1:25" ht="15.75" customHeight="1" x14ac:dyDescent="0.35">
      <c r="A79" s="23">
        <v>45237</v>
      </c>
      <c r="B79" s="21" t="s">
        <v>258</v>
      </c>
      <c r="C79" s="22">
        <v>30000</v>
      </c>
      <c r="D79" s="18" t="s">
        <v>190</v>
      </c>
      <c r="E79" s="18" t="s">
        <v>148</v>
      </c>
      <c r="F79" s="18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</row>
    <row r="80" spans="1:25" ht="15.75" customHeight="1" x14ac:dyDescent="0.35">
      <c r="A80" s="23">
        <v>45237</v>
      </c>
      <c r="B80" s="25" t="s">
        <v>259</v>
      </c>
      <c r="C80" s="22">
        <v>27000</v>
      </c>
      <c r="D80" s="18" t="s">
        <v>179</v>
      </c>
      <c r="E80" s="18" t="s">
        <v>148</v>
      </c>
      <c r="F80" s="18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</row>
    <row r="81" spans="1:25" ht="15.75" customHeight="1" x14ac:dyDescent="0.35">
      <c r="A81" s="23">
        <v>45238</v>
      </c>
      <c r="B81" s="25" t="s">
        <v>170</v>
      </c>
      <c r="C81" s="22">
        <v>35000</v>
      </c>
      <c r="D81" s="18" t="s">
        <v>155</v>
      </c>
      <c r="E81" s="18" t="s">
        <v>148</v>
      </c>
      <c r="F81" s="18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</row>
    <row r="82" spans="1:25" ht="15.75" customHeight="1" x14ac:dyDescent="0.35">
      <c r="A82" s="23">
        <v>45238</v>
      </c>
      <c r="B82" s="25" t="s">
        <v>260</v>
      </c>
      <c r="C82" s="22">
        <v>9700</v>
      </c>
      <c r="D82" s="18" t="s">
        <v>183</v>
      </c>
      <c r="E82" s="18" t="s">
        <v>148</v>
      </c>
      <c r="F82" s="18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</row>
    <row r="83" spans="1:25" ht="15.75" customHeight="1" x14ac:dyDescent="0.35">
      <c r="A83" s="23">
        <v>45239</v>
      </c>
      <c r="B83" s="25" t="s">
        <v>261</v>
      </c>
      <c r="C83" s="22">
        <v>30000</v>
      </c>
      <c r="D83" s="18" t="s">
        <v>214</v>
      </c>
      <c r="E83" s="18" t="s">
        <v>148</v>
      </c>
      <c r="F83" s="18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</row>
    <row r="84" spans="1:25" ht="15.75" customHeight="1" x14ac:dyDescent="0.35">
      <c r="A84" s="23">
        <v>45242</v>
      </c>
      <c r="B84" s="25" t="s">
        <v>250</v>
      </c>
      <c r="C84" s="22">
        <v>20000</v>
      </c>
      <c r="D84" s="18" t="s">
        <v>197</v>
      </c>
      <c r="E84" s="18" t="s">
        <v>148</v>
      </c>
      <c r="F84" s="18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</row>
    <row r="85" spans="1:25" ht="15.75" customHeight="1" x14ac:dyDescent="0.35">
      <c r="A85" s="23">
        <v>45243</v>
      </c>
      <c r="B85" s="25" t="s">
        <v>262</v>
      </c>
      <c r="C85" s="22">
        <v>6000</v>
      </c>
      <c r="D85" s="18" t="s">
        <v>179</v>
      </c>
      <c r="E85" s="18" t="s">
        <v>148</v>
      </c>
      <c r="F85" s="18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</row>
    <row r="86" spans="1:25" ht="15.75" customHeight="1" x14ac:dyDescent="0.35">
      <c r="A86" s="23">
        <v>45244</v>
      </c>
      <c r="B86" s="21" t="s">
        <v>263</v>
      </c>
      <c r="C86" s="22">
        <v>44000</v>
      </c>
      <c r="D86" s="18" t="s">
        <v>169</v>
      </c>
      <c r="E86" s="18" t="s">
        <v>148</v>
      </c>
      <c r="F86" s="18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</row>
    <row r="87" spans="1:25" ht="15.75" customHeight="1" x14ac:dyDescent="0.35">
      <c r="A87" s="23">
        <v>45249</v>
      </c>
      <c r="B87" s="25" t="s">
        <v>264</v>
      </c>
      <c r="C87" s="22">
        <v>20400</v>
      </c>
      <c r="D87" s="18" t="s">
        <v>238</v>
      </c>
      <c r="E87" s="18" t="s">
        <v>148</v>
      </c>
      <c r="F87" s="18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</row>
    <row r="88" spans="1:25" ht="15.75" customHeight="1" x14ac:dyDescent="0.35">
      <c r="A88" s="23">
        <v>45249</v>
      </c>
      <c r="B88" s="25" t="s">
        <v>265</v>
      </c>
      <c r="C88" s="22">
        <v>8600</v>
      </c>
      <c r="D88" s="18" t="s">
        <v>167</v>
      </c>
      <c r="E88" s="18" t="s">
        <v>148</v>
      </c>
      <c r="F88" s="18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</row>
    <row r="89" spans="1:25" ht="15.75" customHeight="1" x14ac:dyDescent="0.35">
      <c r="A89" s="23">
        <v>45249</v>
      </c>
      <c r="B89" s="25" t="s">
        <v>173</v>
      </c>
      <c r="C89" s="22">
        <v>4032</v>
      </c>
      <c r="D89" s="18" t="s">
        <v>174</v>
      </c>
      <c r="E89" s="18" t="s">
        <v>148</v>
      </c>
      <c r="F89" s="18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</row>
    <row r="90" spans="1:25" ht="15.75" customHeight="1" x14ac:dyDescent="0.35">
      <c r="A90" s="23">
        <v>45250</v>
      </c>
      <c r="B90" s="25" t="s">
        <v>246</v>
      </c>
      <c r="C90" s="22">
        <v>30000</v>
      </c>
      <c r="D90" s="18" t="s">
        <v>207</v>
      </c>
      <c r="E90" s="18" t="s">
        <v>148</v>
      </c>
      <c r="F90" s="18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</row>
    <row r="91" spans="1:25" ht="15.75" customHeight="1" x14ac:dyDescent="0.35">
      <c r="A91" s="23">
        <v>45250</v>
      </c>
      <c r="B91" s="25" t="s">
        <v>266</v>
      </c>
      <c r="C91" s="22">
        <v>40000</v>
      </c>
      <c r="D91" s="18" t="s">
        <v>193</v>
      </c>
      <c r="E91" s="18" t="s">
        <v>148</v>
      </c>
      <c r="F91" s="18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</row>
    <row r="92" spans="1:25" ht="15.75" customHeight="1" x14ac:dyDescent="0.35">
      <c r="A92" s="23">
        <v>45250</v>
      </c>
      <c r="B92" s="25" t="s">
        <v>267</v>
      </c>
      <c r="C92" s="22">
        <v>14000</v>
      </c>
      <c r="D92" s="18" t="s">
        <v>165</v>
      </c>
      <c r="E92" s="18" t="s">
        <v>148</v>
      </c>
      <c r="F92" s="18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</row>
    <row r="93" spans="1:25" ht="15.75" customHeight="1" x14ac:dyDescent="0.35">
      <c r="A93" s="23">
        <v>45250</v>
      </c>
      <c r="B93" s="25" t="s">
        <v>268</v>
      </c>
      <c r="C93" s="22">
        <v>30000</v>
      </c>
      <c r="D93" s="18" t="s">
        <v>185</v>
      </c>
      <c r="E93" s="18" t="s">
        <v>148</v>
      </c>
      <c r="F93" s="18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</row>
    <row r="94" spans="1:25" ht="15.75" customHeight="1" x14ac:dyDescent="0.35">
      <c r="A94" s="23">
        <v>45250</v>
      </c>
      <c r="B94" s="25" t="s">
        <v>269</v>
      </c>
      <c r="C94" s="22">
        <v>10000</v>
      </c>
      <c r="D94" s="18" t="s">
        <v>220</v>
      </c>
      <c r="E94" s="18" t="s">
        <v>148</v>
      </c>
      <c r="F94" s="18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</row>
    <row r="95" spans="1:25" ht="15.75" customHeight="1" x14ac:dyDescent="0.35">
      <c r="A95" s="23">
        <v>45250</v>
      </c>
      <c r="B95" s="25" t="s">
        <v>270</v>
      </c>
      <c r="C95" s="22">
        <v>15000</v>
      </c>
      <c r="D95" s="18" t="s">
        <v>243</v>
      </c>
      <c r="E95" s="18" t="s">
        <v>148</v>
      </c>
      <c r="F95" s="18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</row>
    <row r="96" spans="1:25" ht="15.75" customHeight="1" x14ac:dyDescent="0.35">
      <c r="A96" s="23">
        <v>45251</v>
      </c>
      <c r="B96" s="25" t="s">
        <v>271</v>
      </c>
      <c r="C96" s="22">
        <v>22760</v>
      </c>
      <c r="D96" s="18" t="s">
        <v>227</v>
      </c>
      <c r="E96" s="18" t="s">
        <v>148</v>
      </c>
      <c r="F96" s="18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</row>
    <row r="97" spans="1:25" ht="15.75" customHeight="1" x14ac:dyDescent="0.35">
      <c r="A97" s="23">
        <v>45251</v>
      </c>
      <c r="B97" s="25" t="s">
        <v>272</v>
      </c>
      <c r="C97" s="22">
        <v>10000</v>
      </c>
      <c r="D97" s="18" t="s">
        <v>245</v>
      </c>
      <c r="E97" s="18" t="s">
        <v>148</v>
      </c>
      <c r="F97" s="18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</row>
    <row r="98" spans="1:25" ht="15.75" customHeight="1" x14ac:dyDescent="0.35">
      <c r="A98" s="23">
        <v>45251</v>
      </c>
      <c r="B98" s="25" t="s">
        <v>225</v>
      </c>
      <c r="C98" s="22">
        <v>50000</v>
      </c>
      <c r="D98" s="18" t="s">
        <v>159</v>
      </c>
      <c r="E98" s="18" t="s">
        <v>148</v>
      </c>
      <c r="F98" s="18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</row>
    <row r="99" spans="1:25" ht="15.75" customHeight="1" x14ac:dyDescent="0.35">
      <c r="A99" s="23">
        <v>45251</v>
      </c>
      <c r="B99" s="25" t="s">
        <v>208</v>
      </c>
      <c r="C99" s="22">
        <v>20000</v>
      </c>
      <c r="D99" s="18" t="s">
        <v>209</v>
      </c>
      <c r="E99" s="18" t="s">
        <v>148</v>
      </c>
      <c r="F99" s="18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</row>
    <row r="100" spans="1:25" ht="15.75" customHeight="1" x14ac:dyDescent="0.35">
      <c r="A100" s="23">
        <v>45252</v>
      </c>
      <c r="B100" s="25" t="s">
        <v>180</v>
      </c>
      <c r="C100" s="22">
        <v>20000</v>
      </c>
      <c r="D100" s="18" t="s">
        <v>181</v>
      </c>
      <c r="E100" s="18" t="s">
        <v>148</v>
      </c>
      <c r="F100" s="18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</row>
    <row r="101" spans="1:25" ht="15.75" customHeight="1" x14ac:dyDescent="0.35">
      <c r="A101" s="23">
        <v>45253</v>
      </c>
      <c r="B101" s="25" t="s">
        <v>273</v>
      </c>
      <c r="C101" s="22">
        <v>25000</v>
      </c>
      <c r="D101" s="18" t="s">
        <v>274</v>
      </c>
      <c r="E101" s="18" t="s">
        <v>148</v>
      </c>
      <c r="F101" s="18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</row>
    <row r="102" spans="1:25" ht="15.75" customHeight="1" x14ac:dyDescent="0.35">
      <c r="A102" s="23">
        <v>45254</v>
      </c>
      <c r="B102" s="25" t="s">
        <v>275</v>
      </c>
      <c r="C102" s="22">
        <v>4000</v>
      </c>
      <c r="D102" s="18" t="s">
        <v>203</v>
      </c>
      <c r="E102" s="18" t="s">
        <v>148</v>
      </c>
      <c r="F102" s="18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</row>
    <row r="103" spans="1:25" ht="15.75" customHeight="1" x14ac:dyDescent="0.35">
      <c r="A103" s="23">
        <v>45254</v>
      </c>
      <c r="B103" s="25" t="s">
        <v>276</v>
      </c>
      <c r="C103" s="22">
        <v>11200</v>
      </c>
      <c r="D103" s="18" t="s">
        <v>179</v>
      </c>
      <c r="E103" s="18" t="s">
        <v>148</v>
      </c>
      <c r="F103" s="18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</row>
    <row r="104" spans="1:25" ht="15.75" customHeight="1" x14ac:dyDescent="0.35">
      <c r="A104" s="23">
        <v>45257</v>
      </c>
      <c r="B104" s="25" t="s">
        <v>277</v>
      </c>
      <c r="C104" s="22">
        <v>5000</v>
      </c>
      <c r="D104" s="18" t="s">
        <v>177</v>
      </c>
      <c r="E104" s="18" t="s">
        <v>148</v>
      </c>
      <c r="F104" s="18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</row>
    <row r="105" spans="1:25" ht="15.75" customHeight="1" x14ac:dyDescent="0.35">
      <c r="A105" s="23">
        <v>45257</v>
      </c>
      <c r="B105" s="25" t="s">
        <v>278</v>
      </c>
      <c r="C105" s="22">
        <v>10000</v>
      </c>
      <c r="D105" s="18" t="s">
        <v>214</v>
      </c>
      <c r="E105" s="18" t="s">
        <v>148</v>
      </c>
      <c r="F105" s="18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</row>
    <row r="106" spans="1:25" ht="15.75" customHeight="1" x14ac:dyDescent="0.35">
      <c r="A106" s="23">
        <v>45257</v>
      </c>
      <c r="B106" s="25" t="s">
        <v>279</v>
      </c>
      <c r="C106" s="22">
        <v>10000</v>
      </c>
      <c r="D106" s="18" t="s">
        <v>280</v>
      </c>
      <c r="E106" s="18" t="s">
        <v>148</v>
      </c>
      <c r="F106" s="18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</row>
    <row r="107" spans="1:25" ht="15.75" customHeight="1" x14ac:dyDescent="0.35">
      <c r="A107" s="23">
        <v>45257</v>
      </c>
      <c r="B107" s="25" t="s">
        <v>281</v>
      </c>
      <c r="C107" s="22">
        <v>18000</v>
      </c>
      <c r="D107" s="18" t="s">
        <v>222</v>
      </c>
      <c r="E107" s="18" t="s">
        <v>148</v>
      </c>
      <c r="F107" s="18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</row>
    <row r="108" spans="1:25" ht="15.75" customHeight="1" x14ac:dyDescent="0.35">
      <c r="A108" s="23">
        <v>45257</v>
      </c>
      <c r="B108" s="25" t="s">
        <v>282</v>
      </c>
      <c r="C108" s="22">
        <v>49000</v>
      </c>
      <c r="D108" s="18" t="s">
        <v>218</v>
      </c>
      <c r="E108" s="18" t="s">
        <v>148</v>
      </c>
      <c r="F108" s="18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</row>
    <row r="109" spans="1:25" ht="15.75" customHeight="1" x14ac:dyDescent="0.35">
      <c r="A109" s="23">
        <v>45258</v>
      </c>
      <c r="B109" s="25" t="s">
        <v>283</v>
      </c>
      <c r="C109" s="22">
        <v>20000</v>
      </c>
      <c r="D109" s="18" t="s">
        <v>199</v>
      </c>
      <c r="E109" s="18" t="s">
        <v>148</v>
      </c>
      <c r="F109" s="18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</row>
    <row r="110" spans="1:25" ht="15.75" customHeight="1" x14ac:dyDescent="0.35">
      <c r="A110" s="23">
        <v>45258</v>
      </c>
      <c r="B110" s="25" t="s">
        <v>284</v>
      </c>
      <c r="C110" s="22">
        <v>10000</v>
      </c>
      <c r="D110" s="18" t="s">
        <v>165</v>
      </c>
      <c r="E110" s="18" t="s">
        <v>148</v>
      </c>
      <c r="F110" s="18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</row>
    <row r="111" spans="1:25" ht="15.75" customHeight="1" x14ac:dyDescent="0.35">
      <c r="A111" s="23">
        <v>45258</v>
      </c>
      <c r="B111" s="25" t="s">
        <v>285</v>
      </c>
      <c r="C111" s="22">
        <v>5200</v>
      </c>
      <c r="D111" s="18" t="s">
        <v>220</v>
      </c>
      <c r="E111" s="18" t="s">
        <v>148</v>
      </c>
      <c r="F111" s="18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</row>
    <row r="112" spans="1:25" ht="15.75" customHeight="1" x14ac:dyDescent="0.35">
      <c r="A112" s="23">
        <v>45258</v>
      </c>
      <c r="B112" s="25" t="s">
        <v>286</v>
      </c>
      <c r="C112" s="22">
        <v>5000</v>
      </c>
      <c r="D112" s="18" t="s">
        <v>238</v>
      </c>
      <c r="E112" s="18" t="s">
        <v>148</v>
      </c>
      <c r="F112" s="18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</row>
    <row r="113" spans="1:25" ht="15.75" customHeight="1" x14ac:dyDescent="0.35">
      <c r="A113" s="23">
        <v>45259</v>
      </c>
      <c r="B113" s="25" t="s">
        <v>170</v>
      </c>
      <c r="C113" s="22">
        <v>4725</v>
      </c>
      <c r="D113" s="18" t="s">
        <v>155</v>
      </c>
      <c r="E113" s="18" t="s">
        <v>148</v>
      </c>
      <c r="F113" s="18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</row>
    <row r="114" spans="1:25" ht="15.75" customHeight="1" x14ac:dyDescent="0.35">
      <c r="A114" s="23">
        <v>45263</v>
      </c>
      <c r="B114" s="25" t="s">
        <v>287</v>
      </c>
      <c r="C114" s="22">
        <v>4000</v>
      </c>
      <c r="D114" s="18" t="s">
        <v>172</v>
      </c>
      <c r="E114" s="18" t="s">
        <v>148</v>
      </c>
      <c r="F114" s="18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</row>
    <row r="115" spans="1:25" ht="15.75" customHeight="1" x14ac:dyDescent="0.35">
      <c r="A115" s="23">
        <v>45263</v>
      </c>
      <c r="B115" s="25" t="s">
        <v>186</v>
      </c>
      <c r="C115" s="22">
        <v>8000</v>
      </c>
      <c r="D115" s="18" t="s">
        <v>169</v>
      </c>
      <c r="E115" s="18" t="s">
        <v>148</v>
      </c>
      <c r="F115" s="18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</row>
    <row r="116" spans="1:25" ht="15.75" customHeight="1" x14ac:dyDescent="0.35">
      <c r="A116" s="23">
        <v>45630</v>
      </c>
      <c r="B116" s="25" t="s">
        <v>288</v>
      </c>
      <c r="C116" s="22">
        <v>20000</v>
      </c>
      <c r="D116" s="18" t="s">
        <v>243</v>
      </c>
      <c r="E116" s="18" t="s">
        <v>148</v>
      </c>
      <c r="F116" s="18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</row>
    <row r="117" spans="1:25" ht="15.75" customHeight="1" x14ac:dyDescent="0.35">
      <c r="A117" s="23">
        <v>45264</v>
      </c>
      <c r="B117" s="25" t="s">
        <v>289</v>
      </c>
      <c r="C117" s="22">
        <v>30000</v>
      </c>
      <c r="D117" s="18" t="s">
        <v>193</v>
      </c>
      <c r="E117" s="18" t="s">
        <v>148</v>
      </c>
      <c r="F117" s="18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</row>
    <row r="118" spans="1:25" ht="15.75" customHeight="1" x14ac:dyDescent="0.35">
      <c r="A118" s="23">
        <v>45264</v>
      </c>
      <c r="B118" s="25" t="s">
        <v>180</v>
      </c>
      <c r="C118" s="22">
        <v>14000</v>
      </c>
      <c r="D118" s="18" t="s">
        <v>181</v>
      </c>
      <c r="E118" s="18" t="s">
        <v>148</v>
      </c>
      <c r="F118" s="18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</row>
    <row r="119" spans="1:25" ht="15.75" customHeight="1" x14ac:dyDescent="0.35">
      <c r="A119" s="23">
        <v>45264</v>
      </c>
      <c r="B119" s="25" t="s">
        <v>272</v>
      </c>
      <c r="C119" s="22">
        <v>20000</v>
      </c>
      <c r="D119" s="18" t="s">
        <v>245</v>
      </c>
      <c r="E119" s="18" t="s">
        <v>148</v>
      </c>
      <c r="F119" s="18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</row>
    <row r="120" spans="1:25" ht="15.75" customHeight="1" x14ac:dyDescent="0.35">
      <c r="A120" s="23">
        <v>45264</v>
      </c>
      <c r="B120" s="25" t="s">
        <v>206</v>
      </c>
      <c r="C120" s="22">
        <v>17000</v>
      </c>
      <c r="D120" s="18" t="s">
        <v>207</v>
      </c>
      <c r="E120" s="18" t="s">
        <v>148</v>
      </c>
      <c r="F120" s="18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</row>
    <row r="121" spans="1:25" ht="15.75" customHeight="1" x14ac:dyDescent="0.35">
      <c r="A121" s="23">
        <v>45264</v>
      </c>
      <c r="B121" s="25" t="s">
        <v>290</v>
      </c>
      <c r="C121" s="22">
        <v>27000</v>
      </c>
      <c r="D121" s="18" t="s">
        <v>159</v>
      </c>
      <c r="E121" s="18" t="s">
        <v>148</v>
      </c>
      <c r="F121" s="18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</row>
    <row r="122" spans="1:25" ht="15.75" customHeight="1" x14ac:dyDescent="0.35">
      <c r="A122" s="23">
        <v>45264</v>
      </c>
      <c r="B122" s="25" t="s">
        <v>250</v>
      </c>
      <c r="C122" s="22">
        <v>20000</v>
      </c>
      <c r="D122" s="18" t="s">
        <v>197</v>
      </c>
      <c r="E122" s="18" t="s">
        <v>148</v>
      </c>
      <c r="F122" s="18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</row>
    <row r="123" spans="1:25" ht="15.75" customHeight="1" x14ac:dyDescent="0.35">
      <c r="A123" s="23">
        <v>45264</v>
      </c>
      <c r="B123" s="25" t="s">
        <v>291</v>
      </c>
      <c r="C123" s="22">
        <v>18020</v>
      </c>
      <c r="D123" s="18" t="s">
        <v>190</v>
      </c>
      <c r="E123" s="18" t="s">
        <v>148</v>
      </c>
      <c r="F123" s="18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</row>
    <row r="124" spans="1:25" ht="15.75" customHeight="1" x14ac:dyDescent="0.35">
      <c r="A124" s="23">
        <v>45264</v>
      </c>
      <c r="B124" s="25" t="s">
        <v>156</v>
      </c>
      <c r="C124" s="22">
        <v>8000</v>
      </c>
      <c r="D124" s="18" t="s">
        <v>157</v>
      </c>
      <c r="E124" s="18" t="s">
        <v>148</v>
      </c>
      <c r="F124" s="18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</row>
    <row r="125" spans="1:25" ht="15.75" customHeight="1" x14ac:dyDescent="0.35">
      <c r="A125" s="23">
        <v>45265</v>
      </c>
      <c r="B125" s="25" t="s">
        <v>277</v>
      </c>
      <c r="C125" s="22">
        <v>9000</v>
      </c>
      <c r="D125" s="18" t="s">
        <v>177</v>
      </c>
      <c r="E125" s="18" t="s">
        <v>148</v>
      </c>
      <c r="F125" s="18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</row>
    <row r="126" spans="1:25" ht="15.75" customHeight="1" x14ac:dyDescent="0.35">
      <c r="A126" s="23">
        <v>45265</v>
      </c>
      <c r="B126" s="25" t="s">
        <v>277</v>
      </c>
      <c r="C126" s="22">
        <v>15000</v>
      </c>
      <c r="D126" s="18" t="s">
        <v>177</v>
      </c>
      <c r="E126" s="18" t="s">
        <v>148</v>
      </c>
      <c r="F126" s="18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</row>
    <row r="127" spans="1:25" ht="15.75" customHeight="1" x14ac:dyDescent="0.35">
      <c r="A127" s="23">
        <v>45265</v>
      </c>
      <c r="B127" s="25" t="s">
        <v>287</v>
      </c>
      <c r="C127" s="22">
        <v>4000</v>
      </c>
      <c r="D127" s="18" t="s">
        <v>179</v>
      </c>
      <c r="E127" s="18" t="s">
        <v>148</v>
      </c>
      <c r="F127" s="18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</row>
    <row r="128" spans="1:25" ht="15.75" customHeight="1" x14ac:dyDescent="0.35">
      <c r="A128" s="23">
        <v>45266</v>
      </c>
      <c r="B128" s="25" t="s">
        <v>154</v>
      </c>
      <c r="C128" s="22">
        <v>8000</v>
      </c>
      <c r="D128" s="18" t="s">
        <v>155</v>
      </c>
      <c r="E128" s="18" t="s">
        <v>148</v>
      </c>
      <c r="F128" s="18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</row>
    <row r="129" spans="1:25" ht="15.75" customHeight="1" x14ac:dyDescent="0.35">
      <c r="A129" s="23">
        <v>45266</v>
      </c>
      <c r="B129" s="25" t="s">
        <v>225</v>
      </c>
      <c r="C129" s="22">
        <v>30000</v>
      </c>
      <c r="D129" s="18" t="s">
        <v>159</v>
      </c>
      <c r="E129" s="18" t="s">
        <v>148</v>
      </c>
      <c r="F129" s="18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</row>
    <row r="130" spans="1:25" ht="15.75" customHeight="1" x14ac:dyDescent="0.35">
      <c r="A130" s="23">
        <v>45267</v>
      </c>
      <c r="B130" s="25" t="s">
        <v>292</v>
      </c>
      <c r="C130" s="22">
        <v>5000</v>
      </c>
      <c r="D130" s="18" t="s">
        <v>205</v>
      </c>
      <c r="E130" s="18" t="s">
        <v>148</v>
      </c>
      <c r="F130" s="18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</row>
    <row r="131" spans="1:25" ht="15.75" customHeight="1" x14ac:dyDescent="0.35">
      <c r="A131" s="23">
        <v>45267</v>
      </c>
      <c r="B131" s="25" t="s">
        <v>265</v>
      </c>
      <c r="C131" s="22">
        <v>5000</v>
      </c>
      <c r="D131" s="18" t="s">
        <v>293</v>
      </c>
      <c r="E131" s="18" t="s">
        <v>148</v>
      </c>
      <c r="F131" s="18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</row>
    <row r="132" spans="1:25" ht="15.75" customHeight="1" x14ac:dyDescent="0.35">
      <c r="A132" s="23">
        <v>45268</v>
      </c>
      <c r="B132" s="25" t="s">
        <v>294</v>
      </c>
      <c r="C132" s="22">
        <v>4000</v>
      </c>
      <c r="D132" s="18" t="s">
        <v>195</v>
      </c>
      <c r="E132" s="18" t="s">
        <v>148</v>
      </c>
      <c r="F132" s="18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</row>
    <row r="133" spans="1:25" ht="15.75" customHeight="1" x14ac:dyDescent="0.35">
      <c r="A133" s="23">
        <v>45268</v>
      </c>
      <c r="B133" s="25" t="s">
        <v>292</v>
      </c>
      <c r="C133" s="22">
        <v>4000</v>
      </c>
      <c r="D133" s="18" t="s">
        <v>205</v>
      </c>
      <c r="E133" s="18" t="s">
        <v>148</v>
      </c>
      <c r="F133" s="18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</row>
    <row r="134" spans="1:25" ht="15.75" customHeight="1" x14ac:dyDescent="0.35">
      <c r="A134" s="23">
        <v>45268</v>
      </c>
      <c r="B134" s="25" t="s">
        <v>173</v>
      </c>
      <c r="C134" s="22">
        <v>8000</v>
      </c>
      <c r="D134" s="18" t="s">
        <v>174</v>
      </c>
      <c r="E134" s="18" t="s">
        <v>148</v>
      </c>
      <c r="F134" s="18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</row>
    <row r="135" spans="1:25" ht="15.75" customHeight="1" x14ac:dyDescent="0.35">
      <c r="A135" s="23">
        <v>45270</v>
      </c>
      <c r="B135" s="25" t="s">
        <v>295</v>
      </c>
      <c r="C135" s="22">
        <v>30000</v>
      </c>
      <c r="D135" s="18" t="s">
        <v>231</v>
      </c>
      <c r="E135" s="18" t="s">
        <v>148</v>
      </c>
      <c r="F135" s="18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</row>
    <row r="136" spans="1:25" ht="15.75" customHeight="1" x14ac:dyDescent="0.35">
      <c r="A136" s="23">
        <v>45270</v>
      </c>
      <c r="B136" s="25" t="s">
        <v>294</v>
      </c>
      <c r="C136" s="22">
        <v>4000</v>
      </c>
      <c r="D136" s="18" t="s">
        <v>195</v>
      </c>
      <c r="E136" s="18" t="s">
        <v>148</v>
      </c>
      <c r="F136" s="18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</row>
    <row r="137" spans="1:25" ht="15.75" customHeight="1" x14ac:dyDescent="0.35">
      <c r="A137" s="23">
        <v>45270</v>
      </c>
      <c r="B137" s="25" t="s">
        <v>296</v>
      </c>
      <c r="C137" s="22">
        <v>12000</v>
      </c>
      <c r="D137" s="18" t="s">
        <v>150</v>
      </c>
      <c r="E137" s="18" t="s">
        <v>148</v>
      </c>
      <c r="F137" s="18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</row>
    <row r="138" spans="1:25" ht="15.75" customHeight="1" x14ac:dyDescent="0.35">
      <c r="A138" s="23">
        <v>45271</v>
      </c>
      <c r="B138" s="25" t="s">
        <v>297</v>
      </c>
      <c r="C138" s="22">
        <v>12000</v>
      </c>
      <c r="D138" s="18" t="s">
        <v>163</v>
      </c>
      <c r="E138" s="18" t="s">
        <v>148</v>
      </c>
      <c r="F138" s="18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</row>
    <row r="139" spans="1:25" ht="15.75" customHeight="1" x14ac:dyDescent="0.35">
      <c r="A139" s="23">
        <v>45271</v>
      </c>
      <c r="B139" s="25" t="s">
        <v>265</v>
      </c>
      <c r="C139" s="22">
        <v>4000</v>
      </c>
      <c r="D139" s="18" t="s">
        <v>167</v>
      </c>
      <c r="E139" s="18" t="s">
        <v>148</v>
      </c>
      <c r="F139" s="18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</row>
    <row r="140" spans="1:25" ht="15.75" customHeight="1" x14ac:dyDescent="0.35">
      <c r="A140" s="23">
        <v>45271</v>
      </c>
      <c r="B140" s="25" t="s">
        <v>268</v>
      </c>
      <c r="C140" s="22">
        <v>14715</v>
      </c>
      <c r="D140" s="18" t="s">
        <v>185</v>
      </c>
      <c r="E140" s="18" t="s">
        <v>148</v>
      </c>
      <c r="F140" s="18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</row>
    <row r="141" spans="1:25" ht="15.75" customHeight="1" x14ac:dyDescent="0.35">
      <c r="A141" s="23">
        <v>45271</v>
      </c>
      <c r="B141" s="25" t="s">
        <v>215</v>
      </c>
      <c r="C141" s="22">
        <v>26725</v>
      </c>
      <c r="D141" s="18" t="s">
        <v>216</v>
      </c>
      <c r="E141" s="18" t="s">
        <v>148</v>
      </c>
      <c r="F141" s="18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</row>
    <row r="142" spans="1:25" ht="15.75" customHeight="1" x14ac:dyDescent="0.35">
      <c r="A142" s="23">
        <v>45271</v>
      </c>
      <c r="B142" s="25" t="s">
        <v>206</v>
      </c>
      <c r="C142" s="22">
        <v>16000</v>
      </c>
      <c r="D142" s="18" t="s">
        <v>207</v>
      </c>
      <c r="E142" s="18" t="s">
        <v>148</v>
      </c>
      <c r="F142" s="18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</row>
    <row r="143" spans="1:25" ht="15.75" customHeight="1" x14ac:dyDescent="0.35">
      <c r="A143" s="23">
        <v>45272</v>
      </c>
      <c r="B143" s="25" t="s">
        <v>298</v>
      </c>
      <c r="C143" s="22">
        <v>4000</v>
      </c>
      <c r="D143" s="18" t="s">
        <v>157</v>
      </c>
      <c r="E143" s="18" t="s">
        <v>148</v>
      </c>
      <c r="F143" s="18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</row>
    <row r="144" spans="1:25" ht="15.75" customHeight="1" x14ac:dyDescent="0.35">
      <c r="A144" s="23">
        <v>45272</v>
      </c>
      <c r="B144" s="25" t="s">
        <v>299</v>
      </c>
      <c r="C144" s="22">
        <v>4260</v>
      </c>
      <c r="D144" s="18" t="s">
        <v>165</v>
      </c>
      <c r="E144" s="18" t="s">
        <v>148</v>
      </c>
      <c r="F144" s="18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</row>
    <row r="145" spans="1:25" ht="15.75" customHeight="1" x14ac:dyDescent="0.35">
      <c r="A145" s="23">
        <v>45272</v>
      </c>
      <c r="B145" s="25" t="s">
        <v>300</v>
      </c>
      <c r="C145" s="22">
        <v>8000</v>
      </c>
      <c r="D145" s="18" t="s">
        <v>183</v>
      </c>
      <c r="E145" s="18" t="s">
        <v>148</v>
      </c>
      <c r="F145" s="18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</row>
    <row r="146" spans="1:25" ht="15.75" customHeight="1" x14ac:dyDescent="0.35">
      <c r="A146" s="23">
        <v>45272</v>
      </c>
      <c r="B146" s="25" t="s">
        <v>283</v>
      </c>
      <c r="C146" s="22">
        <v>4000</v>
      </c>
      <c r="D146" s="18" t="s">
        <v>199</v>
      </c>
      <c r="E146" s="18" t="s">
        <v>148</v>
      </c>
      <c r="F146" s="18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</row>
    <row r="147" spans="1:25" ht="15.75" customHeight="1" x14ac:dyDescent="0.35">
      <c r="A147" s="23">
        <v>45272</v>
      </c>
      <c r="B147" s="25" t="s">
        <v>289</v>
      </c>
      <c r="C147" s="22">
        <v>5000</v>
      </c>
      <c r="D147" s="18" t="s">
        <v>193</v>
      </c>
      <c r="E147" s="18" t="s">
        <v>148</v>
      </c>
      <c r="F147" s="18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</row>
    <row r="148" spans="1:25" ht="15.75" customHeight="1" x14ac:dyDescent="0.35">
      <c r="A148" s="23">
        <v>45273</v>
      </c>
      <c r="B148" s="25" t="s">
        <v>290</v>
      </c>
      <c r="C148" s="22">
        <v>8000</v>
      </c>
      <c r="D148" s="18" t="s">
        <v>159</v>
      </c>
      <c r="E148" s="18" t="s">
        <v>148</v>
      </c>
      <c r="F148" s="18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 spans="1:25" ht="15.75" customHeight="1" x14ac:dyDescent="0.35">
      <c r="A149" s="23">
        <v>45273</v>
      </c>
      <c r="B149" s="25" t="s">
        <v>301</v>
      </c>
      <c r="C149" s="22">
        <v>8000</v>
      </c>
      <c r="D149" s="18" t="s">
        <v>177</v>
      </c>
      <c r="E149" s="18" t="s">
        <v>148</v>
      </c>
      <c r="F149" s="18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 spans="1:25" ht="15.75" customHeight="1" x14ac:dyDescent="0.35">
      <c r="A150" s="23">
        <v>45274</v>
      </c>
      <c r="B150" s="25" t="s">
        <v>196</v>
      </c>
      <c r="C150" s="22">
        <v>8000</v>
      </c>
      <c r="D150" s="18" t="s">
        <v>197</v>
      </c>
      <c r="E150" s="18" t="s">
        <v>148</v>
      </c>
      <c r="F150" s="18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 spans="1:25" ht="15.75" customHeight="1" x14ac:dyDescent="0.35">
      <c r="A151" s="26"/>
      <c r="B151" s="27"/>
      <c r="C151" s="28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 spans="1:25" ht="15.75" customHeight="1" x14ac:dyDescent="0.35">
      <c r="A152" s="26"/>
      <c r="B152" s="27"/>
      <c r="C152" s="28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 spans="1:25" ht="15.75" customHeight="1" x14ac:dyDescent="0.35">
      <c r="A153" s="26"/>
      <c r="B153" s="27"/>
      <c r="C153" s="28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 spans="1:25" ht="15.75" customHeight="1" x14ac:dyDescent="0.35">
      <c r="A154" s="26"/>
      <c r="B154" s="27"/>
      <c r="C154" s="28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</row>
    <row r="155" spans="1:25" ht="15.75" customHeight="1" x14ac:dyDescent="0.35">
      <c r="A155" s="26"/>
      <c r="B155" s="27"/>
      <c r="C155" s="28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</row>
    <row r="156" spans="1:25" ht="15.75" customHeight="1" x14ac:dyDescent="0.35">
      <c r="A156" s="26"/>
      <c r="B156" s="27"/>
      <c r="C156" s="28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</row>
    <row r="157" spans="1:25" ht="15.75" customHeight="1" x14ac:dyDescent="0.35">
      <c r="A157" s="26"/>
      <c r="B157" s="27"/>
      <c r="C157" s="28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</row>
    <row r="158" spans="1:25" ht="15.75" customHeight="1" x14ac:dyDescent="0.35">
      <c r="A158" s="26"/>
      <c r="B158" s="27"/>
      <c r="C158" s="28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</row>
    <row r="159" spans="1:25" ht="15.75" customHeight="1" x14ac:dyDescent="0.35">
      <c r="A159" s="26"/>
      <c r="B159" s="27"/>
      <c r="C159" s="28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</row>
    <row r="160" spans="1:25" ht="15.75" customHeight="1" x14ac:dyDescent="0.35">
      <c r="A160" s="26"/>
      <c r="B160" s="27"/>
      <c r="C160" s="28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</row>
    <row r="161" spans="1:25" ht="15.75" customHeight="1" x14ac:dyDescent="0.35">
      <c r="A161" s="26"/>
      <c r="B161" s="27"/>
      <c r="C161" s="28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</row>
    <row r="162" spans="1:25" ht="15.75" customHeight="1" x14ac:dyDescent="0.35">
      <c r="A162" s="26"/>
      <c r="B162" s="27"/>
      <c r="C162" s="28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</row>
    <row r="163" spans="1:25" ht="15.75" customHeight="1" x14ac:dyDescent="0.35">
      <c r="A163" s="26"/>
      <c r="B163" s="27"/>
      <c r="C163" s="28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</row>
    <row r="164" spans="1:25" ht="15.75" customHeight="1" x14ac:dyDescent="0.35">
      <c r="A164" s="26"/>
      <c r="B164" s="27"/>
      <c r="C164" s="28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</row>
    <row r="165" spans="1:25" ht="15.75" customHeight="1" x14ac:dyDescent="0.35">
      <c r="A165" s="26"/>
      <c r="B165" s="27"/>
      <c r="C165" s="28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</row>
    <row r="166" spans="1:25" ht="15.75" customHeight="1" x14ac:dyDescent="0.35">
      <c r="A166" s="26"/>
      <c r="B166" s="27"/>
      <c r="C166" s="28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</row>
    <row r="167" spans="1:25" ht="15.75" customHeight="1" x14ac:dyDescent="0.35">
      <c r="A167" s="26"/>
      <c r="B167" s="27"/>
      <c r="C167" s="28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</row>
    <row r="168" spans="1:25" ht="15.75" customHeight="1" x14ac:dyDescent="0.35">
      <c r="A168" s="26"/>
      <c r="B168" s="27"/>
      <c r="C168" s="28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</row>
    <row r="169" spans="1:25" ht="15.75" customHeight="1" x14ac:dyDescent="0.35">
      <c r="A169" s="26"/>
      <c r="B169" s="27"/>
      <c r="C169" s="28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</row>
    <row r="170" spans="1:25" ht="15.75" customHeight="1" x14ac:dyDescent="0.35">
      <c r="A170" s="26"/>
      <c r="B170" s="27"/>
      <c r="C170" s="28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</row>
    <row r="171" spans="1:25" ht="15.75" customHeight="1" x14ac:dyDescent="0.35">
      <c r="A171" s="26"/>
      <c r="B171" s="27"/>
      <c r="C171" s="28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</row>
    <row r="172" spans="1:25" ht="15.75" customHeight="1" x14ac:dyDescent="0.35">
      <c r="A172" s="26"/>
      <c r="B172" s="27"/>
      <c r="C172" s="28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</row>
    <row r="173" spans="1:25" ht="15.75" customHeight="1" x14ac:dyDescent="0.35">
      <c r="A173" s="26"/>
      <c r="B173" s="27"/>
      <c r="C173" s="28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</row>
    <row r="174" spans="1:25" ht="15.75" customHeight="1" x14ac:dyDescent="0.35">
      <c r="A174" s="26"/>
      <c r="B174" s="27"/>
      <c r="C174" s="28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</row>
    <row r="175" spans="1:25" ht="15.75" customHeight="1" x14ac:dyDescent="0.35">
      <c r="A175" s="26"/>
      <c r="B175" s="27"/>
      <c r="C175" s="28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</row>
    <row r="176" spans="1:25" ht="15.75" customHeight="1" x14ac:dyDescent="0.35">
      <c r="A176" s="26"/>
      <c r="B176" s="27"/>
      <c r="C176" s="28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</row>
    <row r="177" spans="1:25" ht="15.75" customHeight="1" x14ac:dyDescent="0.35">
      <c r="A177" s="26"/>
      <c r="B177" s="27"/>
      <c r="C177" s="28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</row>
    <row r="178" spans="1:25" ht="15.75" customHeight="1" x14ac:dyDescent="0.35">
      <c r="A178" s="26"/>
      <c r="B178" s="27"/>
      <c r="C178" s="28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</row>
    <row r="179" spans="1:25" ht="15.75" customHeight="1" x14ac:dyDescent="0.35">
      <c r="A179" s="26"/>
      <c r="B179" s="27"/>
      <c r="C179" s="28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</row>
    <row r="180" spans="1:25" ht="15.75" customHeight="1" x14ac:dyDescent="0.35">
      <c r="A180" s="26"/>
      <c r="B180" s="27"/>
      <c r="C180" s="28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</row>
    <row r="181" spans="1:25" ht="15.75" customHeight="1" x14ac:dyDescent="0.35">
      <c r="A181" s="26"/>
      <c r="B181" s="27"/>
      <c r="C181" s="28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</row>
    <row r="182" spans="1:25" ht="15.75" customHeight="1" x14ac:dyDescent="0.35">
      <c r="A182" s="26"/>
      <c r="B182" s="27"/>
      <c r="C182" s="28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</row>
    <row r="183" spans="1:25" ht="15.75" customHeight="1" x14ac:dyDescent="0.35">
      <c r="A183" s="26"/>
      <c r="B183" s="27"/>
      <c r="C183" s="28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</row>
    <row r="184" spans="1:25" ht="15.75" customHeight="1" x14ac:dyDescent="0.35">
      <c r="A184" s="26"/>
      <c r="B184" s="27"/>
      <c r="C184" s="28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</row>
    <row r="185" spans="1:25" ht="15.75" customHeight="1" x14ac:dyDescent="0.35">
      <c r="A185" s="26"/>
      <c r="B185" s="27"/>
      <c r="C185" s="28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</row>
    <row r="186" spans="1:25" ht="15.75" customHeight="1" x14ac:dyDescent="0.35">
      <c r="A186" s="26"/>
      <c r="B186" s="27"/>
      <c r="C186" s="28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</row>
    <row r="187" spans="1:25" ht="15.75" customHeight="1" x14ac:dyDescent="0.35">
      <c r="A187" s="26"/>
      <c r="B187" s="27"/>
      <c r="C187" s="28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</row>
    <row r="188" spans="1:25" ht="15.75" customHeight="1" x14ac:dyDescent="0.35">
      <c r="A188" s="26"/>
      <c r="B188" s="27"/>
      <c r="C188" s="28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</row>
    <row r="189" spans="1:25" ht="15.75" customHeight="1" x14ac:dyDescent="0.35">
      <c r="A189" s="26"/>
      <c r="B189" s="27"/>
      <c r="C189" s="28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</row>
    <row r="190" spans="1:25" ht="15.75" customHeight="1" x14ac:dyDescent="0.35">
      <c r="A190" s="26"/>
      <c r="B190" s="27"/>
      <c r="C190" s="28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</row>
    <row r="191" spans="1:25" ht="15.75" customHeight="1" x14ac:dyDescent="0.35">
      <c r="A191" s="26"/>
      <c r="B191" s="27"/>
      <c r="C191" s="28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</row>
    <row r="192" spans="1:25" ht="15.75" customHeight="1" x14ac:dyDescent="0.35">
      <c r="A192" s="26"/>
      <c r="B192" s="27"/>
      <c r="C192" s="28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</row>
    <row r="193" spans="1:25" ht="15.75" customHeight="1" x14ac:dyDescent="0.35">
      <c r="A193" s="26"/>
      <c r="B193" s="27"/>
      <c r="C193" s="28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</row>
    <row r="194" spans="1:25" ht="15.75" customHeight="1" x14ac:dyDescent="0.35">
      <c r="A194" s="26"/>
      <c r="B194" s="27"/>
      <c r="C194" s="28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</row>
    <row r="195" spans="1:25" ht="15.75" customHeight="1" x14ac:dyDescent="0.35">
      <c r="A195" s="26"/>
      <c r="B195" s="27"/>
      <c r="C195" s="28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</row>
    <row r="196" spans="1:25" ht="15.75" customHeight="1" x14ac:dyDescent="0.35">
      <c r="A196" s="26"/>
      <c r="B196" s="27"/>
      <c r="C196" s="28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</row>
    <row r="197" spans="1:25" ht="15.75" customHeight="1" x14ac:dyDescent="0.35">
      <c r="A197" s="26"/>
      <c r="B197" s="27"/>
      <c r="C197" s="28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</row>
    <row r="198" spans="1:25" ht="15.75" customHeight="1" x14ac:dyDescent="0.35">
      <c r="A198" s="26"/>
      <c r="B198" s="27"/>
      <c r="C198" s="28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</row>
    <row r="199" spans="1:25" ht="15.75" customHeight="1" x14ac:dyDescent="0.35">
      <c r="A199" s="26"/>
      <c r="B199" s="27"/>
      <c r="C199" s="28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</row>
    <row r="200" spans="1:25" ht="15.75" customHeight="1" x14ac:dyDescent="0.35">
      <c r="A200" s="26"/>
      <c r="B200" s="27"/>
      <c r="C200" s="28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</row>
    <row r="201" spans="1:25" ht="15.75" customHeight="1" x14ac:dyDescent="0.35">
      <c r="A201" s="26"/>
      <c r="B201" s="27"/>
      <c r="C201" s="28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</row>
    <row r="202" spans="1:25" ht="15.75" customHeight="1" x14ac:dyDescent="0.35">
      <c r="A202" s="26"/>
      <c r="B202" s="27"/>
      <c r="C202" s="28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</row>
    <row r="203" spans="1:25" ht="15.75" customHeight="1" x14ac:dyDescent="0.35">
      <c r="A203" s="26"/>
      <c r="B203" s="27"/>
      <c r="C203" s="28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</row>
    <row r="204" spans="1:25" ht="15.75" customHeight="1" x14ac:dyDescent="0.35">
      <c r="A204" s="26"/>
      <c r="B204" s="27"/>
      <c r="C204" s="28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</row>
    <row r="205" spans="1:25" ht="15.75" customHeight="1" x14ac:dyDescent="0.35">
      <c r="A205" s="26"/>
      <c r="B205" s="27"/>
      <c r="C205" s="28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</row>
    <row r="206" spans="1:25" ht="15.75" customHeight="1" x14ac:dyDescent="0.35">
      <c r="A206" s="26"/>
      <c r="B206" s="27"/>
      <c r="C206" s="28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</row>
    <row r="207" spans="1:25" ht="15.75" customHeight="1" x14ac:dyDescent="0.35">
      <c r="A207" s="26"/>
      <c r="B207" s="27"/>
      <c r="C207" s="28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</row>
    <row r="208" spans="1:25" ht="15.75" customHeight="1" x14ac:dyDescent="0.35">
      <c r="A208" s="26"/>
      <c r="B208" s="27"/>
      <c r="C208" s="28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</row>
    <row r="209" spans="1:25" ht="15.75" customHeight="1" x14ac:dyDescent="0.35">
      <c r="A209" s="26"/>
      <c r="B209" s="27"/>
      <c r="C209" s="28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</row>
    <row r="210" spans="1:25" ht="15.75" customHeight="1" x14ac:dyDescent="0.35">
      <c r="A210" s="26"/>
      <c r="B210" s="27"/>
      <c r="C210" s="28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</row>
    <row r="211" spans="1:25" ht="15.75" customHeight="1" x14ac:dyDescent="0.35">
      <c r="A211" s="26"/>
      <c r="B211" s="27"/>
      <c r="C211" s="28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</row>
    <row r="212" spans="1:25" ht="15.75" customHeight="1" x14ac:dyDescent="0.35">
      <c r="A212" s="26"/>
      <c r="B212" s="27"/>
      <c r="C212" s="28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</row>
    <row r="213" spans="1:25" ht="15.75" customHeight="1" x14ac:dyDescent="0.35">
      <c r="A213" s="26"/>
      <c r="B213" s="27"/>
      <c r="C213" s="28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</row>
    <row r="214" spans="1:25" ht="15.75" customHeight="1" x14ac:dyDescent="0.35">
      <c r="A214" s="26"/>
      <c r="B214" s="27"/>
      <c r="C214" s="28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</row>
    <row r="215" spans="1:25" ht="15.75" customHeight="1" x14ac:dyDescent="0.35">
      <c r="A215" s="26"/>
      <c r="B215" s="27"/>
      <c r="C215" s="28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</row>
    <row r="216" spans="1:25" ht="15.75" customHeight="1" x14ac:dyDescent="0.35">
      <c r="A216" s="26"/>
      <c r="B216" s="27"/>
      <c r="C216" s="28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</row>
    <row r="217" spans="1:25" ht="15.75" customHeight="1" x14ac:dyDescent="0.35">
      <c r="A217" s="26"/>
      <c r="B217" s="27"/>
      <c r="C217" s="28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</row>
    <row r="218" spans="1:25" ht="15.75" customHeight="1" x14ac:dyDescent="0.35">
      <c r="A218" s="26"/>
      <c r="B218" s="27"/>
      <c r="C218" s="28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</row>
    <row r="219" spans="1:25" ht="15.75" customHeight="1" x14ac:dyDescent="0.35">
      <c r="A219" s="26"/>
      <c r="B219" s="27"/>
      <c r="C219" s="28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</row>
    <row r="220" spans="1:25" ht="15.75" customHeight="1" x14ac:dyDescent="0.35">
      <c r="A220" s="26"/>
      <c r="B220" s="27"/>
      <c r="C220" s="28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</row>
    <row r="221" spans="1:25" ht="15.75" customHeight="1" x14ac:dyDescent="0.35">
      <c r="A221" s="26"/>
      <c r="B221" s="19"/>
      <c r="C221" s="28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</row>
    <row r="222" spans="1:25" ht="15.75" customHeight="1" x14ac:dyDescent="0.35">
      <c r="A222" s="26"/>
      <c r="B222" s="19"/>
      <c r="C222" s="28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</row>
    <row r="223" spans="1:25" ht="15.75" customHeight="1" x14ac:dyDescent="0.35">
      <c r="A223" s="26"/>
      <c r="B223" s="19"/>
      <c r="C223" s="28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</row>
    <row r="224" spans="1:25" ht="15.75" customHeight="1" x14ac:dyDescent="0.35">
      <c r="A224" s="26"/>
      <c r="B224" s="19"/>
      <c r="C224" s="28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</row>
    <row r="225" spans="1:25" ht="15.75" customHeight="1" x14ac:dyDescent="0.35">
      <c r="A225" s="26"/>
      <c r="B225" s="19"/>
      <c r="C225" s="28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</row>
    <row r="226" spans="1:25" ht="15.75" customHeight="1" x14ac:dyDescent="0.35">
      <c r="A226" s="26"/>
      <c r="B226" s="19"/>
      <c r="C226" s="28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</row>
    <row r="227" spans="1:25" ht="15.75" customHeight="1" x14ac:dyDescent="0.35"/>
    <row r="228" spans="1:25" ht="15.75" customHeight="1" x14ac:dyDescent="0.35"/>
    <row r="229" spans="1:25" ht="15.75" customHeight="1" x14ac:dyDescent="0.35"/>
    <row r="230" spans="1:25" ht="15.75" customHeight="1" x14ac:dyDescent="0.35"/>
    <row r="231" spans="1:25" ht="15.75" customHeight="1" x14ac:dyDescent="0.35"/>
    <row r="232" spans="1:25" ht="15.75" customHeight="1" x14ac:dyDescent="0.35"/>
    <row r="233" spans="1:25" ht="15.75" customHeight="1" x14ac:dyDescent="0.35"/>
    <row r="234" spans="1:25" ht="15.75" customHeight="1" x14ac:dyDescent="0.35"/>
    <row r="235" spans="1:25" ht="15.75" customHeight="1" x14ac:dyDescent="0.35"/>
    <row r="236" spans="1:25" ht="15.75" customHeight="1" x14ac:dyDescent="0.35"/>
    <row r="237" spans="1:25" ht="15.75" customHeight="1" x14ac:dyDescent="0.35"/>
    <row r="238" spans="1:25" ht="15.75" customHeight="1" x14ac:dyDescent="0.35"/>
    <row r="239" spans="1:25" ht="15.75" customHeight="1" x14ac:dyDescent="0.35"/>
    <row r="240" spans="1:25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4.453125" defaultRowHeight="15" customHeight="1" x14ac:dyDescent="0.35"/>
  <cols>
    <col min="1" max="1" width="14.54296875" customWidth="1"/>
    <col min="2" max="2" width="32.81640625" customWidth="1"/>
    <col min="3" max="3" width="30.453125" customWidth="1"/>
    <col min="4" max="4" width="19.453125" customWidth="1"/>
    <col min="5" max="5" width="12" customWidth="1"/>
    <col min="6" max="6" width="12.453125" customWidth="1"/>
    <col min="7" max="7" width="13.7265625" customWidth="1"/>
    <col min="8" max="8" width="17" customWidth="1"/>
    <col min="9" max="9" width="14.7265625" customWidth="1"/>
    <col min="11" max="11" width="12.7265625" customWidth="1"/>
    <col min="12" max="12" width="12.453125" customWidth="1"/>
    <col min="13" max="13" width="11.26953125" customWidth="1"/>
    <col min="14" max="14" width="16.08984375" customWidth="1"/>
    <col min="15" max="15" width="17.26953125" customWidth="1"/>
    <col min="16" max="16" width="13.54296875" customWidth="1"/>
    <col min="17" max="17" width="28.08984375" customWidth="1"/>
    <col min="18" max="18" width="33.81640625" customWidth="1"/>
    <col min="19" max="19" width="19.453125" customWidth="1"/>
    <col min="20" max="20" width="17" customWidth="1"/>
    <col min="21" max="21" width="13" customWidth="1"/>
    <col min="22" max="22" width="17" customWidth="1"/>
    <col min="23" max="23" width="15.26953125" customWidth="1"/>
    <col min="25" max="26" width="12.453125" customWidth="1"/>
  </cols>
  <sheetData>
    <row r="1" spans="1:26" ht="14.5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</row>
    <row r="2" spans="1:26" ht="14.5" x14ac:dyDescent="0.35">
      <c r="A2" s="5" t="s">
        <v>23</v>
      </c>
      <c r="B2" s="5" t="s">
        <v>24</v>
      </c>
      <c r="C2" s="5" t="s">
        <v>25</v>
      </c>
      <c r="D2" s="6">
        <v>20000</v>
      </c>
      <c r="E2" s="6">
        <v>0</v>
      </c>
      <c r="F2" s="6">
        <f>D2</f>
        <v>20000</v>
      </c>
      <c r="G2" s="6">
        <v>1500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0</v>
      </c>
      <c r="S2" s="6">
        <v>0</v>
      </c>
      <c r="T2" s="6">
        <v>30</v>
      </c>
      <c r="U2" s="6">
        <f t="shared" ref="U2:U71" si="0">SUM(E2:T2)</f>
        <v>21530</v>
      </c>
      <c r="V2" s="6">
        <v>18000</v>
      </c>
      <c r="W2" s="6">
        <f t="shared" ref="W2:W71" si="1">U2-V2</f>
        <v>3530</v>
      </c>
      <c r="X2" s="3"/>
    </row>
    <row r="3" spans="1:26" ht="14.5" x14ac:dyDescent="0.35">
      <c r="A3" s="5" t="s">
        <v>26</v>
      </c>
      <c r="B3" s="5" t="s">
        <v>33</v>
      </c>
      <c r="C3" s="5" t="s">
        <v>34</v>
      </c>
      <c r="D3" s="6">
        <v>20000</v>
      </c>
      <c r="E3" s="6">
        <v>0</v>
      </c>
      <c r="F3" s="6">
        <f>D3*0.75</f>
        <v>15000</v>
      </c>
      <c r="G3" s="6">
        <v>1500</v>
      </c>
      <c r="H3" s="6">
        <v>0</v>
      </c>
      <c r="I3" s="6">
        <v>1000</v>
      </c>
      <c r="J3" s="6">
        <v>0</v>
      </c>
      <c r="K3" s="6">
        <v>2000</v>
      </c>
      <c r="L3" s="6">
        <v>0</v>
      </c>
      <c r="M3" s="6">
        <v>0</v>
      </c>
      <c r="N3" s="6">
        <v>0</v>
      </c>
      <c r="O3" s="6">
        <v>5000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f t="shared" si="0"/>
        <v>24500</v>
      </c>
      <c r="V3" s="6">
        <v>22500</v>
      </c>
      <c r="W3" s="6">
        <f t="shared" si="1"/>
        <v>2000</v>
      </c>
      <c r="X3" s="3"/>
      <c r="Y3" s="5"/>
      <c r="Z3" s="5"/>
    </row>
    <row r="4" spans="1:26" ht="14.5" x14ac:dyDescent="0.35">
      <c r="A4" s="5" t="s">
        <v>26</v>
      </c>
      <c r="B4" s="5" t="s">
        <v>31</v>
      </c>
      <c r="C4" s="5" t="s">
        <v>32</v>
      </c>
      <c r="D4" s="6">
        <v>22000</v>
      </c>
      <c r="E4" s="6">
        <v>0</v>
      </c>
      <c r="F4" s="6">
        <f>D4*0.5</f>
        <v>11000</v>
      </c>
      <c r="G4" s="6">
        <v>2000</v>
      </c>
      <c r="H4" s="6">
        <v>0</v>
      </c>
      <c r="I4" s="6">
        <v>3500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6">
        <v>44760</v>
      </c>
      <c r="U4" s="6">
        <f t="shared" si="0"/>
        <v>61260</v>
      </c>
      <c r="V4" s="6">
        <v>10000</v>
      </c>
      <c r="W4" s="6">
        <f t="shared" si="1"/>
        <v>51260</v>
      </c>
      <c r="X4" s="3"/>
      <c r="Y4" s="5"/>
      <c r="Z4" s="5"/>
    </row>
    <row r="5" spans="1:26" ht="14.5" x14ac:dyDescent="0.35">
      <c r="A5" s="5" t="s">
        <v>26</v>
      </c>
      <c r="B5" s="5" t="s">
        <v>35</v>
      </c>
      <c r="C5" s="5" t="s">
        <v>36</v>
      </c>
      <c r="D5" s="6">
        <v>20000</v>
      </c>
      <c r="E5" s="6">
        <v>0</v>
      </c>
      <c r="F5" s="6">
        <f>D5*0.75</f>
        <v>15000</v>
      </c>
      <c r="G5" s="6">
        <v>1500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-1000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f t="shared" si="0"/>
        <v>15500</v>
      </c>
      <c r="V5" s="6">
        <v>16500</v>
      </c>
      <c r="W5" s="6">
        <f t="shared" si="1"/>
        <v>-1000</v>
      </c>
      <c r="X5" s="3"/>
      <c r="Y5" s="5"/>
      <c r="Z5" s="5"/>
    </row>
    <row r="6" spans="1:26" ht="14.5" x14ac:dyDescent="0.35">
      <c r="A6" s="5" t="s">
        <v>26</v>
      </c>
      <c r="B6" s="5" t="s">
        <v>29</v>
      </c>
      <c r="C6" s="5" t="s">
        <v>30</v>
      </c>
      <c r="D6" s="6">
        <v>0</v>
      </c>
      <c r="E6" s="6">
        <v>0</v>
      </c>
      <c r="F6" s="6">
        <f t="shared" ref="F6:F7" si="2">D6*0.5</f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-1000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46400</v>
      </c>
      <c r="U6" s="6">
        <f t="shared" si="0"/>
        <v>45400</v>
      </c>
      <c r="V6" s="6">
        <v>40000</v>
      </c>
      <c r="W6" s="6">
        <f t="shared" si="1"/>
        <v>5400</v>
      </c>
      <c r="X6" s="3"/>
      <c r="Y6" s="6"/>
      <c r="Z6" s="6"/>
    </row>
    <row r="7" spans="1:26" ht="14.5" x14ac:dyDescent="0.35">
      <c r="A7" s="5" t="s">
        <v>26</v>
      </c>
      <c r="B7" s="5" t="s">
        <v>27</v>
      </c>
      <c r="C7" s="5" t="s">
        <v>28</v>
      </c>
      <c r="D7" s="6">
        <v>22000</v>
      </c>
      <c r="E7" s="6">
        <v>0</v>
      </c>
      <c r="F7" s="6">
        <f t="shared" si="2"/>
        <v>11000</v>
      </c>
      <c r="G7" s="6">
        <v>1000</v>
      </c>
      <c r="H7" s="6">
        <v>0</v>
      </c>
      <c r="I7" s="6">
        <v>3500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56465.72</v>
      </c>
      <c r="U7" s="6">
        <f t="shared" si="0"/>
        <v>71965.72</v>
      </c>
      <c r="V7" s="6">
        <v>10000</v>
      </c>
      <c r="W7" s="6">
        <f t="shared" si="1"/>
        <v>61965.72</v>
      </c>
      <c r="X7" s="3"/>
      <c r="Y7" s="6"/>
      <c r="Z7" s="6"/>
    </row>
    <row r="8" spans="1:26" ht="14.5" x14ac:dyDescent="0.35">
      <c r="A8" s="5" t="s">
        <v>37</v>
      </c>
      <c r="B8" s="5" t="s">
        <v>38</v>
      </c>
      <c r="C8" s="5" t="s">
        <v>30</v>
      </c>
      <c r="D8" s="6">
        <v>24500</v>
      </c>
      <c r="E8" s="6">
        <v>0</v>
      </c>
      <c r="F8" s="6">
        <f>D8</f>
        <v>24500</v>
      </c>
      <c r="G8" s="6">
        <v>2500</v>
      </c>
      <c r="H8" s="6">
        <v>1500</v>
      </c>
      <c r="I8" s="6">
        <v>4500</v>
      </c>
      <c r="J8" s="6">
        <v>0</v>
      </c>
      <c r="K8" s="6">
        <v>0</v>
      </c>
      <c r="L8" s="6">
        <v>0</v>
      </c>
      <c r="M8" s="6">
        <v>-1000</v>
      </c>
      <c r="N8" s="6">
        <v>0</v>
      </c>
      <c r="O8" s="6">
        <v>6000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f t="shared" si="0"/>
        <v>38000</v>
      </c>
      <c r="V8" s="6">
        <v>38000</v>
      </c>
      <c r="W8" s="6">
        <f t="shared" si="1"/>
        <v>0</v>
      </c>
      <c r="X8" s="3"/>
      <c r="Y8" s="6"/>
      <c r="Z8" s="6"/>
    </row>
    <row r="9" spans="1:26" ht="14.5" x14ac:dyDescent="0.35">
      <c r="A9" s="5" t="s">
        <v>39</v>
      </c>
      <c r="B9" s="5" t="s">
        <v>41</v>
      </c>
      <c r="C9" s="5" t="s">
        <v>34</v>
      </c>
      <c r="D9" s="6">
        <v>20000</v>
      </c>
      <c r="E9" s="6">
        <v>0</v>
      </c>
      <c r="F9" s="6">
        <f t="shared" ref="F9:F10" si="3">D9*0.5</f>
        <v>10000</v>
      </c>
      <c r="G9" s="6">
        <v>750</v>
      </c>
      <c r="H9" s="6">
        <v>0</v>
      </c>
      <c r="I9" s="6">
        <v>1000</v>
      </c>
      <c r="J9" s="6">
        <v>0</v>
      </c>
      <c r="K9" s="6">
        <v>2000</v>
      </c>
      <c r="L9" s="6">
        <v>0</v>
      </c>
      <c r="M9" s="6">
        <v>3000</v>
      </c>
      <c r="N9" s="6">
        <v>0</v>
      </c>
      <c r="O9" s="6">
        <v>0</v>
      </c>
      <c r="P9" s="6">
        <v>0</v>
      </c>
      <c r="Q9" s="6">
        <v>0</v>
      </c>
      <c r="R9" s="6">
        <v>1000</v>
      </c>
      <c r="S9" s="6">
        <v>0</v>
      </c>
      <c r="T9" s="6">
        <v>0</v>
      </c>
      <c r="U9" s="6">
        <f t="shared" si="0"/>
        <v>17750</v>
      </c>
      <c r="V9" s="6">
        <v>15750</v>
      </c>
      <c r="W9" s="6">
        <f t="shared" si="1"/>
        <v>2000</v>
      </c>
      <c r="X9" s="3"/>
      <c r="Y9" s="6"/>
      <c r="Z9" s="6"/>
    </row>
    <row r="10" spans="1:26" ht="14.5" x14ac:dyDescent="0.35">
      <c r="A10" s="5" t="s">
        <v>39</v>
      </c>
      <c r="B10" s="5" t="s">
        <v>40</v>
      </c>
      <c r="C10" s="5" t="s">
        <v>36</v>
      </c>
      <c r="D10" s="6">
        <v>20000</v>
      </c>
      <c r="E10" s="6">
        <v>0</v>
      </c>
      <c r="F10" s="6">
        <f t="shared" si="3"/>
        <v>10000</v>
      </c>
      <c r="G10" s="6">
        <v>750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3000</v>
      </c>
      <c r="N10" s="6">
        <v>4000</v>
      </c>
      <c r="O10" s="6">
        <v>0</v>
      </c>
      <c r="P10" s="6">
        <v>0</v>
      </c>
      <c r="Q10" s="6">
        <v>0</v>
      </c>
      <c r="R10" s="6">
        <v>1000</v>
      </c>
      <c r="S10" s="6">
        <v>0</v>
      </c>
      <c r="T10" s="6">
        <v>0</v>
      </c>
      <c r="U10" s="6">
        <f t="shared" si="0"/>
        <v>18750</v>
      </c>
      <c r="V10" s="6">
        <v>18750</v>
      </c>
      <c r="W10" s="6">
        <f t="shared" si="1"/>
        <v>0</v>
      </c>
      <c r="X10" s="3"/>
      <c r="Y10" s="6"/>
      <c r="Z10" s="6"/>
    </row>
    <row r="11" spans="1:26" ht="14.5" x14ac:dyDescent="0.35">
      <c r="A11" s="5" t="s">
        <v>42</v>
      </c>
      <c r="B11" s="5" t="s">
        <v>43</v>
      </c>
      <c r="C11" s="5" t="s">
        <v>34</v>
      </c>
      <c r="D11" s="6">
        <v>20000</v>
      </c>
      <c r="E11" s="6">
        <v>0</v>
      </c>
      <c r="F11" s="6">
        <f t="shared" ref="F11:F14" si="4">D11*0.75</f>
        <v>15000</v>
      </c>
      <c r="G11" s="6">
        <v>1500</v>
      </c>
      <c r="H11" s="6">
        <v>0</v>
      </c>
      <c r="I11" s="6">
        <v>1000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25</v>
      </c>
      <c r="U11" s="6">
        <f t="shared" si="0"/>
        <v>17525</v>
      </c>
      <c r="V11" s="6">
        <v>17500</v>
      </c>
      <c r="W11" s="6">
        <f t="shared" si="1"/>
        <v>25</v>
      </c>
      <c r="X11" s="3"/>
      <c r="Y11" s="6"/>
      <c r="Z11" s="6"/>
    </row>
    <row r="12" spans="1:26" ht="14.5" x14ac:dyDescent="0.35">
      <c r="A12" s="5" t="s">
        <v>42</v>
      </c>
      <c r="B12" s="5" t="s">
        <v>44</v>
      </c>
      <c r="C12" s="5" t="s">
        <v>36</v>
      </c>
      <c r="D12" s="6">
        <v>20000</v>
      </c>
      <c r="E12" s="6">
        <v>0</v>
      </c>
      <c r="F12" s="6">
        <f t="shared" si="4"/>
        <v>15000</v>
      </c>
      <c r="G12" s="6">
        <v>1500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-1000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f t="shared" si="0"/>
        <v>15500</v>
      </c>
      <c r="V12" s="6">
        <v>16500</v>
      </c>
      <c r="W12" s="6">
        <f t="shared" si="1"/>
        <v>-1000</v>
      </c>
      <c r="X12" s="3"/>
      <c r="Y12" s="6"/>
      <c r="Z12" s="6"/>
    </row>
    <row r="13" spans="1:26" ht="14.5" x14ac:dyDescent="0.35">
      <c r="A13" s="5" t="s">
        <v>45</v>
      </c>
      <c r="B13" s="5" t="s">
        <v>46</v>
      </c>
      <c r="C13" s="5" t="s">
        <v>25</v>
      </c>
      <c r="D13" s="6">
        <v>20000</v>
      </c>
      <c r="E13" s="6">
        <v>0</v>
      </c>
      <c r="F13" s="6">
        <f t="shared" si="4"/>
        <v>15000</v>
      </c>
      <c r="G13" s="6">
        <v>1500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15</v>
      </c>
      <c r="U13" s="6">
        <f t="shared" si="0"/>
        <v>16515</v>
      </c>
      <c r="V13" s="6">
        <v>36515</v>
      </c>
      <c r="W13" s="6">
        <f t="shared" si="1"/>
        <v>-20000</v>
      </c>
      <c r="X13" s="3"/>
      <c r="Y13" s="6"/>
      <c r="Z13" s="6"/>
    </row>
    <row r="14" spans="1:26" ht="14.5" x14ac:dyDescent="0.35">
      <c r="A14" s="5" t="s">
        <v>45</v>
      </c>
      <c r="B14" s="5" t="s">
        <v>47</v>
      </c>
      <c r="C14" s="5" t="s">
        <v>28</v>
      </c>
      <c r="D14" s="6">
        <v>22000</v>
      </c>
      <c r="E14" s="6">
        <v>0</v>
      </c>
      <c r="F14" s="6">
        <f t="shared" si="4"/>
        <v>16500</v>
      </c>
      <c r="G14" s="6">
        <v>2000</v>
      </c>
      <c r="H14" s="6">
        <v>0</v>
      </c>
      <c r="I14" s="6">
        <v>3500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5000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f t="shared" si="0"/>
        <v>27000</v>
      </c>
      <c r="V14" s="6">
        <v>47000</v>
      </c>
      <c r="W14" s="6">
        <f t="shared" si="1"/>
        <v>-20000</v>
      </c>
      <c r="X14" s="3"/>
      <c r="Y14" s="6"/>
      <c r="Z14" s="6"/>
    </row>
    <row r="15" spans="1:26" ht="14.5" x14ac:dyDescent="0.35">
      <c r="A15" s="5" t="s">
        <v>48</v>
      </c>
      <c r="B15" s="5" t="s">
        <v>49</v>
      </c>
      <c r="C15" s="5" t="s">
        <v>28</v>
      </c>
      <c r="D15" s="6">
        <v>22000</v>
      </c>
      <c r="E15" s="6">
        <v>0</v>
      </c>
      <c r="F15" s="6">
        <f>D15</f>
        <v>22000</v>
      </c>
      <c r="G15" s="6">
        <v>2000</v>
      </c>
      <c r="H15" s="6">
        <v>0</v>
      </c>
      <c r="I15" s="6">
        <v>3500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5000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f t="shared" si="0"/>
        <v>32500</v>
      </c>
      <c r="V15" s="6">
        <v>32500</v>
      </c>
      <c r="W15" s="6">
        <f t="shared" si="1"/>
        <v>0</v>
      </c>
      <c r="X15" s="3"/>
      <c r="Y15" s="6"/>
      <c r="Z15" s="6"/>
    </row>
    <row r="16" spans="1:26" ht="14.5" x14ac:dyDescent="0.35">
      <c r="A16" s="5" t="s">
        <v>50</v>
      </c>
      <c r="B16" s="5" t="s">
        <v>53</v>
      </c>
      <c r="C16" s="5" t="s">
        <v>54</v>
      </c>
      <c r="D16" s="6">
        <v>20000</v>
      </c>
      <c r="E16" s="6">
        <v>0</v>
      </c>
      <c r="F16" s="6">
        <f t="shared" ref="F16:F17" si="5">D16*0.75</f>
        <v>15000</v>
      </c>
      <c r="G16" s="6">
        <v>1500</v>
      </c>
      <c r="H16" s="6">
        <v>0</v>
      </c>
      <c r="I16" s="6">
        <v>1000</v>
      </c>
      <c r="J16" s="6">
        <v>0</v>
      </c>
      <c r="K16" s="6">
        <v>0</v>
      </c>
      <c r="L16" s="6">
        <v>0</v>
      </c>
      <c r="M16" s="6">
        <v>-1000</v>
      </c>
      <c r="N16" s="6">
        <v>0</v>
      </c>
      <c r="O16" s="6">
        <v>5000</v>
      </c>
      <c r="P16" s="6">
        <v>0</v>
      </c>
      <c r="Q16" s="6">
        <v>0</v>
      </c>
      <c r="R16" s="6">
        <v>1200</v>
      </c>
      <c r="S16" s="6">
        <v>0</v>
      </c>
      <c r="T16" s="6">
        <v>0</v>
      </c>
      <c r="U16" s="6">
        <f t="shared" si="0"/>
        <v>22700</v>
      </c>
      <c r="V16" s="6">
        <v>22700</v>
      </c>
      <c r="W16" s="6">
        <f t="shared" si="1"/>
        <v>0</v>
      </c>
      <c r="X16" s="3"/>
      <c r="Y16" s="6"/>
      <c r="Z16" s="6"/>
    </row>
    <row r="17" spans="1:26" ht="14.5" x14ac:dyDescent="0.35">
      <c r="A17" s="5" t="s">
        <v>50</v>
      </c>
      <c r="B17" s="5" t="s">
        <v>51</v>
      </c>
      <c r="C17" s="5" t="s">
        <v>52</v>
      </c>
      <c r="D17" s="6">
        <v>22000</v>
      </c>
      <c r="E17" s="6">
        <v>0</v>
      </c>
      <c r="F17" s="6">
        <f t="shared" si="5"/>
        <v>16500</v>
      </c>
      <c r="G17" s="6">
        <v>2000</v>
      </c>
      <c r="H17" s="6">
        <v>0</v>
      </c>
      <c r="I17" s="6">
        <v>3500</v>
      </c>
      <c r="J17" s="6">
        <v>0</v>
      </c>
      <c r="K17" s="6">
        <v>0</v>
      </c>
      <c r="L17" s="6">
        <v>0</v>
      </c>
      <c r="M17" s="6">
        <v>-1000</v>
      </c>
      <c r="N17" s="6">
        <v>0</v>
      </c>
      <c r="O17" s="6">
        <v>5000</v>
      </c>
      <c r="P17" s="6">
        <v>0</v>
      </c>
      <c r="Q17" s="6">
        <v>0</v>
      </c>
      <c r="R17" s="6">
        <v>1200</v>
      </c>
      <c r="S17" s="6">
        <v>0</v>
      </c>
      <c r="T17" s="6">
        <v>0</v>
      </c>
      <c r="U17" s="6">
        <f t="shared" si="0"/>
        <v>27200</v>
      </c>
      <c r="V17" s="6">
        <v>27200</v>
      </c>
      <c r="W17" s="6">
        <f t="shared" si="1"/>
        <v>0</v>
      </c>
      <c r="X17" s="3"/>
      <c r="Y17" s="6"/>
      <c r="Z17" s="6"/>
    </row>
    <row r="18" spans="1:26" ht="14.5" x14ac:dyDescent="0.35">
      <c r="A18" s="5" t="s">
        <v>55</v>
      </c>
      <c r="B18" s="5" t="s">
        <v>56</v>
      </c>
      <c r="C18" s="5" t="s">
        <v>57</v>
      </c>
      <c r="D18" s="6">
        <v>32000</v>
      </c>
      <c r="E18" s="6">
        <v>0</v>
      </c>
      <c r="F18" s="6">
        <f>D18</f>
        <v>32000</v>
      </c>
      <c r="G18" s="6">
        <v>2500</v>
      </c>
      <c r="H18" s="6">
        <v>1500</v>
      </c>
      <c r="I18" s="6">
        <v>5000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4350</v>
      </c>
      <c r="U18" s="6">
        <f t="shared" si="0"/>
        <v>45350</v>
      </c>
      <c r="V18" s="6">
        <v>30000</v>
      </c>
      <c r="W18" s="6">
        <f t="shared" si="1"/>
        <v>15350</v>
      </c>
      <c r="X18" s="3"/>
      <c r="Y18" s="6"/>
      <c r="Z18" s="6"/>
    </row>
    <row r="19" spans="1:26" ht="14.5" x14ac:dyDescent="0.35">
      <c r="A19" s="5" t="s">
        <v>58</v>
      </c>
      <c r="B19" s="5" t="s">
        <v>59</v>
      </c>
      <c r="C19" s="5" t="s">
        <v>54</v>
      </c>
      <c r="D19" s="6">
        <v>20000</v>
      </c>
      <c r="E19" s="6">
        <v>0</v>
      </c>
      <c r="F19" s="6">
        <f t="shared" ref="F19:F21" si="6">D19*0.75</f>
        <v>15000</v>
      </c>
      <c r="G19" s="6">
        <v>1500</v>
      </c>
      <c r="H19" s="6">
        <v>0</v>
      </c>
      <c r="I19" s="6">
        <v>1000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f t="shared" si="0"/>
        <v>17500</v>
      </c>
      <c r="V19" s="6">
        <v>17500</v>
      </c>
      <c r="W19" s="6">
        <f t="shared" si="1"/>
        <v>0</v>
      </c>
      <c r="X19" s="3"/>
      <c r="Y19" s="6"/>
      <c r="Z19" s="6"/>
    </row>
    <row r="20" spans="1:26" ht="14.5" x14ac:dyDescent="0.35">
      <c r="A20" s="5" t="s">
        <v>58</v>
      </c>
      <c r="B20" s="5" t="s">
        <v>60</v>
      </c>
      <c r="C20" s="5" t="s">
        <v>54</v>
      </c>
      <c r="D20" s="6">
        <v>20000</v>
      </c>
      <c r="E20" s="6">
        <v>0</v>
      </c>
      <c r="F20" s="6">
        <f t="shared" si="6"/>
        <v>15000</v>
      </c>
      <c r="G20" s="6">
        <v>1500</v>
      </c>
      <c r="H20" s="6">
        <v>0</v>
      </c>
      <c r="I20" s="6">
        <v>1000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f t="shared" si="0"/>
        <v>17500</v>
      </c>
      <c r="V20" s="6">
        <v>17500</v>
      </c>
      <c r="W20" s="6">
        <f t="shared" si="1"/>
        <v>0</v>
      </c>
      <c r="X20" s="3"/>
      <c r="Y20" s="6"/>
      <c r="Z20" s="6"/>
    </row>
    <row r="21" spans="1:26" ht="15.75" customHeight="1" x14ac:dyDescent="0.35">
      <c r="A21" s="5" t="s">
        <v>58</v>
      </c>
      <c r="B21" s="5" t="s">
        <v>61</v>
      </c>
      <c r="C21" s="5" t="s">
        <v>32</v>
      </c>
      <c r="D21" s="6">
        <v>22000</v>
      </c>
      <c r="E21" s="6">
        <v>0</v>
      </c>
      <c r="F21" s="6">
        <f t="shared" si="6"/>
        <v>16500</v>
      </c>
      <c r="G21" s="6">
        <v>2000</v>
      </c>
      <c r="H21" s="6">
        <v>0</v>
      </c>
      <c r="I21" s="6">
        <v>3500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550</v>
      </c>
      <c r="U21" s="6">
        <f t="shared" si="0"/>
        <v>22550</v>
      </c>
      <c r="V21" s="6">
        <v>22550</v>
      </c>
      <c r="W21" s="6">
        <f t="shared" si="1"/>
        <v>0</v>
      </c>
      <c r="X21" s="3"/>
      <c r="Y21" s="6"/>
      <c r="Z21" s="6"/>
    </row>
    <row r="22" spans="1:26" ht="15.75" customHeight="1" x14ac:dyDescent="0.35">
      <c r="A22" s="5" t="s">
        <v>62</v>
      </c>
      <c r="B22" s="5" t="s">
        <v>63</v>
      </c>
      <c r="C22" s="5" t="s">
        <v>28</v>
      </c>
      <c r="D22" s="6">
        <v>22000</v>
      </c>
      <c r="E22" s="6">
        <v>0</v>
      </c>
      <c r="F22" s="6">
        <f t="shared" ref="F22:F24" si="7">D22</f>
        <v>22000</v>
      </c>
      <c r="G22" s="6">
        <v>2000</v>
      </c>
      <c r="H22" s="6">
        <v>0</v>
      </c>
      <c r="I22" s="6">
        <v>3500</v>
      </c>
      <c r="J22" s="6">
        <v>0</v>
      </c>
      <c r="K22" s="6">
        <v>0</v>
      </c>
      <c r="L22" s="6">
        <v>0</v>
      </c>
      <c r="M22" s="6">
        <v>-1000</v>
      </c>
      <c r="N22" s="6">
        <v>4000</v>
      </c>
      <c r="O22" s="6">
        <v>5000</v>
      </c>
      <c r="P22" s="6">
        <v>0</v>
      </c>
      <c r="Q22" s="6">
        <v>0</v>
      </c>
      <c r="R22" s="6">
        <v>0</v>
      </c>
      <c r="S22" s="6">
        <v>0</v>
      </c>
      <c r="T22" s="6">
        <v>-121</v>
      </c>
      <c r="U22" s="6">
        <f t="shared" si="0"/>
        <v>35379</v>
      </c>
      <c r="V22" s="6">
        <v>31379</v>
      </c>
      <c r="W22" s="6">
        <f t="shared" si="1"/>
        <v>4000</v>
      </c>
      <c r="X22" s="3"/>
      <c r="Y22" s="6"/>
      <c r="Z22" s="6"/>
    </row>
    <row r="23" spans="1:26" ht="15.75" customHeight="1" x14ac:dyDescent="0.35">
      <c r="A23" s="5" t="s">
        <v>64</v>
      </c>
      <c r="B23" s="5" t="s">
        <v>65</v>
      </c>
      <c r="C23" s="5" t="s">
        <v>66</v>
      </c>
      <c r="D23" s="6">
        <v>22000</v>
      </c>
      <c r="E23" s="6">
        <v>0</v>
      </c>
      <c r="F23" s="6">
        <f t="shared" si="7"/>
        <v>22000</v>
      </c>
      <c r="G23" s="6">
        <v>2000</v>
      </c>
      <c r="H23" s="6">
        <v>0</v>
      </c>
      <c r="I23" s="6">
        <v>3500</v>
      </c>
      <c r="J23" s="6">
        <v>0</v>
      </c>
      <c r="K23" s="6">
        <v>2335</v>
      </c>
      <c r="L23" s="6">
        <v>0</v>
      </c>
      <c r="M23" s="6">
        <v>-1000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f t="shared" si="0"/>
        <v>28835</v>
      </c>
      <c r="V23" s="6">
        <v>28835</v>
      </c>
      <c r="W23" s="6">
        <f t="shared" si="1"/>
        <v>0</v>
      </c>
      <c r="X23" s="3"/>
      <c r="Y23" s="6"/>
      <c r="Z23" s="6"/>
    </row>
    <row r="24" spans="1:26" ht="15.75" customHeight="1" x14ac:dyDescent="0.35">
      <c r="A24" s="5" t="s">
        <v>67</v>
      </c>
      <c r="B24" s="5" t="s">
        <v>68</v>
      </c>
      <c r="C24" s="5" t="s">
        <v>57</v>
      </c>
      <c r="D24" s="6">
        <v>32000</v>
      </c>
      <c r="E24" s="6">
        <v>0</v>
      </c>
      <c r="F24" s="6">
        <f t="shared" si="7"/>
        <v>32000</v>
      </c>
      <c r="G24" s="6">
        <v>2500</v>
      </c>
      <c r="H24" s="6">
        <v>1500</v>
      </c>
      <c r="I24" s="6">
        <v>5000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6000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f t="shared" si="0"/>
        <v>47000</v>
      </c>
      <c r="V24" s="6">
        <v>47000</v>
      </c>
      <c r="W24" s="6">
        <f t="shared" si="1"/>
        <v>0</v>
      </c>
      <c r="X24" s="3"/>
      <c r="Y24" s="6"/>
      <c r="Z24" s="6"/>
    </row>
    <row r="25" spans="1:26" ht="15.75" customHeight="1" x14ac:dyDescent="0.35">
      <c r="A25" s="5" t="s">
        <v>69</v>
      </c>
      <c r="B25" s="5" t="s">
        <v>59</v>
      </c>
      <c r="C25" s="5" t="s">
        <v>71</v>
      </c>
      <c r="D25" s="6">
        <v>20000</v>
      </c>
      <c r="E25" s="6">
        <v>0</v>
      </c>
      <c r="F25" s="6">
        <f t="shared" ref="F25:F27" si="8">D25*0.75</f>
        <v>15000</v>
      </c>
      <c r="G25" s="6">
        <v>1000</v>
      </c>
      <c r="H25" s="6">
        <v>0</v>
      </c>
      <c r="I25" s="6">
        <v>0</v>
      </c>
      <c r="J25" s="6">
        <v>0</v>
      </c>
      <c r="K25" s="6">
        <v>0</v>
      </c>
      <c r="L25" s="6">
        <v>10000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-2280</v>
      </c>
      <c r="U25" s="6">
        <f t="shared" si="0"/>
        <v>23720</v>
      </c>
      <c r="V25" s="6">
        <v>22750</v>
      </c>
      <c r="W25" s="6">
        <f t="shared" si="1"/>
        <v>970</v>
      </c>
      <c r="X25" s="7"/>
      <c r="Y25" s="6"/>
      <c r="Z25" s="6"/>
    </row>
    <row r="26" spans="1:26" ht="15.75" customHeight="1" x14ac:dyDescent="0.35">
      <c r="A26" s="5" t="s">
        <v>69</v>
      </c>
      <c r="B26" s="5" t="s">
        <v>72</v>
      </c>
      <c r="C26" s="5" t="s">
        <v>52</v>
      </c>
      <c r="D26" s="6">
        <v>22000</v>
      </c>
      <c r="E26" s="6">
        <v>0</v>
      </c>
      <c r="F26" s="6">
        <f t="shared" si="8"/>
        <v>16500</v>
      </c>
      <c r="G26" s="6">
        <v>2000</v>
      </c>
      <c r="H26" s="6">
        <v>0</v>
      </c>
      <c r="I26" s="6">
        <v>3500</v>
      </c>
      <c r="J26" s="6">
        <v>0</v>
      </c>
      <c r="K26" s="6">
        <v>2000</v>
      </c>
      <c r="L26" s="6">
        <v>0</v>
      </c>
      <c r="M26" s="6">
        <v>-1000</v>
      </c>
      <c r="N26" s="6">
        <v>0</v>
      </c>
      <c r="O26" s="6">
        <v>5000</v>
      </c>
      <c r="P26" s="6">
        <v>0</v>
      </c>
      <c r="Q26" s="6">
        <v>0</v>
      </c>
      <c r="R26" s="6">
        <v>0</v>
      </c>
      <c r="S26" s="6">
        <v>0</v>
      </c>
      <c r="T26" s="6">
        <v>-4000</v>
      </c>
      <c r="U26" s="6">
        <f t="shared" si="0"/>
        <v>24000</v>
      </c>
      <c r="V26" s="6">
        <v>24000</v>
      </c>
      <c r="W26" s="6">
        <f t="shared" si="1"/>
        <v>0</v>
      </c>
      <c r="X26" s="7"/>
    </row>
    <row r="27" spans="1:26" ht="15.75" customHeight="1" x14ac:dyDescent="0.35">
      <c r="A27" s="5" t="s">
        <v>69</v>
      </c>
      <c r="B27" s="5" t="s">
        <v>70</v>
      </c>
      <c r="C27" s="5" t="s">
        <v>28</v>
      </c>
      <c r="D27" s="6">
        <v>22000</v>
      </c>
      <c r="E27" s="6">
        <v>0</v>
      </c>
      <c r="F27" s="6">
        <f t="shared" si="8"/>
        <v>16500</v>
      </c>
      <c r="G27" s="6">
        <v>2000</v>
      </c>
      <c r="H27" s="6">
        <v>0</v>
      </c>
      <c r="I27" s="6">
        <v>3500</v>
      </c>
      <c r="J27" s="6">
        <v>0</v>
      </c>
      <c r="K27" s="6">
        <v>2000</v>
      </c>
      <c r="L27" s="6">
        <v>0</v>
      </c>
      <c r="M27" s="6">
        <v>-1000</v>
      </c>
      <c r="N27" s="6">
        <v>0</v>
      </c>
      <c r="O27" s="6">
        <v>5000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f t="shared" si="0"/>
        <v>28000</v>
      </c>
      <c r="V27" s="6">
        <v>28000</v>
      </c>
      <c r="W27" s="6">
        <f t="shared" si="1"/>
        <v>0</v>
      </c>
      <c r="X27" s="3"/>
    </row>
    <row r="28" spans="1:26" ht="15.75" customHeight="1" x14ac:dyDescent="0.35">
      <c r="A28" s="5" t="s">
        <v>73</v>
      </c>
      <c r="B28" s="5" t="s">
        <v>74</v>
      </c>
      <c r="C28" s="5" t="s">
        <v>75</v>
      </c>
      <c r="D28" s="6">
        <v>0</v>
      </c>
      <c r="E28" s="6">
        <v>0</v>
      </c>
      <c r="F28" s="6">
        <f t="shared" ref="F28:F35" si="9">D28</f>
        <v>0</v>
      </c>
      <c r="G28" s="6">
        <f>D28</f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1500</v>
      </c>
      <c r="U28" s="6">
        <f t="shared" si="0"/>
        <v>1500</v>
      </c>
      <c r="V28" s="6">
        <v>0</v>
      </c>
      <c r="W28" s="6">
        <f t="shared" si="1"/>
        <v>1500</v>
      </c>
      <c r="X28" s="3"/>
    </row>
    <row r="29" spans="1:26" ht="15.75" customHeight="1" x14ac:dyDescent="0.35">
      <c r="A29" s="5" t="s">
        <v>78</v>
      </c>
      <c r="B29" s="5" t="s">
        <v>79</v>
      </c>
      <c r="C29" s="5" t="s">
        <v>80</v>
      </c>
      <c r="D29" s="6">
        <v>32000</v>
      </c>
      <c r="E29" s="6">
        <v>0</v>
      </c>
      <c r="F29" s="6">
        <f t="shared" si="9"/>
        <v>32000</v>
      </c>
      <c r="G29" s="6">
        <v>2500</v>
      </c>
      <c r="H29" s="6">
        <v>1500</v>
      </c>
      <c r="I29" s="6">
        <v>5000</v>
      </c>
      <c r="J29" s="6">
        <v>0</v>
      </c>
      <c r="K29" s="6">
        <v>0</v>
      </c>
      <c r="L29" s="6">
        <v>0</v>
      </c>
      <c r="M29" s="6">
        <v>-1000</v>
      </c>
      <c r="N29" s="6">
        <v>0</v>
      </c>
      <c r="O29" s="6">
        <v>6000</v>
      </c>
      <c r="P29" s="6">
        <v>0</v>
      </c>
      <c r="Q29" s="6">
        <v>0</v>
      </c>
      <c r="R29" s="6">
        <v>0</v>
      </c>
      <c r="S29" s="6">
        <v>0</v>
      </c>
      <c r="T29" s="6">
        <v>-650</v>
      </c>
      <c r="U29" s="6">
        <f t="shared" si="0"/>
        <v>45350</v>
      </c>
      <c r="V29" s="6">
        <v>10000</v>
      </c>
      <c r="W29" s="6">
        <f t="shared" si="1"/>
        <v>35350</v>
      </c>
      <c r="X29" s="3"/>
    </row>
    <row r="30" spans="1:26" ht="15.75" customHeight="1" x14ac:dyDescent="0.35">
      <c r="A30" s="5" t="s">
        <v>81</v>
      </c>
      <c r="B30" s="5" t="s">
        <v>82</v>
      </c>
      <c r="C30" s="5" t="s">
        <v>25</v>
      </c>
      <c r="D30" s="6">
        <v>20000</v>
      </c>
      <c r="E30" s="6">
        <v>0</v>
      </c>
      <c r="F30" s="6">
        <f t="shared" si="9"/>
        <v>20000</v>
      </c>
      <c r="G30" s="6">
        <v>1500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5000</v>
      </c>
      <c r="P30" s="6">
        <v>0</v>
      </c>
      <c r="Q30" s="6">
        <v>0</v>
      </c>
      <c r="R30" s="6">
        <v>0</v>
      </c>
      <c r="S30" s="6">
        <v>0</v>
      </c>
      <c r="T30" s="6">
        <v>20755</v>
      </c>
      <c r="U30" s="6">
        <f t="shared" si="0"/>
        <v>47255</v>
      </c>
      <c r="V30" s="6">
        <v>47000</v>
      </c>
      <c r="W30" s="6">
        <f t="shared" si="1"/>
        <v>255</v>
      </c>
      <c r="X30" s="3"/>
    </row>
    <row r="31" spans="1:26" ht="15.75" customHeight="1" x14ac:dyDescent="0.35">
      <c r="A31" s="5" t="s">
        <v>81</v>
      </c>
      <c r="B31" s="5" t="s">
        <v>83</v>
      </c>
      <c r="C31" s="5" t="s">
        <v>75</v>
      </c>
      <c r="D31" s="6">
        <v>24500</v>
      </c>
      <c r="E31" s="6">
        <v>0</v>
      </c>
      <c r="F31" s="6">
        <f t="shared" si="9"/>
        <v>24500</v>
      </c>
      <c r="G31" s="6">
        <v>2500</v>
      </c>
      <c r="H31" s="6">
        <v>1500</v>
      </c>
      <c r="I31" s="6">
        <v>4500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6000</v>
      </c>
      <c r="P31" s="6">
        <v>0</v>
      </c>
      <c r="Q31" s="6">
        <v>0</v>
      </c>
      <c r="R31" s="6">
        <v>0</v>
      </c>
      <c r="S31" s="6">
        <v>0</v>
      </c>
      <c r="T31" s="6">
        <v>60</v>
      </c>
      <c r="U31" s="6">
        <f t="shared" si="0"/>
        <v>39060</v>
      </c>
      <c r="V31" s="6">
        <v>33000</v>
      </c>
      <c r="W31" s="6">
        <f t="shared" si="1"/>
        <v>6060</v>
      </c>
      <c r="X31" s="3"/>
    </row>
    <row r="32" spans="1:26" ht="15.75" customHeight="1" x14ac:dyDescent="0.35">
      <c r="A32" s="5" t="s">
        <v>59</v>
      </c>
      <c r="B32" s="5" t="s">
        <v>84</v>
      </c>
      <c r="C32" s="5" t="s">
        <v>80</v>
      </c>
      <c r="D32" s="6">
        <v>32000</v>
      </c>
      <c r="E32" s="6">
        <v>0</v>
      </c>
      <c r="F32" s="6">
        <f t="shared" si="9"/>
        <v>32000</v>
      </c>
      <c r="G32" s="6">
        <v>2500</v>
      </c>
      <c r="H32" s="6">
        <v>1500</v>
      </c>
      <c r="I32" s="6">
        <v>5000</v>
      </c>
      <c r="J32" s="6">
        <v>0</v>
      </c>
      <c r="K32" s="6">
        <v>0</v>
      </c>
      <c r="L32" s="6">
        <v>0</v>
      </c>
      <c r="M32" s="6">
        <v>-1000</v>
      </c>
      <c r="N32" s="6">
        <v>0</v>
      </c>
      <c r="O32" s="6">
        <v>6000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f t="shared" si="0"/>
        <v>46000</v>
      </c>
      <c r="V32" s="6">
        <v>46000</v>
      </c>
      <c r="W32" s="6">
        <f t="shared" si="1"/>
        <v>0</v>
      </c>
      <c r="X32" s="3"/>
    </row>
    <row r="33" spans="1:24" ht="15.75" customHeight="1" x14ac:dyDescent="0.35">
      <c r="A33" s="5" t="s">
        <v>72</v>
      </c>
      <c r="B33" s="5" t="s">
        <v>85</v>
      </c>
      <c r="C33" s="5" t="s">
        <v>28</v>
      </c>
      <c r="D33" s="6">
        <v>22000</v>
      </c>
      <c r="E33" s="6">
        <v>0</v>
      </c>
      <c r="F33" s="6">
        <f t="shared" si="9"/>
        <v>22000</v>
      </c>
      <c r="G33" s="6">
        <v>2000</v>
      </c>
      <c r="H33" s="6">
        <v>0</v>
      </c>
      <c r="I33" s="6">
        <v>3500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-1621</v>
      </c>
      <c r="U33" s="6">
        <f t="shared" si="0"/>
        <v>25879</v>
      </c>
      <c r="V33" s="6">
        <v>25879</v>
      </c>
      <c r="W33" s="6">
        <f t="shared" si="1"/>
        <v>0</v>
      </c>
      <c r="X33" s="3"/>
    </row>
    <row r="34" spans="1:24" ht="15.75" customHeight="1" x14ac:dyDescent="0.35">
      <c r="A34" s="5" t="s">
        <v>72</v>
      </c>
      <c r="B34" s="5" t="s">
        <v>99</v>
      </c>
      <c r="C34" s="5" t="s">
        <v>36</v>
      </c>
      <c r="D34" s="6">
        <v>20000</v>
      </c>
      <c r="E34" s="6">
        <v>0</v>
      </c>
      <c r="F34" s="6">
        <f t="shared" si="9"/>
        <v>20000</v>
      </c>
      <c r="G34" s="6">
        <v>1500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5000</v>
      </c>
      <c r="P34" s="6">
        <v>0</v>
      </c>
      <c r="Q34" s="6">
        <v>0</v>
      </c>
      <c r="R34" s="6">
        <v>1200</v>
      </c>
      <c r="S34" s="6">
        <v>0</v>
      </c>
      <c r="T34" s="6">
        <v>12595</v>
      </c>
      <c r="U34" s="6">
        <f t="shared" si="0"/>
        <v>40295</v>
      </c>
      <c r="V34" s="6">
        <v>25700</v>
      </c>
      <c r="W34" s="6">
        <f t="shared" si="1"/>
        <v>14595</v>
      </c>
      <c r="X34" s="3"/>
    </row>
    <row r="35" spans="1:24" ht="15.75" customHeight="1" x14ac:dyDescent="0.35">
      <c r="A35" s="5" t="s">
        <v>86</v>
      </c>
      <c r="B35" s="5" t="s">
        <v>87</v>
      </c>
      <c r="C35" s="5" t="s">
        <v>25</v>
      </c>
      <c r="D35" s="6">
        <v>20000</v>
      </c>
      <c r="E35" s="6">
        <v>0</v>
      </c>
      <c r="F35" s="6">
        <f t="shared" si="9"/>
        <v>20000</v>
      </c>
      <c r="G35" s="6">
        <v>1500</v>
      </c>
      <c r="H35" s="6">
        <v>0</v>
      </c>
      <c r="I35" s="6">
        <v>0</v>
      </c>
      <c r="J35" s="6">
        <v>0</v>
      </c>
      <c r="K35" s="6">
        <v>0</v>
      </c>
      <c r="L35" s="6">
        <v>5000</v>
      </c>
      <c r="M35" s="6">
        <v>3000</v>
      </c>
      <c r="N35" s="6">
        <v>0</v>
      </c>
      <c r="O35" s="6">
        <v>5000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f t="shared" si="0"/>
        <v>34500</v>
      </c>
      <c r="V35" s="6">
        <v>26500</v>
      </c>
      <c r="W35" s="6">
        <f t="shared" si="1"/>
        <v>8000</v>
      </c>
      <c r="X35" s="3"/>
    </row>
    <row r="36" spans="1:24" ht="15.75" customHeight="1" x14ac:dyDescent="0.35">
      <c r="A36" s="5" t="s">
        <v>88</v>
      </c>
      <c r="B36" s="5" t="s">
        <v>89</v>
      </c>
      <c r="C36" s="5" t="s">
        <v>25</v>
      </c>
      <c r="D36" s="6">
        <v>20000</v>
      </c>
      <c r="E36" s="6">
        <v>0</v>
      </c>
      <c r="F36" s="6">
        <f t="shared" ref="F36:F40" si="10">D36*0.75</f>
        <v>15000</v>
      </c>
      <c r="G36" s="6">
        <v>1500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-1000</v>
      </c>
      <c r="N36" s="6">
        <v>0</v>
      </c>
      <c r="O36" s="6">
        <v>0</v>
      </c>
      <c r="P36" s="6">
        <v>0</v>
      </c>
      <c r="Q36" s="6">
        <v>0</v>
      </c>
      <c r="R36" s="6">
        <v>1200</v>
      </c>
      <c r="S36" s="6">
        <v>0</v>
      </c>
      <c r="T36" s="6">
        <v>0</v>
      </c>
      <c r="U36" s="6">
        <f t="shared" si="0"/>
        <v>16700</v>
      </c>
      <c r="V36" s="6">
        <v>16700</v>
      </c>
      <c r="W36" s="6">
        <f t="shared" si="1"/>
        <v>0</v>
      </c>
      <c r="X36" s="3"/>
    </row>
    <row r="37" spans="1:24" ht="15.75" customHeight="1" x14ac:dyDescent="0.35">
      <c r="A37" s="5" t="s">
        <v>91</v>
      </c>
      <c r="B37" s="5" t="s">
        <v>92</v>
      </c>
      <c r="C37" s="5" t="s">
        <v>28</v>
      </c>
      <c r="D37" s="6">
        <v>22000</v>
      </c>
      <c r="E37" s="6">
        <v>0</v>
      </c>
      <c r="F37" s="6">
        <f t="shared" si="10"/>
        <v>16500</v>
      </c>
      <c r="G37" s="6">
        <v>2000</v>
      </c>
      <c r="H37" s="6">
        <v>0</v>
      </c>
      <c r="I37" s="6">
        <v>3500</v>
      </c>
      <c r="J37" s="6">
        <v>0</v>
      </c>
      <c r="K37" s="6">
        <v>0</v>
      </c>
      <c r="L37" s="6">
        <v>0</v>
      </c>
      <c r="M37" s="6">
        <v>-1000</v>
      </c>
      <c r="N37" s="6">
        <v>0</v>
      </c>
      <c r="O37" s="6">
        <v>0</v>
      </c>
      <c r="P37" s="6">
        <v>0</v>
      </c>
      <c r="Q37" s="6">
        <v>0</v>
      </c>
      <c r="R37" s="6">
        <v>1200</v>
      </c>
      <c r="S37" s="6">
        <v>0</v>
      </c>
      <c r="T37" s="6">
        <v>60</v>
      </c>
      <c r="U37" s="6">
        <f t="shared" si="0"/>
        <v>22260</v>
      </c>
      <c r="V37" s="6">
        <v>22200</v>
      </c>
      <c r="W37" s="6">
        <f t="shared" si="1"/>
        <v>60</v>
      </c>
      <c r="X37" s="3"/>
    </row>
    <row r="38" spans="1:24" ht="15.75" customHeight="1" x14ac:dyDescent="0.35">
      <c r="A38" s="5" t="s">
        <v>93</v>
      </c>
      <c r="B38" s="5" t="s">
        <v>96</v>
      </c>
      <c r="C38" s="5" t="s">
        <v>57</v>
      </c>
      <c r="D38" s="6">
        <v>32000</v>
      </c>
      <c r="E38" s="6">
        <v>0</v>
      </c>
      <c r="F38" s="6">
        <f t="shared" si="10"/>
        <v>24000</v>
      </c>
      <c r="G38" s="6">
        <v>2500</v>
      </c>
      <c r="H38" s="6">
        <v>1500</v>
      </c>
      <c r="I38" s="6">
        <v>5000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f t="shared" si="0"/>
        <v>33000</v>
      </c>
      <c r="V38" s="6">
        <v>33000</v>
      </c>
      <c r="W38" s="6">
        <f t="shared" si="1"/>
        <v>0</v>
      </c>
      <c r="X38" s="3"/>
    </row>
    <row r="39" spans="1:24" ht="15.75" customHeight="1" x14ac:dyDescent="0.35">
      <c r="A39" s="5" t="s">
        <v>93</v>
      </c>
      <c r="B39" s="5" t="s">
        <v>97</v>
      </c>
      <c r="C39" s="5" t="s">
        <v>32</v>
      </c>
      <c r="D39" s="6">
        <v>22000</v>
      </c>
      <c r="E39" s="6">
        <v>0</v>
      </c>
      <c r="F39" s="6">
        <f t="shared" si="10"/>
        <v>16500</v>
      </c>
      <c r="G39" s="6">
        <v>2000</v>
      </c>
      <c r="H39" s="6">
        <v>0</v>
      </c>
      <c r="I39" s="6">
        <v>3500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f t="shared" si="0"/>
        <v>22000</v>
      </c>
      <c r="V39" s="6">
        <v>22000</v>
      </c>
      <c r="W39" s="6">
        <f t="shared" si="1"/>
        <v>0</v>
      </c>
      <c r="X39" s="3"/>
    </row>
    <row r="40" spans="1:24" ht="15.75" customHeight="1" x14ac:dyDescent="0.35">
      <c r="A40" s="5" t="s">
        <v>93</v>
      </c>
      <c r="B40" s="5" t="s">
        <v>94</v>
      </c>
      <c r="C40" s="5" t="s">
        <v>34</v>
      </c>
      <c r="D40" s="6">
        <v>20000</v>
      </c>
      <c r="E40" s="6">
        <v>0</v>
      </c>
      <c r="F40" s="6">
        <f t="shared" si="10"/>
        <v>15000</v>
      </c>
      <c r="G40" s="6">
        <v>1500</v>
      </c>
      <c r="H40" s="6">
        <v>0</v>
      </c>
      <c r="I40" s="6">
        <v>1000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-20</v>
      </c>
      <c r="U40" s="6">
        <f t="shared" si="0"/>
        <v>17480</v>
      </c>
      <c r="V40" s="6">
        <v>17500</v>
      </c>
      <c r="W40" s="6">
        <f t="shared" si="1"/>
        <v>-20</v>
      </c>
      <c r="X40" s="3"/>
    </row>
    <row r="41" spans="1:24" ht="15.75" customHeight="1" x14ac:dyDescent="0.35">
      <c r="A41" s="5" t="s">
        <v>93</v>
      </c>
      <c r="B41" s="5" t="s">
        <v>95</v>
      </c>
      <c r="C41" s="5" t="s">
        <v>75</v>
      </c>
      <c r="D41" s="6">
        <v>0</v>
      </c>
      <c r="E41" s="6">
        <v>0</v>
      </c>
      <c r="F41" s="6">
        <f t="shared" ref="F41:F42" si="11">D41</f>
        <v>0</v>
      </c>
      <c r="G41" s="6">
        <f>D41</f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f t="shared" si="0"/>
        <v>0</v>
      </c>
      <c r="V41" s="6">
        <v>0</v>
      </c>
      <c r="W41" s="6">
        <f t="shared" si="1"/>
        <v>0</v>
      </c>
      <c r="X41" s="3"/>
    </row>
    <row r="42" spans="1:24" ht="15.75" customHeight="1" x14ac:dyDescent="0.35">
      <c r="A42" s="5" t="s">
        <v>100</v>
      </c>
      <c r="B42" s="5" t="s">
        <v>101</v>
      </c>
      <c r="C42" s="5" t="s">
        <v>71</v>
      </c>
      <c r="D42" s="6">
        <v>20000</v>
      </c>
      <c r="E42" s="6">
        <v>0</v>
      </c>
      <c r="F42" s="6">
        <f t="shared" si="11"/>
        <v>20000</v>
      </c>
      <c r="G42" s="6">
        <v>1000</v>
      </c>
      <c r="H42" s="6">
        <v>0</v>
      </c>
      <c r="I42" s="6">
        <v>0</v>
      </c>
      <c r="J42" s="6">
        <v>0</v>
      </c>
      <c r="K42" s="6">
        <v>0</v>
      </c>
      <c r="L42" s="6">
        <v>5000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1200</v>
      </c>
      <c r="S42" s="6">
        <v>0</v>
      </c>
      <c r="T42" s="6">
        <v>-3000</v>
      </c>
      <c r="U42" s="6">
        <f t="shared" si="0"/>
        <v>24200</v>
      </c>
      <c r="V42" s="6">
        <v>23000</v>
      </c>
      <c r="W42" s="6">
        <f t="shared" si="1"/>
        <v>1200</v>
      </c>
      <c r="X42" s="3"/>
    </row>
    <row r="43" spans="1:24" ht="15.75" customHeight="1" x14ac:dyDescent="0.35">
      <c r="A43" s="5" t="s">
        <v>102</v>
      </c>
      <c r="B43" s="5" t="s">
        <v>103</v>
      </c>
      <c r="C43" s="5" t="s">
        <v>54</v>
      </c>
      <c r="D43" s="6">
        <v>20000</v>
      </c>
      <c r="E43" s="6">
        <v>0</v>
      </c>
      <c r="F43" s="6">
        <f t="shared" ref="F43:F46" si="12">D43*0.75</f>
        <v>15000</v>
      </c>
      <c r="G43" s="6">
        <v>1500</v>
      </c>
      <c r="H43" s="6">
        <v>0</v>
      </c>
      <c r="I43" s="6">
        <v>1000</v>
      </c>
      <c r="J43" s="6">
        <v>0</v>
      </c>
      <c r="K43" s="6">
        <v>0</v>
      </c>
      <c r="L43" s="6">
        <v>0</v>
      </c>
      <c r="M43" s="6">
        <v>-1000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f t="shared" si="0"/>
        <v>16500</v>
      </c>
      <c r="V43" s="6">
        <v>13435</v>
      </c>
      <c r="W43" s="6">
        <f t="shared" si="1"/>
        <v>3065</v>
      </c>
      <c r="X43" s="7"/>
    </row>
    <row r="44" spans="1:24" ht="15.75" customHeight="1" x14ac:dyDescent="0.35">
      <c r="A44" s="5" t="s">
        <v>102</v>
      </c>
      <c r="B44" s="5" t="s">
        <v>104</v>
      </c>
      <c r="C44" s="5" t="s">
        <v>25</v>
      </c>
      <c r="D44" s="6">
        <v>20000</v>
      </c>
      <c r="E44" s="6">
        <v>0</v>
      </c>
      <c r="F44" s="6">
        <f t="shared" si="12"/>
        <v>15000</v>
      </c>
      <c r="G44" s="6">
        <v>1500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-1000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665</v>
      </c>
      <c r="U44" s="6">
        <f t="shared" si="0"/>
        <v>16165</v>
      </c>
      <c r="V44" s="6">
        <v>16165</v>
      </c>
      <c r="W44" s="6">
        <f t="shared" si="1"/>
        <v>0</v>
      </c>
      <c r="X44" s="3"/>
    </row>
    <row r="45" spans="1:24" ht="15.75" customHeight="1" x14ac:dyDescent="0.35">
      <c r="A45" s="5" t="s">
        <v>105</v>
      </c>
      <c r="B45" s="5" t="s">
        <v>106</v>
      </c>
      <c r="C45" s="5" t="s">
        <v>107</v>
      </c>
      <c r="D45" s="6">
        <v>24500</v>
      </c>
      <c r="E45" s="6">
        <v>0</v>
      </c>
      <c r="F45" s="6">
        <f t="shared" si="12"/>
        <v>18375</v>
      </c>
      <c r="G45" s="6">
        <v>2500</v>
      </c>
      <c r="H45" s="6">
        <v>1500</v>
      </c>
      <c r="I45" s="6">
        <v>4500</v>
      </c>
      <c r="J45" s="6">
        <v>0</v>
      </c>
      <c r="K45" s="6">
        <v>3335</v>
      </c>
      <c r="L45" s="6">
        <v>0</v>
      </c>
      <c r="M45" s="6">
        <v>0</v>
      </c>
      <c r="N45" s="6">
        <v>0</v>
      </c>
      <c r="O45" s="6">
        <v>6000</v>
      </c>
      <c r="P45" s="6">
        <v>0</v>
      </c>
      <c r="Q45" s="6">
        <v>0</v>
      </c>
      <c r="R45" s="6">
        <v>0</v>
      </c>
      <c r="S45" s="6">
        <v>0</v>
      </c>
      <c r="T45" s="6">
        <v>11015</v>
      </c>
      <c r="U45" s="6">
        <f t="shared" si="0"/>
        <v>47225</v>
      </c>
      <c r="V45" s="6">
        <v>40000</v>
      </c>
      <c r="W45" s="6">
        <f t="shared" si="1"/>
        <v>7225</v>
      </c>
      <c r="X45" s="3"/>
    </row>
    <row r="46" spans="1:24" ht="15.75" customHeight="1" x14ac:dyDescent="0.35">
      <c r="A46" s="5" t="s">
        <v>105</v>
      </c>
      <c r="B46" s="5" t="s">
        <v>68</v>
      </c>
      <c r="C46" s="5" t="s">
        <v>80</v>
      </c>
      <c r="D46" s="6">
        <v>32000</v>
      </c>
      <c r="E46" s="6">
        <v>0</v>
      </c>
      <c r="F46" s="6">
        <f t="shared" si="12"/>
        <v>24000</v>
      </c>
      <c r="G46" s="6">
        <v>2500</v>
      </c>
      <c r="H46" s="6">
        <v>1500</v>
      </c>
      <c r="I46" s="6">
        <v>5000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6000</v>
      </c>
      <c r="P46" s="6">
        <v>0</v>
      </c>
      <c r="Q46" s="6">
        <v>0</v>
      </c>
      <c r="R46" s="6">
        <v>0</v>
      </c>
      <c r="S46" s="6">
        <v>0</v>
      </c>
      <c r="T46" s="6">
        <v>12900</v>
      </c>
      <c r="U46" s="6">
        <f t="shared" si="0"/>
        <v>51900</v>
      </c>
      <c r="V46" s="6">
        <v>50000</v>
      </c>
      <c r="W46" s="6">
        <f t="shared" si="1"/>
        <v>1900</v>
      </c>
      <c r="X46" s="3"/>
    </row>
    <row r="47" spans="1:24" ht="15.75" customHeight="1" x14ac:dyDescent="0.35">
      <c r="A47" s="5" t="s">
        <v>108</v>
      </c>
      <c r="B47" s="5" t="s">
        <v>109</v>
      </c>
      <c r="C47" s="5" t="s">
        <v>25</v>
      </c>
      <c r="D47" s="6">
        <v>20000</v>
      </c>
      <c r="E47" s="6">
        <v>0</v>
      </c>
      <c r="F47" s="6">
        <f t="shared" ref="F47:F49" si="13">D47</f>
        <v>20000</v>
      </c>
      <c r="G47" s="6">
        <v>1500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f t="shared" si="0"/>
        <v>21500</v>
      </c>
      <c r="V47" s="6">
        <v>21500</v>
      </c>
      <c r="W47" s="6">
        <f t="shared" si="1"/>
        <v>0</v>
      </c>
      <c r="X47" s="3"/>
    </row>
    <row r="48" spans="1:24" ht="15.75" customHeight="1" x14ac:dyDescent="0.35">
      <c r="A48" s="5" t="s">
        <v>302</v>
      </c>
      <c r="B48" s="5" t="s">
        <v>303</v>
      </c>
      <c r="C48" s="5" t="s">
        <v>71</v>
      </c>
      <c r="D48" s="6">
        <v>20000</v>
      </c>
      <c r="E48" s="6">
        <v>1500</v>
      </c>
      <c r="F48" s="6">
        <f t="shared" si="13"/>
        <v>20000</v>
      </c>
      <c r="G48" s="6">
        <v>1000</v>
      </c>
      <c r="H48" s="6">
        <v>1000</v>
      </c>
      <c r="I48" s="6">
        <v>0</v>
      </c>
      <c r="J48" s="6">
        <v>4140</v>
      </c>
      <c r="K48" s="6">
        <v>4560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f t="shared" si="0"/>
        <v>32200</v>
      </c>
      <c r="V48" s="6">
        <v>32200</v>
      </c>
      <c r="W48" s="6">
        <f t="shared" si="1"/>
        <v>0</v>
      </c>
      <c r="X48" s="3"/>
    </row>
    <row r="49" spans="1:24" ht="15.75" customHeight="1" x14ac:dyDescent="0.35">
      <c r="A49" s="5" t="s">
        <v>110</v>
      </c>
      <c r="B49" s="5" t="s">
        <v>111</v>
      </c>
      <c r="C49" s="5" t="s">
        <v>57</v>
      </c>
      <c r="D49" s="6">
        <v>32000</v>
      </c>
      <c r="E49" s="6">
        <v>0</v>
      </c>
      <c r="F49" s="6">
        <f t="shared" si="13"/>
        <v>32000</v>
      </c>
      <c r="G49" s="6">
        <v>2500</v>
      </c>
      <c r="H49" s="6">
        <v>1500</v>
      </c>
      <c r="I49" s="6">
        <v>5000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f t="shared" si="0"/>
        <v>41000</v>
      </c>
      <c r="V49" s="6">
        <v>41000</v>
      </c>
      <c r="W49" s="6">
        <f t="shared" si="1"/>
        <v>0</v>
      </c>
      <c r="X49" s="3"/>
    </row>
    <row r="50" spans="1:24" ht="15.75" customHeight="1" x14ac:dyDescent="0.35">
      <c r="A50" s="5" t="s">
        <v>112</v>
      </c>
      <c r="B50" s="5" t="s">
        <v>113</v>
      </c>
      <c r="C50" s="5" t="s">
        <v>28</v>
      </c>
      <c r="D50" s="6">
        <v>22000</v>
      </c>
      <c r="E50" s="6">
        <v>0</v>
      </c>
      <c r="F50" s="6">
        <f t="shared" ref="F50:F56" si="14">D50*0.75</f>
        <v>16500</v>
      </c>
      <c r="G50" s="6">
        <v>2000</v>
      </c>
      <c r="H50" s="6">
        <v>0</v>
      </c>
      <c r="I50" s="6">
        <v>3500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f t="shared" si="0"/>
        <v>22000</v>
      </c>
      <c r="V50" s="6">
        <v>22000</v>
      </c>
      <c r="W50" s="6">
        <f t="shared" si="1"/>
        <v>0</v>
      </c>
      <c r="X50" s="3"/>
    </row>
    <row r="51" spans="1:24" ht="15.75" customHeight="1" x14ac:dyDescent="0.35">
      <c r="A51" s="5" t="s">
        <v>112</v>
      </c>
      <c r="B51" s="5" t="s">
        <v>114</v>
      </c>
      <c r="C51" s="5" t="s">
        <v>34</v>
      </c>
      <c r="D51" s="6">
        <v>20000</v>
      </c>
      <c r="E51" s="6">
        <v>0</v>
      </c>
      <c r="F51" s="6">
        <f t="shared" si="14"/>
        <v>15000</v>
      </c>
      <c r="G51" s="6">
        <v>1500</v>
      </c>
      <c r="H51" s="6">
        <v>0</v>
      </c>
      <c r="I51" s="6">
        <v>1000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-110</v>
      </c>
      <c r="U51" s="6">
        <f t="shared" si="0"/>
        <v>17390</v>
      </c>
      <c r="V51" s="6">
        <v>18000</v>
      </c>
      <c r="W51" s="6">
        <f t="shared" si="1"/>
        <v>-610</v>
      </c>
      <c r="X51" s="3"/>
    </row>
    <row r="52" spans="1:24" ht="15.75" customHeight="1" x14ac:dyDescent="0.35">
      <c r="A52" s="5" t="s">
        <v>115</v>
      </c>
      <c r="B52" s="5" t="s">
        <v>118</v>
      </c>
      <c r="C52" s="5" t="s">
        <v>71</v>
      </c>
      <c r="D52" s="6">
        <v>20000</v>
      </c>
      <c r="E52" s="6">
        <v>0</v>
      </c>
      <c r="F52" s="6">
        <f t="shared" si="14"/>
        <v>15000</v>
      </c>
      <c r="G52" s="6">
        <v>1000</v>
      </c>
      <c r="H52" s="6">
        <v>1000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f t="shared" si="0"/>
        <v>17000</v>
      </c>
      <c r="V52" s="6">
        <v>17000</v>
      </c>
      <c r="W52" s="6">
        <f t="shared" si="1"/>
        <v>0</v>
      </c>
      <c r="X52" s="3"/>
    </row>
    <row r="53" spans="1:24" ht="15.75" customHeight="1" x14ac:dyDescent="0.35">
      <c r="A53" s="5" t="s">
        <v>115</v>
      </c>
      <c r="B53" s="5" t="s">
        <v>116</v>
      </c>
      <c r="C53" s="5" t="s">
        <v>34</v>
      </c>
      <c r="D53" s="6">
        <v>20000</v>
      </c>
      <c r="E53" s="6">
        <v>0</v>
      </c>
      <c r="F53" s="6">
        <f t="shared" si="14"/>
        <v>15000</v>
      </c>
      <c r="G53" s="6">
        <v>1500</v>
      </c>
      <c r="H53" s="6">
        <v>0</v>
      </c>
      <c r="I53" s="6">
        <v>1000</v>
      </c>
      <c r="J53" s="6">
        <v>0</v>
      </c>
      <c r="K53" s="6">
        <v>2000</v>
      </c>
      <c r="L53" s="6">
        <v>10000</v>
      </c>
      <c r="M53" s="6">
        <v>-1000</v>
      </c>
      <c r="N53" s="6">
        <v>0</v>
      </c>
      <c r="O53" s="6">
        <v>5000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f t="shared" si="0"/>
        <v>33500</v>
      </c>
      <c r="V53" s="6">
        <v>33500</v>
      </c>
      <c r="W53" s="6">
        <f t="shared" si="1"/>
        <v>0</v>
      </c>
      <c r="X53" s="3"/>
    </row>
    <row r="54" spans="1:24" ht="15.75" customHeight="1" x14ac:dyDescent="0.35">
      <c r="A54" s="5" t="s">
        <v>115</v>
      </c>
      <c r="B54" s="5" t="s">
        <v>117</v>
      </c>
      <c r="C54" s="5" t="s">
        <v>25</v>
      </c>
      <c r="D54" s="6">
        <v>20000</v>
      </c>
      <c r="E54" s="6">
        <v>0</v>
      </c>
      <c r="F54" s="6">
        <f t="shared" si="14"/>
        <v>15000</v>
      </c>
      <c r="G54" s="6">
        <v>1500</v>
      </c>
      <c r="H54" s="6">
        <v>0</v>
      </c>
      <c r="I54" s="6">
        <v>0</v>
      </c>
      <c r="J54" s="6">
        <v>0</v>
      </c>
      <c r="K54" s="6">
        <v>0</v>
      </c>
      <c r="L54" s="6">
        <v>10000</v>
      </c>
      <c r="M54" s="6">
        <v>-1000</v>
      </c>
      <c r="N54" s="6">
        <v>0</v>
      </c>
      <c r="O54" s="6">
        <v>5000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f t="shared" si="0"/>
        <v>30500</v>
      </c>
      <c r="V54" s="6">
        <v>30500</v>
      </c>
      <c r="W54" s="6">
        <f t="shared" si="1"/>
        <v>0</v>
      </c>
      <c r="X54" s="3"/>
    </row>
    <row r="55" spans="1:24" ht="15.75" customHeight="1" x14ac:dyDescent="0.35">
      <c r="A55" s="5" t="s">
        <v>119</v>
      </c>
      <c r="B55" s="5" t="s">
        <v>121</v>
      </c>
      <c r="C55" s="5" t="s">
        <v>52</v>
      </c>
      <c r="D55" s="6">
        <v>22000</v>
      </c>
      <c r="E55" s="6">
        <v>0</v>
      </c>
      <c r="F55" s="6">
        <f t="shared" si="14"/>
        <v>16500</v>
      </c>
      <c r="G55" s="6">
        <v>2000</v>
      </c>
      <c r="H55" s="6">
        <v>0</v>
      </c>
      <c r="I55" s="6">
        <v>3500</v>
      </c>
      <c r="J55" s="6">
        <v>0</v>
      </c>
      <c r="K55" s="6">
        <v>2000</v>
      </c>
      <c r="L55" s="6">
        <v>5000</v>
      </c>
      <c r="M55" s="6">
        <v>3000</v>
      </c>
      <c r="N55" s="6">
        <v>4000</v>
      </c>
      <c r="O55" s="6">
        <v>5000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f t="shared" si="0"/>
        <v>41000</v>
      </c>
      <c r="V55" s="6">
        <v>40325</v>
      </c>
      <c r="W55" s="6">
        <f t="shared" si="1"/>
        <v>675</v>
      </c>
      <c r="X55" s="3"/>
    </row>
    <row r="56" spans="1:24" ht="15.75" customHeight="1" x14ac:dyDescent="0.35">
      <c r="A56" s="5" t="s">
        <v>119</v>
      </c>
      <c r="B56" s="5" t="s">
        <v>120</v>
      </c>
      <c r="C56" s="5" t="s">
        <v>66</v>
      </c>
      <c r="D56" s="6">
        <v>22000</v>
      </c>
      <c r="E56" s="6">
        <v>0</v>
      </c>
      <c r="F56" s="6">
        <f t="shared" si="14"/>
        <v>16500</v>
      </c>
      <c r="G56" s="6">
        <v>2000</v>
      </c>
      <c r="H56" s="6">
        <v>0</v>
      </c>
      <c r="I56" s="6">
        <v>3500</v>
      </c>
      <c r="J56" s="6">
        <v>0</v>
      </c>
      <c r="K56" s="6">
        <v>2000</v>
      </c>
      <c r="L56" s="6">
        <v>5000</v>
      </c>
      <c r="M56" s="6">
        <v>3000</v>
      </c>
      <c r="N56" s="6">
        <v>4000</v>
      </c>
      <c r="O56" s="6">
        <v>5000</v>
      </c>
      <c r="P56" s="6">
        <v>0</v>
      </c>
      <c r="Q56" s="6">
        <v>0</v>
      </c>
      <c r="R56" s="6">
        <v>0</v>
      </c>
      <c r="S56" s="6">
        <v>0</v>
      </c>
      <c r="T56" s="6">
        <v>-525</v>
      </c>
      <c r="U56" s="6">
        <f t="shared" si="0"/>
        <v>40475</v>
      </c>
      <c r="V56" s="6">
        <v>39675</v>
      </c>
      <c r="W56" s="6">
        <f t="shared" si="1"/>
        <v>800</v>
      </c>
      <c r="X56" s="3"/>
    </row>
    <row r="57" spans="1:24" ht="15.75" customHeight="1" x14ac:dyDescent="0.35">
      <c r="A57" s="5" t="s">
        <v>122</v>
      </c>
      <c r="B57" s="5" t="s">
        <v>72</v>
      </c>
      <c r="C57" s="5" t="s">
        <v>52</v>
      </c>
      <c r="D57" s="6">
        <v>12600</v>
      </c>
      <c r="E57" s="6">
        <v>0</v>
      </c>
      <c r="F57" s="6">
        <f t="shared" ref="F57:F62" si="15">D57</f>
        <v>12600</v>
      </c>
      <c r="G57" s="6">
        <v>2000</v>
      </c>
      <c r="H57" s="6">
        <v>0</v>
      </c>
      <c r="I57" s="6">
        <v>3500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19960</v>
      </c>
      <c r="U57" s="6">
        <f t="shared" si="0"/>
        <v>38060</v>
      </c>
      <c r="V57" s="6">
        <v>38060</v>
      </c>
      <c r="W57" s="6">
        <f t="shared" si="1"/>
        <v>0</v>
      </c>
      <c r="X57" s="3"/>
    </row>
    <row r="58" spans="1:24" ht="15.75" customHeight="1" x14ac:dyDescent="0.35">
      <c r="A58" s="5" t="s">
        <v>122</v>
      </c>
      <c r="B58" s="5" t="s">
        <v>123</v>
      </c>
      <c r="C58" s="5" t="s">
        <v>80</v>
      </c>
      <c r="D58" s="6">
        <v>0</v>
      </c>
      <c r="E58" s="6">
        <v>0</v>
      </c>
      <c r="F58" s="6">
        <f t="shared" si="15"/>
        <v>0</v>
      </c>
      <c r="G58" s="6">
        <f>D58</f>
        <v>0</v>
      </c>
      <c r="H58" s="6">
        <v>1500</v>
      </c>
      <c r="I58" s="6">
        <v>5000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28400</v>
      </c>
      <c r="U58" s="6">
        <f t="shared" si="0"/>
        <v>34900</v>
      </c>
      <c r="V58" s="6">
        <v>34900</v>
      </c>
      <c r="W58" s="6">
        <f t="shared" si="1"/>
        <v>0</v>
      </c>
      <c r="X58" s="3"/>
    </row>
    <row r="59" spans="1:24" ht="15.75" customHeight="1" x14ac:dyDescent="0.35">
      <c r="A59" s="5" t="s">
        <v>124</v>
      </c>
      <c r="B59" s="5" t="s">
        <v>304</v>
      </c>
      <c r="C59" s="5" t="s">
        <v>25</v>
      </c>
      <c r="D59" s="6">
        <v>20000</v>
      </c>
      <c r="E59" s="6">
        <v>0</v>
      </c>
      <c r="F59" s="6">
        <f t="shared" si="15"/>
        <v>20000</v>
      </c>
      <c r="G59" s="6">
        <v>1500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-966</v>
      </c>
      <c r="U59" s="6">
        <f t="shared" si="0"/>
        <v>20534</v>
      </c>
      <c r="V59" s="6">
        <v>20534</v>
      </c>
      <c r="W59" s="6">
        <f t="shared" si="1"/>
        <v>0</v>
      </c>
      <c r="X59" s="3"/>
    </row>
    <row r="60" spans="1:24" ht="15.75" customHeight="1" x14ac:dyDescent="0.35">
      <c r="A60" s="5" t="s">
        <v>125</v>
      </c>
      <c r="B60" s="5" t="s">
        <v>126</v>
      </c>
      <c r="C60" s="5" t="s">
        <v>127</v>
      </c>
      <c r="D60" s="6">
        <v>22000</v>
      </c>
      <c r="E60" s="6">
        <v>0</v>
      </c>
      <c r="F60" s="6">
        <f t="shared" si="15"/>
        <v>22000</v>
      </c>
      <c r="G60" s="6">
        <v>2000</v>
      </c>
      <c r="H60" s="6">
        <v>0</v>
      </c>
      <c r="I60" s="6">
        <v>3500</v>
      </c>
      <c r="J60" s="6">
        <v>0</v>
      </c>
      <c r="K60" s="6">
        <v>2335</v>
      </c>
      <c r="L60" s="6">
        <v>0</v>
      </c>
      <c r="M60" s="6">
        <v>0</v>
      </c>
      <c r="N60" s="6">
        <v>0</v>
      </c>
      <c r="O60" s="6">
        <v>5000</v>
      </c>
      <c r="P60" s="6">
        <v>0</v>
      </c>
      <c r="Q60" s="6">
        <v>0</v>
      </c>
      <c r="R60" s="6">
        <v>0</v>
      </c>
      <c r="S60" s="6">
        <v>0</v>
      </c>
      <c r="T60" s="6">
        <v>23440</v>
      </c>
      <c r="U60" s="6">
        <f t="shared" si="0"/>
        <v>58275</v>
      </c>
      <c r="V60" s="6">
        <v>58000</v>
      </c>
      <c r="W60" s="6">
        <f t="shared" si="1"/>
        <v>275</v>
      </c>
      <c r="X60" s="3"/>
    </row>
    <row r="61" spans="1:24" ht="15.75" customHeight="1" x14ac:dyDescent="0.35">
      <c r="A61" s="5" t="s">
        <v>305</v>
      </c>
      <c r="B61" s="5" t="s">
        <v>306</v>
      </c>
      <c r="C61" s="5" t="s">
        <v>36</v>
      </c>
      <c r="D61" s="6">
        <v>20000</v>
      </c>
      <c r="E61" s="6">
        <v>1500</v>
      </c>
      <c r="F61" s="6">
        <f t="shared" si="15"/>
        <v>20000</v>
      </c>
      <c r="G61" s="22">
        <v>1500</v>
      </c>
      <c r="H61" s="22">
        <v>1000</v>
      </c>
      <c r="I61" s="22">
        <v>0</v>
      </c>
      <c r="J61" s="22">
        <v>10535</v>
      </c>
      <c r="K61" s="22">
        <v>4560</v>
      </c>
      <c r="L61" s="22">
        <v>10000</v>
      </c>
      <c r="M61" s="22">
        <v>3000</v>
      </c>
      <c r="N61" s="22">
        <v>4000</v>
      </c>
      <c r="O61" s="22">
        <v>0</v>
      </c>
      <c r="P61" s="22">
        <v>0</v>
      </c>
      <c r="Q61" s="6">
        <v>0</v>
      </c>
      <c r="R61" s="6">
        <v>0</v>
      </c>
      <c r="S61" s="6">
        <v>0</v>
      </c>
      <c r="T61" s="6">
        <v>0</v>
      </c>
      <c r="U61" s="6">
        <f t="shared" si="0"/>
        <v>56095</v>
      </c>
      <c r="V61" s="6">
        <v>52095</v>
      </c>
      <c r="W61" s="6">
        <f t="shared" si="1"/>
        <v>4000</v>
      </c>
      <c r="X61" s="3"/>
    </row>
    <row r="62" spans="1:24" ht="15.75" customHeight="1" x14ac:dyDescent="0.35">
      <c r="A62" s="5" t="s">
        <v>128</v>
      </c>
      <c r="B62" s="5" t="s">
        <v>129</v>
      </c>
      <c r="C62" s="5" t="s">
        <v>54</v>
      </c>
      <c r="D62" s="6">
        <v>20000</v>
      </c>
      <c r="E62" s="6">
        <v>0</v>
      </c>
      <c r="F62" s="6">
        <f t="shared" si="15"/>
        <v>20000</v>
      </c>
      <c r="G62" s="6">
        <v>1500</v>
      </c>
      <c r="H62" s="6">
        <v>0</v>
      </c>
      <c r="I62" s="6">
        <v>1000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5000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f t="shared" si="0"/>
        <v>27500</v>
      </c>
      <c r="V62" s="6">
        <v>27500</v>
      </c>
      <c r="W62" s="6">
        <f t="shared" si="1"/>
        <v>0</v>
      </c>
      <c r="X62" s="3"/>
    </row>
    <row r="63" spans="1:24" ht="15.75" customHeight="1" x14ac:dyDescent="0.35">
      <c r="A63" s="5" t="s">
        <v>130</v>
      </c>
      <c r="B63" s="5" t="s">
        <v>133</v>
      </c>
      <c r="C63" s="5" t="s">
        <v>132</v>
      </c>
      <c r="D63" s="6">
        <v>32000</v>
      </c>
      <c r="E63" s="6">
        <v>0</v>
      </c>
      <c r="F63" s="6">
        <f t="shared" ref="F63:F66" si="16">D63*0.75</f>
        <v>24000</v>
      </c>
      <c r="G63" s="6">
        <v>2500</v>
      </c>
      <c r="H63" s="6">
        <v>1500</v>
      </c>
      <c r="I63" s="6">
        <v>5000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40000</v>
      </c>
      <c r="R63" s="6">
        <v>0</v>
      </c>
      <c r="S63" s="6">
        <v>0</v>
      </c>
      <c r="T63" s="6">
        <v>0</v>
      </c>
      <c r="U63" s="6">
        <f t="shared" si="0"/>
        <v>73000</v>
      </c>
      <c r="V63" s="6">
        <v>65000</v>
      </c>
      <c r="W63" s="6">
        <f t="shared" si="1"/>
        <v>8000</v>
      </c>
      <c r="X63" s="3"/>
    </row>
    <row r="64" spans="1:24" ht="15.75" customHeight="1" x14ac:dyDescent="0.35">
      <c r="A64" s="5" t="s">
        <v>130</v>
      </c>
      <c r="B64" s="5" t="s">
        <v>131</v>
      </c>
      <c r="C64" s="5" t="s">
        <v>132</v>
      </c>
      <c r="D64" s="6">
        <v>32000</v>
      </c>
      <c r="E64" s="6">
        <v>0</v>
      </c>
      <c r="F64" s="6">
        <f t="shared" si="16"/>
        <v>24000</v>
      </c>
      <c r="G64" s="6">
        <v>2500</v>
      </c>
      <c r="H64" s="6">
        <v>1500</v>
      </c>
      <c r="I64" s="6">
        <v>5000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40000</v>
      </c>
      <c r="R64" s="6">
        <v>0</v>
      </c>
      <c r="S64" s="6">
        <v>0</v>
      </c>
      <c r="T64" s="6">
        <v>3400</v>
      </c>
      <c r="U64" s="6">
        <f t="shared" si="0"/>
        <v>76400</v>
      </c>
      <c r="V64" s="6">
        <v>65000</v>
      </c>
      <c r="W64" s="6">
        <f t="shared" si="1"/>
        <v>11400</v>
      </c>
      <c r="X64" s="3"/>
    </row>
    <row r="65" spans="1:24" ht="15.75" customHeight="1" x14ac:dyDescent="0.35">
      <c r="A65" s="5" t="s">
        <v>134</v>
      </c>
      <c r="B65" s="5" t="s">
        <v>135</v>
      </c>
      <c r="C65" s="5" t="s">
        <v>75</v>
      </c>
      <c r="D65" s="6">
        <v>24500</v>
      </c>
      <c r="E65" s="6">
        <v>0</v>
      </c>
      <c r="F65" s="6">
        <f t="shared" si="16"/>
        <v>18375</v>
      </c>
      <c r="G65" s="6">
        <v>2500</v>
      </c>
      <c r="H65" s="6">
        <v>1500</v>
      </c>
      <c r="I65" s="6">
        <v>4500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6000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f t="shared" si="0"/>
        <v>32875</v>
      </c>
      <c r="V65" s="6">
        <v>32875</v>
      </c>
      <c r="W65" s="6">
        <f t="shared" si="1"/>
        <v>0</v>
      </c>
      <c r="X65" s="7"/>
    </row>
    <row r="66" spans="1:24" ht="15.75" customHeight="1" x14ac:dyDescent="0.35">
      <c r="A66" s="5" t="s">
        <v>134</v>
      </c>
      <c r="B66" s="5" t="s">
        <v>97</v>
      </c>
      <c r="C66" s="5" t="s">
        <v>28</v>
      </c>
      <c r="D66" s="6">
        <v>22000</v>
      </c>
      <c r="E66" s="6">
        <v>0</v>
      </c>
      <c r="F66" s="6">
        <f t="shared" si="16"/>
        <v>16500</v>
      </c>
      <c r="G66" s="6">
        <v>2000</v>
      </c>
      <c r="H66" s="6">
        <v>0</v>
      </c>
      <c r="I66" s="6">
        <v>3500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5000</v>
      </c>
      <c r="P66" s="6">
        <v>0</v>
      </c>
      <c r="Q66" s="6">
        <v>0</v>
      </c>
      <c r="R66" s="6">
        <v>0</v>
      </c>
      <c r="S66" s="6">
        <v>0</v>
      </c>
      <c r="T66" s="6">
        <v>7425</v>
      </c>
      <c r="U66" s="6">
        <f t="shared" si="0"/>
        <v>34425</v>
      </c>
      <c r="V66" s="6">
        <v>21125</v>
      </c>
      <c r="W66" s="6">
        <f t="shared" si="1"/>
        <v>13300</v>
      </c>
      <c r="X66" s="3"/>
    </row>
    <row r="67" spans="1:24" ht="15.75" customHeight="1" x14ac:dyDescent="0.35">
      <c r="A67" s="5" t="s">
        <v>307</v>
      </c>
      <c r="B67" s="5" t="s">
        <v>308</v>
      </c>
      <c r="C67" s="5" t="s">
        <v>36</v>
      </c>
      <c r="D67" s="6">
        <v>20000</v>
      </c>
      <c r="E67" s="6">
        <v>1500</v>
      </c>
      <c r="F67" s="6">
        <f>D67</f>
        <v>20000</v>
      </c>
      <c r="G67" s="22">
        <v>1500</v>
      </c>
      <c r="H67" s="22">
        <v>1000</v>
      </c>
      <c r="I67" s="22">
        <v>0</v>
      </c>
      <c r="J67" s="22">
        <v>10535</v>
      </c>
      <c r="K67" s="22">
        <v>4560</v>
      </c>
      <c r="L67" s="22">
        <v>10000</v>
      </c>
      <c r="M67" s="22">
        <v>3000</v>
      </c>
      <c r="N67" s="22">
        <v>4000</v>
      </c>
      <c r="O67" s="22">
        <v>5000</v>
      </c>
      <c r="P67" s="22">
        <v>0</v>
      </c>
      <c r="Q67" s="6">
        <v>0</v>
      </c>
      <c r="R67" s="6">
        <v>0</v>
      </c>
      <c r="S67" s="6">
        <v>0</v>
      </c>
      <c r="T67" s="6">
        <v>0</v>
      </c>
      <c r="U67" s="6">
        <f t="shared" si="0"/>
        <v>61095</v>
      </c>
      <c r="V67" s="6">
        <v>62000</v>
      </c>
      <c r="W67" s="6">
        <f t="shared" si="1"/>
        <v>-905</v>
      </c>
      <c r="X67" s="3"/>
    </row>
    <row r="68" spans="1:24" ht="15.75" customHeight="1" x14ac:dyDescent="0.35">
      <c r="A68" s="5" t="s">
        <v>136</v>
      </c>
      <c r="B68" s="5" t="s">
        <v>60</v>
      </c>
      <c r="C68" s="5" t="s">
        <v>75</v>
      </c>
      <c r="D68" s="6">
        <v>24500</v>
      </c>
      <c r="E68" s="6">
        <v>0</v>
      </c>
      <c r="F68" s="6">
        <f t="shared" ref="F68:F71" si="17">D68*0.75</f>
        <v>18375</v>
      </c>
      <c r="G68" s="6">
        <v>2500</v>
      </c>
      <c r="H68" s="6">
        <v>1500</v>
      </c>
      <c r="I68" s="6">
        <v>4500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6000</v>
      </c>
      <c r="P68" s="6">
        <v>0</v>
      </c>
      <c r="Q68" s="6">
        <v>0</v>
      </c>
      <c r="R68" s="6">
        <v>0</v>
      </c>
      <c r="S68" s="6">
        <v>0</v>
      </c>
      <c r="T68" s="6">
        <v>1785</v>
      </c>
      <c r="U68" s="6">
        <f t="shared" si="0"/>
        <v>34660</v>
      </c>
      <c r="V68" s="6">
        <v>34660</v>
      </c>
      <c r="W68" s="6">
        <f t="shared" si="1"/>
        <v>0</v>
      </c>
      <c r="X68" s="7"/>
    </row>
    <row r="69" spans="1:24" ht="15.75" customHeight="1" x14ac:dyDescent="0.35">
      <c r="A69" s="5" t="s">
        <v>136</v>
      </c>
      <c r="B69" s="5" t="s">
        <v>137</v>
      </c>
      <c r="C69" s="5" t="s">
        <v>127</v>
      </c>
      <c r="D69" s="6">
        <v>22000</v>
      </c>
      <c r="E69" s="6">
        <v>0</v>
      </c>
      <c r="F69" s="6">
        <f t="shared" si="17"/>
        <v>16500</v>
      </c>
      <c r="G69" s="6">
        <v>2000</v>
      </c>
      <c r="H69" s="6">
        <v>0</v>
      </c>
      <c r="I69" s="6">
        <v>3500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5000</v>
      </c>
      <c r="P69" s="6">
        <v>0</v>
      </c>
      <c r="Q69" s="6">
        <v>1200</v>
      </c>
      <c r="R69" s="6">
        <v>0</v>
      </c>
      <c r="S69" s="6">
        <v>0</v>
      </c>
      <c r="T69" s="6">
        <v>9635</v>
      </c>
      <c r="U69" s="6">
        <f t="shared" si="0"/>
        <v>37835</v>
      </c>
      <c r="V69" s="6">
        <v>37055</v>
      </c>
      <c r="W69" s="6">
        <f t="shared" si="1"/>
        <v>780</v>
      </c>
      <c r="X69" s="3"/>
    </row>
    <row r="70" spans="1:24" ht="15.75" customHeight="1" x14ac:dyDescent="0.35">
      <c r="A70" s="5" t="s">
        <v>138</v>
      </c>
      <c r="B70" s="5" t="s">
        <v>140</v>
      </c>
      <c r="C70" s="5" t="s">
        <v>34</v>
      </c>
      <c r="D70" s="6">
        <v>20000</v>
      </c>
      <c r="E70" s="6">
        <v>0</v>
      </c>
      <c r="F70" s="6">
        <f t="shared" si="17"/>
        <v>15000</v>
      </c>
      <c r="G70" s="6">
        <v>2000</v>
      </c>
      <c r="H70" s="6">
        <v>0</v>
      </c>
      <c r="I70" s="6">
        <v>1000</v>
      </c>
      <c r="J70" s="6">
        <v>0</v>
      </c>
      <c r="K70" s="6">
        <v>0</v>
      </c>
      <c r="L70" s="6">
        <v>0</v>
      </c>
      <c r="M70" s="6">
        <v>0</v>
      </c>
      <c r="N70" s="6">
        <v>0</v>
      </c>
      <c r="O70" s="6">
        <v>5000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f t="shared" si="0"/>
        <v>23000</v>
      </c>
      <c r="V70" s="6">
        <v>23000</v>
      </c>
      <c r="W70" s="6">
        <f t="shared" si="1"/>
        <v>0</v>
      </c>
      <c r="X70" s="3"/>
    </row>
    <row r="71" spans="1:24" ht="15.75" customHeight="1" x14ac:dyDescent="0.35">
      <c r="A71" s="5" t="s">
        <v>138</v>
      </c>
      <c r="B71" s="5" t="s">
        <v>139</v>
      </c>
      <c r="C71" s="5" t="s">
        <v>32</v>
      </c>
      <c r="D71" s="6">
        <v>22000</v>
      </c>
      <c r="E71" s="6">
        <v>0</v>
      </c>
      <c r="F71" s="6">
        <f t="shared" si="17"/>
        <v>16500</v>
      </c>
      <c r="G71" s="6">
        <v>2000</v>
      </c>
      <c r="H71" s="6">
        <v>0</v>
      </c>
      <c r="I71" s="6">
        <v>3500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5000</v>
      </c>
      <c r="P71" s="6">
        <v>0</v>
      </c>
      <c r="Q71" s="6">
        <v>0</v>
      </c>
      <c r="R71" s="6">
        <v>0</v>
      </c>
      <c r="S71" s="6">
        <v>0</v>
      </c>
      <c r="T71" s="6">
        <v>20760</v>
      </c>
      <c r="U71" s="6">
        <f t="shared" si="0"/>
        <v>47760</v>
      </c>
      <c r="V71" s="6">
        <v>37000</v>
      </c>
      <c r="W71" s="6">
        <f t="shared" si="1"/>
        <v>10760</v>
      </c>
      <c r="X71" s="8"/>
    </row>
    <row r="72" spans="1:24" ht="15.75" customHeight="1" x14ac:dyDescent="0.35">
      <c r="A72" s="3"/>
      <c r="B72" s="3"/>
      <c r="C72" s="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29">
        <f t="shared" ref="V72:W72" si="18">SUM(V2:V71)</f>
        <v>2031512</v>
      </c>
      <c r="W72" s="29">
        <f t="shared" si="18"/>
        <v>232165.72</v>
      </c>
      <c r="X72" s="3"/>
    </row>
    <row r="73" spans="1:24" ht="15.75" customHeight="1" x14ac:dyDescent="0.35">
      <c r="A73" s="3"/>
      <c r="B73" s="3"/>
      <c r="C73" s="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3"/>
    </row>
    <row r="74" spans="1:24" ht="15.75" customHeight="1" x14ac:dyDescent="0.35">
      <c r="A74" s="3"/>
      <c r="B74" s="3"/>
      <c r="C74" s="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3"/>
    </row>
    <row r="75" spans="1:24" ht="15.75" customHeight="1" x14ac:dyDescent="0.35">
      <c r="A75" s="3"/>
      <c r="B75" s="3"/>
      <c r="C75" s="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3"/>
    </row>
    <row r="76" spans="1:24" ht="15.75" customHeight="1" x14ac:dyDescent="0.35">
      <c r="A76" s="3"/>
      <c r="B76" s="3"/>
      <c r="C76" s="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3"/>
    </row>
    <row r="77" spans="1:24" ht="15.75" customHeight="1" x14ac:dyDescent="0.35">
      <c r="A77" s="3"/>
      <c r="B77" s="3"/>
      <c r="C77" s="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3"/>
    </row>
    <row r="78" spans="1:24" ht="15.75" customHeight="1" x14ac:dyDescent="0.35">
      <c r="A78" s="3"/>
      <c r="B78" s="3"/>
      <c r="C78" s="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3"/>
    </row>
    <row r="79" spans="1:24" ht="15.75" customHeight="1" x14ac:dyDescent="0.35">
      <c r="A79" s="3"/>
      <c r="B79" s="3"/>
      <c r="C79" s="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3"/>
    </row>
    <row r="80" spans="1:24" ht="15.75" customHeight="1" x14ac:dyDescent="0.35">
      <c r="A80" s="3"/>
      <c r="B80" s="3"/>
      <c r="C80" s="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3"/>
    </row>
    <row r="81" spans="1:24" ht="15.75" customHeight="1" x14ac:dyDescent="0.35">
      <c r="A81" s="3"/>
      <c r="B81" s="3"/>
      <c r="C81" s="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3"/>
    </row>
    <row r="82" spans="1:24" ht="15.75" customHeight="1" x14ac:dyDescent="0.35">
      <c r="A82" s="3"/>
      <c r="B82" s="3"/>
      <c r="C82" s="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3"/>
    </row>
    <row r="83" spans="1:24" ht="15.75" customHeight="1" x14ac:dyDescent="0.35">
      <c r="A83" s="3"/>
      <c r="B83" s="3"/>
      <c r="C83" s="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3"/>
    </row>
    <row r="84" spans="1:24" ht="15.75" customHeight="1" x14ac:dyDescent="0.35">
      <c r="A84" s="3"/>
      <c r="B84" s="3"/>
      <c r="C84" s="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3"/>
    </row>
    <row r="85" spans="1:24" ht="15.75" customHeight="1" x14ac:dyDescent="0.35">
      <c r="A85" s="3"/>
      <c r="B85" s="3"/>
      <c r="C85" s="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3"/>
    </row>
    <row r="86" spans="1:24" ht="15.75" customHeight="1" x14ac:dyDescent="0.35">
      <c r="A86" s="3"/>
      <c r="B86" s="3"/>
      <c r="C86" s="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3"/>
    </row>
    <row r="87" spans="1:24" ht="15.75" customHeight="1" x14ac:dyDescent="0.35">
      <c r="A87" s="3"/>
      <c r="B87" s="3"/>
      <c r="C87" s="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3"/>
    </row>
    <row r="88" spans="1:24" ht="15.75" customHeight="1" x14ac:dyDescent="0.35">
      <c r="A88" s="3"/>
      <c r="B88" s="3"/>
      <c r="C88" s="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3"/>
    </row>
    <row r="89" spans="1:24" ht="15.75" customHeight="1" x14ac:dyDescent="0.35">
      <c r="A89" s="3"/>
      <c r="B89" s="3"/>
      <c r="C89" s="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3"/>
    </row>
    <row r="90" spans="1:24" ht="15.75" customHeight="1" x14ac:dyDescent="0.35">
      <c r="A90" s="3"/>
      <c r="B90" s="3"/>
      <c r="C90" s="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3"/>
    </row>
    <row r="91" spans="1:24" ht="15.75" customHeight="1" x14ac:dyDescent="0.35">
      <c r="A91" s="3"/>
      <c r="B91" s="3"/>
      <c r="C91" s="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3"/>
    </row>
    <row r="92" spans="1:24" ht="15.75" customHeight="1" x14ac:dyDescent="0.35">
      <c r="A92" s="3"/>
      <c r="B92" s="3"/>
      <c r="C92" s="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3"/>
    </row>
    <row r="93" spans="1:24" ht="15.75" customHeight="1" x14ac:dyDescent="0.35">
      <c r="A93" s="3"/>
      <c r="B93" s="3"/>
      <c r="C93" s="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3"/>
    </row>
    <row r="94" spans="1:24" ht="15.75" customHeight="1" x14ac:dyDescent="0.35">
      <c r="A94" s="3"/>
      <c r="B94" s="3"/>
      <c r="C94" s="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3"/>
    </row>
    <row r="95" spans="1:24" ht="15.75" customHeight="1" x14ac:dyDescent="0.35">
      <c r="A95" s="3"/>
      <c r="B95" s="3"/>
      <c r="C95" s="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3"/>
    </row>
    <row r="96" spans="1:24" ht="15.75" customHeight="1" x14ac:dyDescent="0.35">
      <c r="A96" s="3"/>
      <c r="B96" s="3"/>
      <c r="C96" s="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3"/>
    </row>
    <row r="97" spans="1:24" ht="15.75" customHeight="1" x14ac:dyDescent="0.35">
      <c r="A97" s="3"/>
      <c r="B97" s="3"/>
      <c r="C97" s="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3"/>
    </row>
    <row r="98" spans="1:24" ht="15.75" customHeight="1" x14ac:dyDescent="0.35">
      <c r="A98" s="3"/>
      <c r="B98" s="3"/>
      <c r="C98" s="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3"/>
    </row>
    <row r="99" spans="1:24" ht="15.75" customHeight="1" x14ac:dyDescent="0.35">
      <c r="A99" s="3"/>
      <c r="B99" s="3"/>
      <c r="C99" s="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3"/>
    </row>
    <row r="100" spans="1:24" ht="15.75" customHeight="1" x14ac:dyDescent="0.35">
      <c r="A100" s="3"/>
      <c r="B100" s="3"/>
      <c r="C100" s="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3"/>
    </row>
    <row r="101" spans="1:24" ht="15.75" customHeight="1" x14ac:dyDescent="0.35">
      <c r="A101" s="3"/>
      <c r="B101" s="3"/>
      <c r="C101" s="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3"/>
    </row>
    <row r="102" spans="1:24" ht="15.75" customHeight="1" x14ac:dyDescent="0.35">
      <c r="A102" s="3"/>
      <c r="B102" s="3"/>
      <c r="C102" s="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3"/>
    </row>
    <row r="103" spans="1:24" ht="15.75" customHeight="1" x14ac:dyDescent="0.35">
      <c r="A103" s="3"/>
      <c r="B103" s="3"/>
      <c r="C103" s="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3"/>
    </row>
    <row r="104" spans="1:24" ht="15.75" customHeight="1" x14ac:dyDescent="0.35">
      <c r="A104" s="3"/>
      <c r="B104" s="3"/>
      <c r="C104" s="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3"/>
    </row>
    <row r="105" spans="1:24" ht="15.75" customHeight="1" x14ac:dyDescent="0.35">
      <c r="A105" s="3"/>
      <c r="B105" s="3"/>
      <c r="C105" s="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3"/>
    </row>
    <row r="106" spans="1:24" ht="15.75" customHeight="1" x14ac:dyDescent="0.35">
      <c r="A106" s="3"/>
      <c r="B106" s="3"/>
      <c r="C106" s="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3"/>
    </row>
    <row r="107" spans="1:24" ht="15.75" customHeight="1" x14ac:dyDescent="0.35">
      <c r="A107" s="3"/>
      <c r="B107" s="3"/>
      <c r="C107" s="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3"/>
    </row>
    <row r="108" spans="1:24" ht="15.75" customHeight="1" x14ac:dyDescent="0.35">
      <c r="A108" s="3"/>
      <c r="B108" s="3"/>
      <c r="C108" s="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3"/>
    </row>
    <row r="109" spans="1:24" ht="15.75" customHeight="1" x14ac:dyDescent="0.35">
      <c r="A109" s="3"/>
      <c r="B109" s="3"/>
      <c r="C109" s="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3"/>
    </row>
    <row r="110" spans="1:24" ht="15.75" customHeight="1" x14ac:dyDescent="0.35">
      <c r="A110" s="3"/>
      <c r="B110" s="3"/>
      <c r="C110" s="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3"/>
    </row>
    <row r="111" spans="1:24" ht="15.75" customHeight="1" x14ac:dyDescent="0.35">
      <c r="A111" s="3"/>
      <c r="B111" s="3"/>
      <c r="C111" s="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3"/>
    </row>
    <row r="112" spans="1:24" ht="15.75" customHeight="1" x14ac:dyDescent="0.35">
      <c r="A112" s="3"/>
      <c r="B112" s="3"/>
      <c r="C112" s="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3"/>
    </row>
    <row r="113" spans="1:24" ht="15.75" customHeight="1" x14ac:dyDescent="0.35">
      <c r="A113" s="3"/>
      <c r="B113" s="3"/>
      <c r="C113" s="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3"/>
    </row>
    <row r="114" spans="1:24" ht="15.75" customHeight="1" x14ac:dyDescent="0.35">
      <c r="A114" s="3"/>
      <c r="B114" s="3"/>
      <c r="C114" s="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3"/>
    </row>
    <row r="115" spans="1:24" ht="15.75" customHeight="1" x14ac:dyDescent="0.35">
      <c r="A115" s="3"/>
      <c r="B115" s="3"/>
      <c r="C115" s="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3"/>
    </row>
    <row r="116" spans="1:24" ht="15.75" customHeight="1" x14ac:dyDescent="0.35">
      <c r="A116" s="3"/>
      <c r="B116" s="3"/>
      <c r="C116" s="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3"/>
    </row>
    <row r="117" spans="1:24" ht="15.75" customHeight="1" x14ac:dyDescent="0.35">
      <c r="A117" s="3"/>
      <c r="B117" s="3"/>
      <c r="C117" s="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3"/>
    </row>
    <row r="118" spans="1:24" ht="15.75" customHeight="1" x14ac:dyDescent="0.35">
      <c r="A118" s="3"/>
      <c r="B118" s="3"/>
      <c r="C118" s="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3"/>
    </row>
    <row r="119" spans="1:24" ht="15.75" customHeight="1" x14ac:dyDescent="0.35">
      <c r="A119" s="3"/>
      <c r="B119" s="3"/>
      <c r="C119" s="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3"/>
    </row>
    <row r="120" spans="1:24" ht="15.75" customHeight="1" x14ac:dyDescent="0.35">
      <c r="A120" s="3"/>
      <c r="B120" s="3"/>
      <c r="C120" s="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3"/>
    </row>
    <row r="121" spans="1:24" ht="15.75" customHeight="1" x14ac:dyDescent="0.35">
      <c r="A121" s="3"/>
      <c r="B121" s="3"/>
      <c r="C121" s="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3"/>
    </row>
    <row r="122" spans="1:24" ht="15.75" customHeight="1" x14ac:dyDescent="0.35">
      <c r="A122" s="3"/>
      <c r="B122" s="3"/>
      <c r="C122" s="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3"/>
    </row>
    <row r="123" spans="1:24" ht="15.75" customHeight="1" x14ac:dyDescent="0.35">
      <c r="A123" s="3"/>
      <c r="B123" s="3"/>
      <c r="C123" s="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3"/>
    </row>
    <row r="124" spans="1:24" ht="15.75" customHeight="1" x14ac:dyDescent="0.35">
      <c r="A124" s="3"/>
      <c r="B124" s="3"/>
      <c r="C124" s="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3"/>
    </row>
    <row r="125" spans="1:24" ht="15.75" customHeight="1" x14ac:dyDescent="0.35">
      <c r="A125" s="3"/>
      <c r="B125" s="3"/>
      <c r="C125" s="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3"/>
    </row>
    <row r="126" spans="1:24" ht="15.75" customHeight="1" x14ac:dyDescent="0.35">
      <c r="A126" s="3"/>
      <c r="B126" s="3"/>
      <c r="C126" s="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3"/>
    </row>
    <row r="127" spans="1:24" ht="15.75" customHeight="1" x14ac:dyDescent="0.35">
      <c r="A127" s="3"/>
      <c r="B127" s="3"/>
      <c r="C127" s="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3"/>
    </row>
    <row r="128" spans="1:24" ht="15.75" customHeight="1" x14ac:dyDescent="0.35">
      <c r="A128" s="3"/>
      <c r="B128" s="3"/>
      <c r="C128" s="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3"/>
    </row>
    <row r="129" spans="1:24" ht="15.75" customHeight="1" x14ac:dyDescent="0.35">
      <c r="A129" s="3"/>
      <c r="B129" s="3"/>
      <c r="C129" s="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3"/>
    </row>
    <row r="130" spans="1:24" ht="15.75" customHeight="1" x14ac:dyDescent="0.35">
      <c r="A130" s="3"/>
      <c r="B130" s="3"/>
      <c r="C130" s="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3"/>
    </row>
    <row r="131" spans="1:24" ht="15.75" customHeight="1" x14ac:dyDescent="0.35">
      <c r="A131" s="3"/>
      <c r="B131" s="3"/>
      <c r="C131" s="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3"/>
    </row>
    <row r="132" spans="1:24" ht="15.75" customHeight="1" x14ac:dyDescent="0.35">
      <c r="A132" s="3"/>
      <c r="B132" s="3"/>
      <c r="C132" s="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3"/>
    </row>
    <row r="133" spans="1:24" ht="15.75" customHeight="1" x14ac:dyDescent="0.35">
      <c r="A133" s="3"/>
      <c r="B133" s="3"/>
      <c r="C133" s="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3"/>
    </row>
    <row r="134" spans="1:24" ht="15.75" customHeight="1" x14ac:dyDescent="0.35">
      <c r="A134" s="3"/>
      <c r="B134" s="3"/>
      <c r="C134" s="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3"/>
    </row>
    <row r="135" spans="1:24" ht="15.75" customHeight="1" x14ac:dyDescent="0.35">
      <c r="A135" s="3"/>
      <c r="B135" s="3"/>
      <c r="C135" s="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3"/>
    </row>
    <row r="136" spans="1:24" ht="15.75" customHeight="1" x14ac:dyDescent="0.35">
      <c r="A136" s="3"/>
      <c r="B136" s="3"/>
      <c r="C136" s="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3"/>
    </row>
    <row r="137" spans="1:24" ht="15.75" customHeight="1" x14ac:dyDescent="0.35">
      <c r="A137" s="3"/>
      <c r="B137" s="3"/>
      <c r="C137" s="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3"/>
    </row>
    <row r="138" spans="1:24" ht="15.75" customHeight="1" x14ac:dyDescent="0.35">
      <c r="A138" s="3"/>
      <c r="B138" s="3"/>
      <c r="C138" s="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3"/>
    </row>
    <row r="139" spans="1:24" ht="15.75" customHeight="1" x14ac:dyDescent="0.35">
      <c r="A139" s="3"/>
      <c r="B139" s="3"/>
      <c r="C139" s="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3"/>
    </row>
    <row r="140" spans="1:24" ht="15.75" customHeight="1" x14ac:dyDescent="0.35">
      <c r="A140" s="3"/>
      <c r="B140" s="3"/>
      <c r="C140" s="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3"/>
    </row>
    <row r="141" spans="1:24" ht="15.75" customHeight="1" x14ac:dyDescent="0.35">
      <c r="A141" s="3"/>
      <c r="B141" s="3"/>
      <c r="C141" s="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3"/>
    </row>
    <row r="142" spans="1:24" ht="15.75" customHeight="1" x14ac:dyDescent="0.35">
      <c r="A142" s="3"/>
      <c r="B142" s="3"/>
      <c r="C142" s="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3"/>
    </row>
    <row r="143" spans="1:24" ht="15.75" customHeight="1" x14ac:dyDescent="0.35">
      <c r="A143" s="3"/>
      <c r="B143" s="3"/>
      <c r="C143" s="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3"/>
    </row>
    <row r="144" spans="1:24" ht="15.75" customHeight="1" x14ac:dyDescent="0.35">
      <c r="A144" s="3"/>
      <c r="B144" s="3"/>
      <c r="C144" s="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3"/>
    </row>
    <row r="145" spans="1:24" ht="15.75" customHeight="1" x14ac:dyDescent="0.35">
      <c r="A145" s="3"/>
      <c r="B145" s="3"/>
      <c r="C145" s="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3"/>
    </row>
    <row r="146" spans="1:24" ht="15.75" customHeight="1" x14ac:dyDescent="0.35">
      <c r="A146" s="3"/>
      <c r="B146" s="3"/>
      <c r="C146" s="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3"/>
    </row>
    <row r="147" spans="1:24" ht="15.75" customHeight="1" x14ac:dyDescent="0.35">
      <c r="A147" s="3"/>
      <c r="B147" s="3"/>
      <c r="C147" s="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3"/>
    </row>
    <row r="148" spans="1:24" ht="15.75" customHeight="1" x14ac:dyDescent="0.35">
      <c r="A148" s="3"/>
      <c r="B148" s="3"/>
      <c r="C148" s="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3"/>
    </row>
    <row r="149" spans="1:24" ht="15.75" customHeight="1" x14ac:dyDescent="0.35">
      <c r="A149" s="3"/>
      <c r="B149" s="3"/>
      <c r="C149" s="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3"/>
    </row>
    <row r="150" spans="1:24" ht="15.75" customHeight="1" x14ac:dyDescent="0.35">
      <c r="A150" s="3"/>
      <c r="B150" s="3"/>
      <c r="C150" s="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3"/>
    </row>
    <row r="151" spans="1:24" ht="15.75" customHeight="1" x14ac:dyDescent="0.35">
      <c r="A151" s="3"/>
      <c r="B151" s="3"/>
      <c r="C151" s="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3"/>
    </row>
    <row r="152" spans="1:24" ht="15.75" customHeight="1" x14ac:dyDescent="0.35">
      <c r="A152" s="3"/>
      <c r="B152" s="3"/>
      <c r="C152" s="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3"/>
    </row>
    <row r="153" spans="1:24" ht="15.75" customHeight="1" x14ac:dyDescent="0.35">
      <c r="A153" s="3"/>
      <c r="B153" s="3"/>
      <c r="C153" s="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3"/>
    </row>
    <row r="154" spans="1:24" ht="15.75" customHeight="1" x14ac:dyDescent="0.35">
      <c r="A154" s="3"/>
      <c r="B154" s="3"/>
      <c r="C154" s="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3"/>
    </row>
    <row r="155" spans="1:24" ht="15.75" customHeight="1" x14ac:dyDescent="0.35">
      <c r="A155" s="3"/>
      <c r="B155" s="3"/>
      <c r="C155" s="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3"/>
    </row>
    <row r="156" spans="1:24" ht="15.75" customHeight="1" x14ac:dyDescent="0.35">
      <c r="A156" s="3"/>
      <c r="B156" s="3"/>
      <c r="C156" s="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3"/>
    </row>
    <row r="157" spans="1:24" ht="15.75" customHeight="1" x14ac:dyDescent="0.35">
      <c r="A157" s="3"/>
      <c r="B157" s="3"/>
      <c r="C157" s="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3"/>
    </row>
    <row r="158" spans="1:24" ht="15.75" customHeight="1" x14ac:dyDescent="0.35">
      <c r="A158" s="3"/>
      <c r="B158" s="3"/>
      <c r="C158" s="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3"/>
    </row>
    <row r="159" spans="1:24" ht="15.75" customHeight="1" x14ac:dyDescent="0.35">
      <c r="A159" s="3"/>
      <c r="B159" s="3"/>
      <c r="C159" s="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3"/>
    </row>
    <row r="160" spans="1:24" ht="15.75" customHeight="1" x14ac:dyDescent="0.35">
      <c r="A160" s="3"/>
      <c r="B160" s="3"/>
      <c r="C160" s="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3"/>
    </row>
    <row r="161" spans="1:24" ht="15.75" customHeight="1" x14ac:dyDescent="0.35">
      <c r="A161" s="3"/>
      <c r="B161" s="3"/>
      <c r="C161" s="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3"/>
    </row>
    <row r="162" spans="1:24" ht="15.75" customHeight="1" x14ac:dyDescent="0.35">
      <c r="A162" s="3"/>
      <c r="B162" s="3"/>
      <c r="C162" s="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3"/>
    </row>
    <row r="163" spans="1:24" ht="15.75" customHeight="1" x14ac:dyDescent="0.35">
      <c r="A163" s="3"/>
      <c r="B163" s="3"/>
      <c r="C163" s="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3"/>
    </row>
    <row r="164" spans="1:24" ht="15.75" customHeight="1" x14ac:dyDescent="0.35">
      <c r="A164" s="3"/>
      <c r="B164" s="3"/>
      <c r="C164" s="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3"/>
    </row>
    <row r="165" spans="1:24" ht="15.75" customHeight="1" x14ac:dyDescent="0.35">
      <c r="A165" s="3"/>
      <c r="B165" s="3"/>
      <c r="C165" s="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3"/>
    </row>
    <row r="166" spans="1:24" ht="15.75" customHeight="1" x14ac:dyDescent="0.35">
      <c r="A166" s="3"/>
      <c r="B166" s="3"/>
      <c r="C166" s="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3"/>
    </row>
    <row r="167" spans="1:24" ht="15.75" customHeight="1" x14ac:dyDescent="0.35">
      <c r="A167" s="3"/>
      <c r="B167" s="3"/>
      <c r="C167" s="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3"/>
    </row>
    <row r="168" spans="1:24" ht="15.75" customHeight="1" x14ac:dyDescent="0.35">
      <c r="A168" s="3"/>
      <c r="B168" s="3"/>
      <c r="C168" s="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3"/>
    </row>
    <row r="169" spans="1:24" ht="15.75" customHeight="1" x14ac:dyDescent="0.35">
      <c r="A169" s="3"/>
      <c r="B169" s="3"/>
      <c r="C169" s="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3"/>
    </row>
    <row r="170" spans="1:24" ht="15.75" customHeight="1" x14ac:dyDescent="0.35">
      <c r="A170" s="3"/>
      <c r="B170" s="3"/>
      <c r="C170" s="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3"/>
    </row>
    <row r="171" spans="1:24" ht="15.75" customHeight="1" x14ac:dyDescent="0.35">
      <c r="A171" s="3"/>
      <c r="B171" s="3"/>
      <c r="C171" s="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3"/>
    </row>
    <row r="172" spans="1:24" ht="15.75" customHeight="1" x14ac:dyDescent="0.35">
      <c r="A172" s="3"/>
      <c r="B172" s="3"/>
      <c r="C172" s="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3"/>
    </row>
    <row r="173" spans="1:24" ht="15.75" customHeight="1" x14ac:dyDescent="0.35">
      <c r="A173" s="3"/>
      <c r="B173" s="3"/>
      <c r="C173" s="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3"/>
    </row>
    <row r="174" spans="1:24" ht="15.75" customHeight="1" x14ac:dyDescent="0.35">
      <c r="A174" s="3"/>
      <c r="B174" s="3"/>
      <c r="C174" s="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3"/>
    </row>
    <row r="175" spans="1:24" ht="15.75" customHeight="1" x14ac:dyDescent="0.35">
      <c r="A175" s="3"/>
      <c r="B175" s="3"/>
      <c r="C175" s="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3"/>
    </row>
    <row r="176" spans="1:24" ht="15.75" customHeight="1" x14ac:dyDescent="0.35">
      <c r="A176" s="3"/>
      <c r="B176" s="3"/>
      <c r="C176" s="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3"/>
    </row>
    <row r="177" spans="1:24" ht="15.75" customHeight="1" x14ac:dyDescent="0.35">
      <c r="A177" s="3"/>
      <c r="B177" s="3"/>
      <c r="C177" s="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3"/>
    </row>
    <row r="178" spans="1:24" ht="15.75" customHeight="1" x14ac:dyDescent="0.35">
      <c r="A178" s="3"/>
      <c r="B178" s="3"/>
      <c r="C178" s="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3"/>
    </row>
    <row r="179" spans="1:24" ht="15.75" customHeight="1" x14ac:dyDescent="0.35">
      <c r="A179" s="3"/>
      <c r="B179" s="3"/>
      <c r="C179" s="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3"/>
    </row>
    <row r="180" spans="1:24" ht="15.75" customHeight="1" x14ac:dyDescent="0.35">
      <c r="A180" s="3"/>
      <c r="B180" s="3"/>
      <c r="C180" s="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3"/>
    </row>
    <row r="181" spans="1:24" ht="15.75" customHeight="1" x14ac:dyDescent="0.35">
      <c r="A181" s="3"/>
      <c r="B181" s="3"/>
      <c r="C181" s="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3"/>
    </row>
    <row r="182" spans="1:24" ht="15.75" customHeight="1" x14ac:dyDescent="0.35">
      <c r="A182" s="3"/>
      <c r="B182" s="3"/>
      <c r="C182" s="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3"/>
    </row>
    <row r="183" spans="1:24" ht="15.75" customHeight="1" x14ac:dyDescent="0.35">
      <c r="A183" s="3"/>
      <c r="B183" s="3"/>
      <c r="C183" s="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3"/>
    </row>
    <row r="184" spans="1:24" ht="15.75" customHeight="1" x14ac:dyDescent="0.35">
      <c r="A184" s="3"/>
      <c r="B184" s="3"/>
      <c r="C184" s="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3"/>
    </row>
    <row r="185" spans="1:24" ht="15.75" customHeight="1" x14ac:dyDescent="0.35">
      <c r="A185" s="3"/>
      <c r="B185" s="3"/>
      <c r="C185" s="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3"/>
    </row>
    <row r="186" spans="1:24" ht="15.75" customHeight="1" x14ac:dyDescent="0.35">
      <c r="A186" s="3"/>
      <c r="B186" s="3"/>
      <c r="C186" s="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3"/>
    </row>
    <row r="187" spans="1:24" ht="15.75" customHeight="1" x14ac:dyDescent="0.35">
      <c r="A187" s="3"/>
      <c r="B187" s="3"/>
      <c r="C187" s="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3"/>
    </row>
    <row r="188" spans="1:24" ht="15.75" customHeight="1" x14ac:dyDescent="0.35">
      <c r="A188" s="3"/>
      <c r="B188" s="3"/>
      <c r="C188" s="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3"/>
    </row>
    <row r="189" spans="1:24" ht="15.75" customHeight="1" x14ac:dyDescent="0.35">
      <c r="A189" s="3"/>
      <c r="B189" s="3"/>
      <c r="C189" s="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3"/>
    </row>
    <row r="190" spans="1:24" ht="15.75" customHeight="1" x14ac:dyDescent="0.35">
      <c r="A190" s="3"/>
      <c r="B190" s="3"/>
      <c r="C190" s="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3"/>
    </row>
    <row r="191" spans="1:24" ht="15.75" customHeight="1" x14ac:dyDescent="0.35">
      <c r="A191" s="3"/>
      <c r="B191" s="3"/>
      <c r="C191" s="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3"/>
    </row>
    <row r="192" spans="1:24" ht="15.75" customHeight="1" x14ac:dyDescent="0.35">
      <c r="A192" s="3"/>
      <c r="B192" s="3"/>
      <c r="C192" s="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3"/>
    </row>
    <row r="193" spans="1:24" ht="15.75" customHeight="1" x14ac:dyDescent="0.35">
      <c r="A193" s="3"/>
      <c r="B193" s="3"/>
      <c r="C193" s="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3"/>
    </row>
    <row r="194" spans="1:24" ht="15.75" customHeight="1" x14ac:dyDescent="0.35">
      <c r="A194" s="3"/>
      <c r="B194" s="3"/>
      <c r="C194" s="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3"/>
    </row>
    <row r="195" spans="1:24" ht="15.75" customHeight="1" x14ac:dyDescent="0.35">
      <c r="A195" s="3"/>
      <c r="B195" s="3"/>
      <c r="C195" s="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3"/>
    </row>
    <row r="196" spans="1:24" ht="15.75" customHeight="1" x14ac:dyDescent="0.35">
      <c r="A196" s="3"/>
      <c r="B196" s="3"/>
      <c r="C196" s="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3"/>
    </row>
    <row r="197" spans="1:24" ht="15.75" customHeight="1" x14ac:dyDescent="0.35">
      <c r="A197" s="3"/>
      <c r="B197" s="3"/>
      <c r="C197" s="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3"/>
    </row>
    <row r="198" spans="1:24" ht="15.75" customHeight="1" x14ac:dyDescent="0.35">
      <c r="A198" s="3"/>
      <c r="B198" s="3"/>
      <c r="C198" s="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3"/>
    </row>
    <row r="199" spans="1:24" ht="15.75" customHeight="1" x14ac:dyDescent="0.35">
      <c r="A199" s="3"/>
      <c r="B199" s="3"/>
      <c r="C199" s="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3"/>
    </row>
    <row r="200" spans="1:24" ht="15.75" customHeight="1" x14ac:dyDescent="0.35">
      <c r="A200" s="3"/>
      <c r="B200" s="3"/>
      <c r="C200" s="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3"/>
    </row>
    <row r="201" spans="1:24" ht="15.75" customHeight="1" x14ac:dyDescent="0.35">
      <c r="A201" s="3"/>
      <c r="B201" s="3"/>
      <c r="C201" s="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3"/>
    </row>
    <row r="202" spans="1:24" ht="15.75" customHeight="1" x14ac:dyDescent="0.35">
      <c r="A202" s="3"/>
      <c r="B202" s="3"/>
      <c r="C202" s="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3"/>
    </row>
    <row r="203" spans="1:24" ht="15.75" customHeight="1" x14ac:dyDescent="0.35">
      <c r="A203" s="3"/>
      <c r="B203" s="3"/>
      <c r="C203" s="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3"/>
    </row>
    <row r="204" spans="1:24" ht="15.75" customHeight="1" x14ac:dyDescent="0.35">
      <c r="A204" s="3"/>
      <c r="B204" s="3"/>
      <c r="C204" s="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3"/>
    </row>
    <row r="205" spans="1:24" ht="15.75" customHeight="1" x14ac:dyDescent="0.35">
      <c r="A205" s="3"/>
      <c r="B205" s="3"/>
      <c r="C205" s="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3"/>
    </row>
    <row r="206" spans="1:24" ht="15.75" customHeight="1" x14ac:dyDescent="0.35">
      <c r="A206" s="3"/>
      <c r="B206" s="3"/>
      <c r="C206" s="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3"/>
    </row>
    <row r="207" spans="1:24" ht="15.75" customHeight="1" x14ac:dyDescent="0.35">
      <c r="A207" s="3"/>
      <c r="B207" s="3"/>
      <c r="C207" s="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3"/>
    </row>
    <row r="208" spans="1:24" ht="15.75" customHeight="1" x14ac:dyDescent="0.35">
      <c r="A208" s="3"/>
      <c r="B208" s="3"/>
      <c r="C208" s="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3"/>
    </row>
    <row r="209" spans="1:24" ht="15.75" customHeight="1" x14ac:dyDescent="0.35">
      <c r="A209" s="3"/>
      <c r="B209" s="3"/>
      <c r="C209" s="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3"/>
    </row>
    <row r="210" spans="1:24" ht="15.75" customHeight="1" x14ac:dyDescent="0.35">
      <c r="A210" s="3"/>
      <c r="B210" s="3"/>
      <c r="C210" s="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3"/>
    </row>
    <row r="211" spans="1:24" ht="15.75" customHeight="1" x14ac:dyDescent="0.35">
      <c r="A211" s="3"/>
      <c r="B211" s="3"/>
      <c r="C211" s="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3"/>
    </row>
    <row r="212" spans="1:24" ht="15.75" customHeight="1" x14ac:dyDescent="0.35">
      <c r="A212" s="3"/>
      <c r="B212" s="3"/>
      <c r="C212" s="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3"/>
    </row>
    <row r="213" spans="1:24" ht="15.75" customHeight="1" x14ac:dyDescent="0.35">
      <c r="A213" s="3"/>
      <c r="B213" s="3"/>
      <c r="C213" s="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3"/>
    </row>
    <row r="214" spans="1:24" ht="15.75" customHeight="1" x14ac:dyDescent="0.35">
      <c r="A214" s="3"/>
      <c r="B214" s="3"/>
      <c r="C214" s="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3"/>
    </row>
    <row r="215" spans="1:24" ht="15.75" customHeight="1" x14ac:dyDescent="0.35">
      <c r="A215" s="3"/>
      <c r="B215" s="3"/>
      <c r="C215" s="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3"/>
    </row>
    <row r="216" spans="1:24" ht="15.75" customHeight="1" x14ac:dyDescent="0.35">
      <c r="A216" s="3"/>
      <c r="B216" s="3"/>
      <c r="C216" s="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3"/>
    </row>
    <row r="217" spans="1:24" ht="15.75" customHeight="1" x14ac:dyDescent="0.35">
      <c r="A217" s="3"/>
      <c r="B217" s="3"/>
      <c r="C217" s="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3"/>
    </row>
    <row r="218" spans="1:24" ht="15.75" customHeight="1" x14ac:dyDescent="0.35">
      <c r="A218" s="3"/>
      <c r="B218" s="3"/>
      <c r="C218" s="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3"/>
    </row>
    <row r="219" spans="1:24" ht="15.75" customHeight="1" x14ac:dyDescent="0.35">
      <c r="A219" s="3"/>
      <c r="B219" s="3"/>
      <c r="C219" s="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3"/>
    </row>
    <row r="220" spans="1:24" ht="15.75" customHeight="1" x14ac:dyDescent="0.35">
      <c r="A220" s="3"/>
      <c r="B220" s="3"/>
      <c r="C220" s="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3"/>
    </row>
    <row r="221" spans="1:24" ht="15.75" customHeight="1" x14ac:dyDescent="0.35">
      <c r="A221" s="3"/>
      <c r="B221" s="3"/>
      <c r="C221" s="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3"/>
    </row>
    <row r="222" spans="1:24" ht="15.75" customHeight="1" x14ac:dyDescent="0.35">
      <c r="A222" s="3"/>
      <c r="B222" s="3"/>
      <c r="C222" s="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3"/>
    </row>
    <row r="223" spans="1:24" ht="15.75" customHeight="1" x14ac:dyDescent="0.35">
      <c r="A223" s="3"/>
      <c r="B223" s="3"/>
      <c r="C223" s="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3"/>
    </row>
    <row r="224" spans="1:24" ht="15.75" customHeight="1" x14ac:dyDescent="0.35">
      <c r="A224" s="3"/>
      <c r="B224" s="3"/>
      <c r="C224" s="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3"/>
    </row>
    <row r="225" spans="1:24" ht="15.75" customHeight="1" x14ac:dyDescent="0.35">
      <c r="A225" s="3"/>
      <c r="B225" s="3"/>
      <c r="C225" s="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3"/>
    </row>
    <row r="226" spans="1:24" ht="15.75" customHeight="1" x14ac:dyDescent="0.35">
      <c r="A226" s="3"/>
      <c r="B226" s="3"/>
      <c r="C226" s="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3"/>
    </row>
    <row r="227" spans="1:24" ht="15.75" customHeight="1" x14ac:dyDescent="0.35">
      <c r="A227" s="3"/>
      <c r="B227" s="3"/>
      <c r="C227" s="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3"/>
    </row>
    <row r="228" spans="1:24" ht="15.75" customHeight="1" x14ac:dyDescent="0.35">
      <c r="A228" s="3"/>
      <c r="B228" s="3"/>
      <c r="C228" s="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3"/>
    </row>
    <row r="229" spans="1:24" ht="15.75" customHeight="1" x14ac:dyDescent="0.35">
      <c r="A229" s="3"/>
      <c r="B229" s="3"/>
      <c r="C229" s="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3"/>
    </row>
    <row r="230" spans="1:24" ht="15.75" customHeight="1" x14ac:dyDescent="0.35">
      <c r="A230" s="3"/>
      <c r="B230" s="3"/>
      <c r="C230" s="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3"/>
    </row>
    <row r="231" spans="1:24" ht="15.75" customHeight="1" x14ac:dyDescent="0.35">
      <c r="A231" s="3"/>
      <c r="B231" s="3"/>
      <c r="C231" s="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3"/>
    </row>
    <row r="232" spans="1:24" ht="15.75" customHeight="1" x14ac:dyDescent="0.35">
      <c r="A232" s="3"/>
      <c r="B232" s="3"/>
      <c r="C232" s="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3"/>
    </row>
    <row r="233" spans="1:24" ht="15.75" customHeight="1" x14ac:dyDescent="0.35">
      <c r="A233" s="3"/>
      <c r="B233" s="3"/>
      <c r="C233" s="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3"/>
    </row>
    <row r="234" spans="1:24" ht="15.75" customHeight="1" x14ac:dyDescent="0.35">
      <c r="A234" s="3"/>
      <c r="B234" s="3"/>
      <c r="C234" s="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3"/>
    </row>
    <row r="235" spans="1:24" ht="15.75" customHeight="1" x14ac:dyDescent="0.35">
      <c r="A235" s="3"/>
      <c r="B235" s="3"/>
      <c r="C235" s="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3"/>
    </row>
    <row r="236" spans="1:24" ht="15.75" customHeight="1" x14ac:dyDescent="0.35">
      <c r="A236" s="3"/>
      <c r="B236" s="3"/>
      <c r="C236" s="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3"/>
    </row>
    <row r="237" spans="1:24" ht="15.75" customHeight="1" x14ac:dyDescent="0.35">
      <c r="A237" s="3"/>
      <c r="B237" s="3"/>
      <c r="C237" s="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3"/>
    </row>
    <row r="238" spans="1:24" ht="15.75" customHeight="1" x14ac:dyDescent="0.35">
      <c r="A238" s="3"/>
      <c r="B238" s="3"/>
      <c r="C238" s="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3"/>
    </row>
    <row r="239" spans="1:24" ht="15.75" customHeight="1" x14ac:dyDescent="0.35">
      <c r="A239" s="3"/>
      <c r="B239" s="3"/>
      <c r="C239" s="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3"/>
    </row>
    <row r="240" spans="1:24" ht="15.75" customHeight="1" x14ac:dyDescent="0.35">
      <c r="A240" s="3"/>
      <c r="B240" s="3"/>
      <c r="C240" s="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3"/>
    </row>
    <row r="241" spans="1:24" ht="15.75" customHeight="1" x14ac:dyDescent="0.35">
      <c r="A241" s="3"/>
      <c r="B241" s="3"/>
      <c r="C241" s="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3"/>
    </row>
    <row r="242" spans="1:24" ht="15.75" customHeight="1" x14ac:dyDescent="0.35">
      <c r="A242" s="3"/>
      <c r="B242" s="3"/>
      <c r="C242" s="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3"/>
    </row>
    <row r="243" spans="1:24" ht="15.75" customHeight="1" x14ac:dyDescent="0.35">
      <c r="A243" s="3"/>
      <c r="B243" s="3"/>
      <c r="C243" s="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3"/>
    </row>
    <row r="244" spans="1:24" ht="15.75" customHeight="1" x14ac:dyDescent="0.35">
      <c r="A244" s="3"/>
      <c r="B244" s="3"/>
      <c r="C244" s="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3"/>
    </row>
    <row r="245" spans="1:24" ht="15.75" customHeight="1" x14ac:dyDescent="0.35">
      <c r="A245" s="3"/>
      <c r="B245" s="3"/>
      <c r="C245" s="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3"/>
    </row>
    <row r="246" spans="1:24" ht="15.75" customHeight="1" x14ac:dyDescent="0.35">
      <c r="A246" s="3"/>
      <c r="B246" s="3"/>
      <c r="C246" s="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3"/>
    </row>
    <row r="247" spans="1:24" ht="15.75" customHeight="1" x14ac:dyDescent="0.35">
      <c r="A247" s="3"/>
      <c r="B247" s="3"/>
      <c r="C247" s="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3"/>
    </row>
    <row r="248" spans="1:24" ht="15.75" customHeight="1" x14ac:dyDescent="0.35">
      <c r="A248" s="3"/>
      <c r="B248" s="3"/>
      <c r="C248" s="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3"/>
    </row>
    <row r="249" spans="1:24" ht="15.75" customHeight="1" x14ac:dyDescent="0.35">
      <c r="A249" s="3"/>
      <c r="B249" s="3"/>
      <c r="C249" s="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3"/>
    </row>
    <row r="250" spans="1:24" ht="15.75" customHeight="1" x14ac:dyDescent="0.35">
      <c r="A250" s="3"/>
      <c r="B250" s="3"/>
      <c r="C250" s="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3"/>
    </row>
    <row r="251" spans="1:24" ht="15.75" customHeight="1" x14ac:dyDescent="0.35">
      <c r="A251" s="3"/>
      <c r="B251" s="3"/>
      <c r="C251" s="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3"/>
    </row>
    <row r="252" spans="1:24" ht="15.75" customHeight="1" x14ac:dyDescent="0.35">
      <c r="A252" s="3"/>
      <c r="B252" s="3"/>
      <c r="C252" s="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3"/>
    </row>
    <row r="253" spans="1:24" ht="15.75" customHeight="1" x14ac:dyDescent="0.35">
      <c r="A253" s="3"/>
      <c r="B253" s="3"/>
      <c r="C253" s="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3"/>
    </row>
    <row r="254" spans="1:24" ht="15.75" customHeight="1" x14ac:dyDescent="0.35">
      <c r="A254" s="3"/>
      <c r="B254" s="3"/>
      <c r="C254" s="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3"/>
    </row>
    <row r="255" spans="1:24" ht="15.75" customHeight="1" x14ac:dyDescent="0.35">
      <c r="A255" s="3"/>
      <c r="B255" s="3"/>
      <c r="C255" s="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3"/>
    </row>
    <row r="256" spans="1:24" ht="15.75" customHeight="1" x14ac:dyDescent="0.35">
      <c r="A256" s="3"/>
      <c r="B256" s="3"/>
      <c r="C256" s="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3"/>
    </row>
    <row r="257" spans="1:24" ht="15.75" customHeight="1" x14ac:dyDescent="0.35">
      <c r="A257" s="3"/>
      <c r="B257" s="3"/>
      <c r="C257" s="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3"/>
    </row>
    <row r="258" spans="1:24" ht="15.75" customHeight="1" x14ac:dyDescent="0.35">
      <c r="A258" s="3"/>
      <c r="B258" s="3"/>
      <c r="C258" s="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3"/>
    </row>
    <row r="259" spans="1:24" ht="15.75" customHeight="1" x14ac:dyDescent="0.35">
      <c r="A259" s="3"/>
      <c r="B259" s="3"/>
      <c r="C259" s="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3"/>
    </row>
    <row r="260" spans="1:24" ht="15.75" customHeight="1" x14ac:dyDescent="0.35">
      <c r="A260" s="3"/>
      <c r="B260" s="3"/>
      <c r="C260" s="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3"/>
    </row>
    <row r="261" spans="1:24" ht="15.75" customHeight="1" x14ac:dyDescent="0.35">
      <c r="A261" s="3"/>
      <c r="B261" s="3"/>
      <c r="C261" s="3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3"/>
    </row>
    <row r="262" spans="1:24" ht="15.75" customHeight="1" x14ac:dyDescent="0.35">
      <c r="A262" s="3"/>
      <c r="B262" s="3"/>
      <c r="C262" s="3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3"/>
    </row>
    <row r="263" spans="1:24" ht="15.75" customHeight="1" x14ac:dyDescent="0.35">
      <c r="A263" s="3"/>
      <c r="B263" s="3"/>
      <c r="C263" s="3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3"/>
    </row>
    <row r="264" spans="1:24" ht="15.75" customHeight="1" x14ac:dyDescent="0.35">
      <c r="A264" s="3"/>
      <c r="B264" s="3"/>
      <c r="C264" s="3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3"/>
    </row>
    <row r="265" spans="1:24" ht="15.75" customHeight="1" x14ac:dyDescent="0.3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</row>
    <row r="266" spans="1:24" ht="15.75" customHeight="1" x14ac:dyDescent="0.3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</row>
    <row r="267" spans="1:24" ht="15.75" customHeight="1" x14ac:dyDescent="0.3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</row>
    <row r="268" spans="1:24" ht="15.75" customHeight="1" x14ac:dyDescent="0.3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</row>
    <row r="269" spans="1:24" ht="15.75" customHeight="1" x14ac:dyDescent="0.3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</row>
    <row r="270" spans="1:24" ht="15.75" customHeight="1" x14ac:dyDescent="0.3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spans="1:24" ht="15.75" customHeight="1" x14ac:dyDescent="0.35"/>
    <row r="272" spans="1:24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conditionalFormatting sqref="W2:W7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Y25:Z25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rintOptions horizontalCentered="1" gridLines="1"/>
  <pageMargins left="0.25" right="0.25" top="0.75" bottom="0.75" header="0" footer="0"/>
  <pageSetup paperSize="9" fitToHeight="0" orientation="portrait"/>
  <headerFooter>
    <oddHeader>&amp;L&amp;D&amp;CLIST OF STUDENTS PAYMENT STATUS&amp;R&amp;T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99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23" customWidth="1"/>
    <col min="2" max="2" width="62.26953125" customWidth="1"/>
    <col min="3" max="3" width="21.08984375" customWidth="1"/>
    <col min="4" max="4" width="36.54296875" customWidth="1"/>
    <col min="5" max="5" width="14" customWidth="1"/>
    <col min="6" max="6" width="20.7265625" customWidth="1"/>
    <col min="7" max="24" width="24.08984375" customWidth="1"/>
  </cols>
  <sheetData>
    <row r="1" spans="1:25" ht="17.5" x14ac:dyDescent="0.35">
      <c r="A1" s="30" t="s">
        <v>141</v>
      </c>
      <c r="B1" s="31" t="s">
        <v>142</v>
      </c>
      <c r="C1" s="31" t="s">
        <v>143</v>
      </c>
      <c r="D1" s="32" t="s">
        <v>144</v>
      </c>
      <c r="E1" s="32" t="s">
        <v>145</v>
      </c>
      <c r="F1" s="33">
        <f>SUM(C2:C998)</f>
        <v>1986102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t="14.5" x14ac:dyDescent="0.35">
      <c r="A2" s="34">
        <v>45277</v>
      </c>
      <c r="B2" s="35" t="s">
        <v>234</v>
      </c>
      <c r="C2" s="36">
        <v>38515</v>
      </c>
      <c r="D2" s="3" t="s">
        <v>309</v>
      </c>
      <c r="E2" s="3" t="s">
        <v>148</v>
      </c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 spans="1:25" ht="14.5" x14ac:dyDescent="0.35">
      <c r="A3" s="37">
        <v>44928</v>
      </c>
      <c r="B3" s="19" t="s">
        <v>173</v>
      </c>
      <c r="C3" s="28">
        <v>41500</v>
      </c>
      <c r="D3" s="19" t="s">
        <v>310</v>
      </c>
      <c r="E3" s="19" t="s">
        <v>148</v>
      </c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</row>
    <row r="4" spans="1:25" ht="14.5" x14ac:dyDescent="0.35">
      <c r="A4" s="37">
        <v>45293</v>
      </c>
      <c r="B4" s="19" t="s">
        <v>295</v>
      </c>
      <c r="C4" s="28">
        <v>60000</v>
      </c>
      <c r="D4" s="19" t="s">
        <v>311</v>
      </c>
      <c r="E4" s="19" t="s">
        <v>312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</row>
    <row r="5" spans="1:25" ht="14.5" x14ac:dyDescent="0.35">
      <c r="A5" s="37">
        <v>45299</v>
      </c>
      <c r="B5" s="19" t="s">
        <v>285</v>
      </c>
      <c r="C5" s="28">
        <v>3000</v>
      </c>
      <c r="D5" s="19" t="s">
        <v>220</v>
      </c>
      <c r="E5" s="19" t="s">
        <v>148</v>
      </c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</row>
    <row r="6" spans="1:25" ht="14.5" x14ac:dyDescent="0.35">
      <c r="A6" s="37">
        <v>45299</v>
      </c>
      <c r="B6" s="19" t="s">
        <v>272</v>
      </c>
      <c r="C6" s="28">
        <v>10000</v>
      </c>
      <c r="D6" s="19" t="s">
        <v>245</v>
      </c>
      <c r="E6" s="19" t="s">
        <v>148</v>
      </c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</row>
    <row r="7" spans="1:25" ht="14.5" x14ac:dyDescent="0.35">
      <c r="A7" s="37">
        <v>45300</v>
      </c>
      <c r="B7" s="19" t="s">
        <v>273</v>
      </c>
      <c r="C7" s="28">
        <v>26400</v>
      </c>
      <c r="D7" s="19" t="s">
        <v>274</v>
      </c>
      <c r="E7" s="19" t="s">
        <v>148</v>
      </c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spans="1:25" ht="14.5" x14ac:dyDescent="0.35">
      <c r="A8" s="37">
        <v>45300</v>
      </c>
      <c r="B8" s="19" t="s">
        <v>313</v>
      </c>
      <c r="C8" s="28">
        <v>32000</v>
      </c>
      <c r="D8" s="19" t="s">
        <v>314</v>
      </c>
      <c r="E8" s="19" t="s">
        <v>148</v>
      </c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</row>
    <row r="9" spans="1:25" ht="14.5" x14ac:dyDescent="0.35">
      <c r="A9" s="37">
        <v>45300</v>
      </c>
      <c r="B9" s="19" t="s">
        <v>315</v>
      </c>
      <c r="C9" s="28">
        <v>64000</v>
      </c>
      <c r="D9" s="19" t="s">
        <v>316</v>
      </c>
      <c r="E9" s="19" t="s">
        <v>148</v>
      </c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</row>
    <row r="10" spans="1:25" ht="14.5" x14ac:dyDescent="0.35">
      <c r="A10" s="37">
        <v>45303</v>
      </c>
      <c r="B10" s="19" t="s">
        <v>196</v>
      </c>
      <c r="C10" s="28">
        <v>40000</v>
      </c>
      <c r="D10" s="19" t="s">
        <v>317</v>
      </c>
      <c r="E10" s="19" t="s">
        <v>148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</row>
    <row r="11" spans="1:25" ht="14.5" x14ac:dyDescent="0.35">
      <c r="A11" s="37">
        <v>45305</v>
      </c>
      <c r="B11" s="19" t="s">
        <v>272</v>
      </c>
      <c r="C11" s="28">
        <v>6000</v>
      </c>
      <c r="D11" s="19" t="s">
        <v>245</v>
      </c>
      <c r="E11" s="19" t="s">
        <v>148</v>
      </c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</row>
    <row r="12" spans="1:25" ht="14.5" x14ac:dyDescent="0.35">
      <c r="A12" s="37">
        <v>45305</v>
      </c>
      <c r="B12" s="19" t="s">
        <v>318</v>
      </c>
      <c r="C12" s="28">
        <v>20000</v>
      </c>
      <c r="D12" s="19" t="s">
        <v>157</v>
      </c>
      <c r="E12" s="19" t="s">
        <v>148</v>
      </c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</row>
    <row r="13" spans="1:25" ht="14.5" x14ac:dyDescent="0.35">
      <c r="A13" s="37">
        <v>45306</v>
      </c>
      <c r="B13" s="19" t="s">
        <v>319</v>
      </c>
      <c r="C13" s="28">
        <v>50000</v>
      </c>
      <c r="D13" s="19" t="s">
        <v>320</v>
      </c>
      <c r="E13" s="19" t="s">
        <v>148</v>
      </c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</row>
    <row r="14" spans="1:25" ht="14.5" x14ac:dyDescent="0.35">
      <c r="A14" s="37">
        <v>45306</v>
      </c>
      <c r="B14" s="19" t="s">
        <v>321</v>
      </c>
      <c r="C14" s="28">
        <v>18500</v>
      </c>
      <c r="D14" s="19" t="s">
        <v>165</v>
      </c>
      <c r="E14" s="19" t="s">
        <v>148</v>
      </c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</row>
    <row r="15" spans="1:25" ht="14.5" x14ac:dyDescent="0.35">
      <c r="A15" s="37">
        <v>45306</v>
      </c>
      <c r="B15" s="19" t="s">
        <v>322</v>
      </c>
      <c r="C15" s="28">
        <v>15000</v>
      </c>
      <c r="D15" s="19" t="s">
        <v>323</v>
      </c>
      <c r="E15" s="19" t="s">
        <v>148</v>
      </c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</row>
    <row r="16" spans="1:25" ht="14.5" x14ac:dyDescent="0.35">
      <c r="A16" s="37">
        <v>45306</v>
      </c>
      <c r="B16" s="19" t="s">
        <v>261</v>
      </c>
      <c r="C16" s="28">
        <v>11420</v>
      </c>
      <c r="D16" s="19" t="s">
        <v>324</v>
      </c>
      <c r="E16" s="19" t="s">
        <v>148</v>
      </c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</row>
    <row r="17" spans="1:19" ht="14.5" x14ac:dyDescent="0.35">
      <c r="A17" s="37">
        <v>45306</v>
      </c>
      <c r="B17" s="19" t="s">
        <v>239</v>
      </c>
      <c r="C17" s="28">
        <v>13000</v>
      </c>
      <c r="D17" s="19" t="s">
        <v>240</v>
      </c>
      <c r="E17" s="19" t="s">
        <v>148</v>
      </c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</row>
    <row r="18" spans="1:19" ht="14.5" x14ac:dyDescent="0.35">
      <c r="A18" s="37">
        <v>45306</v>
      </c>
      <c r="B18" s="19" t="s">
        <v>206</v>
      </c>
      <c r="C18" s="28">
        <v>40000</v>
      </c>
      <c r="D18" s="19" t="s">
        <v>207</v>
      </c>
      <c r="E18" s="19" t="s">
        <v>148</v>
      </c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  <row r="19" spans="1:19" ht="14.5" x14ac:dyDescent="0.35">
      <c r="A19" s="37">
        <v>45306</v>
      </c>
      <c r="B19" s="19" t="s">
        <v>200</v>
      </c>
      <c r="C19" s="28">
        <v>20000</v>
      </c>
      <c r="D19" s="19" t="s">
        <v>201</v>
      </c>
      <c r="E19" s="19" t="s">
        <v>148</v>
      </c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</row>
    <row r="20" spans="1:19" ht="14.5" x14ac:dyDescent="0.35">
      <c r="A20" s="37">
        <v>45307</v>
      </c>
      <c r="B20" s="19" t="s">
        <v>277</v>
      </c>
      <c r="C20" s="28">
        <v>20000</v>
      </c>
      <c r="D20" s="19" t="s">
        <v>325</v>
      </c>
      <c r="E20" s="19" t="s">
        <v>148</v>
      </c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</row>
    <row r="21" spans="1:19" ht="15.75" customHeight="1" x14ac:dyDescent="0.35">
      <c r="A21" s="37">
        <v>45307</v>
      </c>
      <c r="B21" s="19" t="s">
        <v>284</v>
      </c>
      <c r="C21" s="28">
        <v>3000</v>
      </c>
      <c r="D21" s="19" t="s">
        <v>165</v>
      </c>
      <c r="E21" s="19" t="s">
        <v>148</v>
      </c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</row>
    <row r="22" spans="1:19" ht="15.75" customHeight="1" x14ac:dyDescent="0.35">
      <c r="A22" s="37">
        <v>45307</v>
      </c>
      <c r="B22" s="19" t="s">
        <v>326</v>
      </c>
      <c r="C22" s="28">
        <v>1500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</row>
    <row r="23" spans="1:19" ht="15.75" customHeight="1" x14ac:dyDescent="0.35">
      <c r="A23" s="37">
        <v>45307</v>
      </c>
      <c r="B23" s="19" t="s">
        <v>327</v>
      </c>
      <c r="C23" s="28">
        <v>20534</v>
      </c>
      <c r="D23" s="19" t="s">
        <v>328</v>
      </c>
      <c r="E23" s="19" t="s">
        <v>148</v>
      </c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</row>
    <row r="24" spans="1:19" ht="15.75" customHeight="1" x14ac:dyDescent="0.35">
      <c r="A24" s="37">
        <v>45307</v>
      </c>
      <c r="B24" s="19" t="s">
        <v>329</v>
      </c>
      <c r="C24" s="28">
        <v>27500</v>
      </c>
      <c r="D24" s="19" t="s">
        <v>195</v>
      </c>
      <c r="E24" s="19" t="s">
        <v>148</v>
      </c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</row>
    <row r="25" spans="1:19" ht="15.75" customHeight="1" x14ac:dyDescent="0.35">
      <c r="A25" s="37">
        <v>45307</v>
      </c>
      <c r="B25" s="19" t="s">
        <v>330</v>
      </c>
      <c r="C25" s="28">
        <v>10000</v>
      </c>
      <c r="D25" s="19" t="s">
        <v>331</v>
      </c>
      <c r="E25" s="19" t="s">
        <v>148</v>
      </c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</row>
    <row r="26" spans="1:19" ht="15.75" customHeight="1" x14ac:dyDescent="0.35">
      <c r="A26" s="37">
        <v>45307</v>
      </c>
      <c r="B26" s="19" t="s">
        <v>191</v>
      </c>
      <c r="C26" s="28">
        <v>10000</v>
      </c>
      <c r="D26" s="19" t="s">
        <v>331</v>
      </c>
      <c r="E26" s="19" t="s">
        <v>148</v>
      </c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</row>
    <row r="27" spans="1:19" ht="15.75" customHeight="1" x14ac:dyDescent="0.35">
      <c r="A27" s="37">
        <v>45308</v>
      </c>
      <c r="B27" s="19" t="s">
        <v>332</v>
      </c>
      <c r="C27" s="28">
        <v>30000</v>
      </c>
      <c r="D27" s="19" t="s">
        <v>181</v>
      </c>
      <c r="E27" s="19" t="s">
        <v>148</v>
      </c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</row>
    <row r="28" spans="1:19" ht="15.75" customHeight="1" x14ac:dyDescent="0.35">
      <c r="A28" s="37">
        <v>45309</v>
      </c>
      <c r="B28" s="19" t="s">
        <v>333</v>
      </c>
      <c r="C28" s="28">
        <v>5000</v>
      </c>
      <c r="D28" s="19" t="s">
        <v>309</v>
      </c>
      <c r="E28" s="19" t="s">
        <v>148</v>
      </c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</row>
    <row r="29" spans="1:19" ht="15.75" customHeight="1" x14ac:dyDescent="0.35">
      <c r="A29" s="37">
        <v>45309</v>
      </c>
      <c r="B29" s="19" t="s">
        <v>208</v>
      </c>
      <c r="C29" s="28">
        <v>20000</v>
      </c>
      <c r="D29" s="19" t="s">
        <v>334</v>
      </c>
      <c r="E29" s="19" t="s">
        <v>148</v>
      </c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</row>
    <row r="30" spans="1:19" ht="15.75" customHeight="1" x14ac:dyDescent="0.35">
      <c r="A30" s="37">
        <v>45312</v>
      </c>
      <c r="B30" s="19" t="s">
        <v>272</v>
      </c>
      <c r="C30" s="28">
        <v>12000</v>
      </c>
      <c r="D30" s="19" t="s">
        <v>245</v>
      </c>
      <c r="E30" s="19" t="s">
        <v>148</v>
      </c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</row>
    <row r="31" spans="1:19" ht="15.75" customHeight="1" x14ac:dyDescent="0.35">
      <c r="A31" s="37">
        <v>45313</v>
      </c>
      <c r="B31" s="19" t="s">
        <v>335</v>
      </c>
      <c r="C31" s="28">
        <v>15000</v>
      </c>
      <c r="D31" s="19" t="s">
        <v>336</v>
      </c>
      <c r="E31" s="19" t="s">
        <v>148</v>
      </c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  <row r="32" spans="1:19" ht="15.75" customHeight="1" x14ac:dyDescent="0.35">
      <c r="A32" s="37">
        <v>45313</v>
      </c>
      <c r="B32" s="19" t="s">
        <v>337</v>
      </c>
      <c r="C32" s="28">
        <v>12500</v>
      </c>
      <c r="D32" s="19" t="s">
        <v>338</v>
      </c>
      <c r="E32" s="19" t="s">
        <v>148</v>
      </c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</row>
    <row r="33" spans="1:19" ht="15.75" customHeight="1" x14ac:dyDescent="0.35">
      <c r="A33" s="37">
        <v>45314</v>
      </c>
      <c r="B33" s="19" t="s">
        <v>292</v>
      </c>
      <c r="C33" s="28">
        <v>26500</v>
      </c>
      <c r="D33" s="19" t="s">
        <v>205</v>
      </c>
      <c r="E33" s="19" t="s">
        <v>148</v>
      </c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</row>
    <row r="34" spans="1:19" ht="15.75" customHeight="1" x14ac:dyDescent="0.35">
      <c r="A34" s="37">
        <v>45315</v>
      </c>
      <c r="B34" s="19" t="s">
        <v>339</v>
      </c>
      <c r="C34" s="28">
        <v>27500</v>
      </c>
      <c r="D34" s="19" t="s">
        <v>227</v>
      </c>
      <c r="E34" s="19" t="s">
        <v>148</v>
      </c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</row>
    <row r="35" spans="1:19" ht="15.75" customHeight="1" x14ac:dyDescent="0.35">
      <c r="A35" s="37">
        <v>45315</v>
      </c>
      <c r="B35" s="19" t="s">
        <v>340</v>
      </c>
      <c r="C35" s="28">
        <v>62000</v>
      </c>
      <c r="D35" s="19" t="s">
        <v>341</v>
      </c>
      <c r="E35" s="19" t="s">
        <v>148</v>
      </c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 spans="1:19" ht="15.75" customHeight="1" x14ac:dyDescent="0.35">
      <c r="A36" s="37">
        <v>45317</v>
      </c>
      <c r="B36" s="19" t="s">
        <v>342</v>
      </c>
      <c r="C36" s="28">
        <v>30000</v>
      </c>
      <c r="D36" s="19" t="s">
        <v>343</v>
      </c>
      <c r="E36" s="19" t="s">
        <v>148</v>
      </c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</row>
    <row r="37" spans="1:19" ht="15.75" customHeight="1" x14ac:dyDescent="0.35">
      <c r="A37" s="37">
        <v>45320</v>
      </c>
      <c r="B37" s="19" t="s">
        <v>154</v>
      </c>
      <c r="C37" s="28">
        <v>30000</v>
      </c>
      <c r="D37" s="19" t="s">
        <v>344</v>
      </c>
      <c r="E37" s="19" t="s">
        <v>148</v>
      </c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ht="15.75" customHeight="1" x14ac:dyDescent="0.35">
      <c r="A38" s="37">
        <v>45326</v>
      </c>
      <c r="B38" s="19" t="s">
        <v>265</v>
      </c>
      <c r="C38" s="28">
        <v>20000</v>
      </c>
      <c r="D38" s="19" t="s">
        <v>167</v>
      </c>
      <c r="E38" s="19" t="s">
        <v>148</v>
      </c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</row>
    <row r="39" spans="1:19" ht="15.75" customHeight="1" x14ac:dyDescent="0.35">
      <c r="A39" s="37">
        <v>45326</v>
      </c>
      <c r="B39" s="19" t="s">
        <v>345</v>
      </c>
      <c r="C39" s="28">
        <v>20000</v>
      </c>
      <c r="D39" s="19" t="s">
        <v>280</v>
      </c>
      <c r="E39" s="19" t="s">
        <v>148</v>
      </c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</row>
    <row r="40" spans="1:19" ht="15.75" customHeight="1" x14ac:dyDescent="0.35">
      <c r="A40" s="37">
        <v>45327</v>
      </c>
      <c r="B40" s="19" t="s">
        <v>239</v>
      </c>
      <c r="C40" s="28">
        <v>10000</v>
      </c>
      <c r="D40" s="19" t="s">
        <v>240</v>
      </c>
      <c r="E40" s="19" t="s">
        <v>148</v>
      </c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</row>
    <row r="41" spans="1:19" ht="15.75" customHeight="1" x14ac:dyDescent="0.35">
      <c r="A41" s="37">
        <v>45327</v>
      </c>
      <c r="B41" s="19" t="s">
        <v>346</v>
      </c>
      <c r="C41" s="28">
        <v>20000</v>
      </c>
      <c r="D41" s="19" t="s">
        <v>347</v>
      </c>
      <c r="E41" s="19" t="s">
        <v>148</v>
      </c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</row>
    <row r="42" spans="1:19" ht="15.75" customHeight="1" x14ac:dyDescent="0.35">
      <c r="A42" s="37">
        <v>45327</v>
      </c>
      <c r="B42" s="19" t="s">
        <v>348</v>
      </c>
      <c r="C42" s="28">
        <v>10000</v>
      </c>
      <c r="D42" s="19" t="s">
        <v>349</v>
      </c>
      <c r="E42" s="19" t="s">
        <v>148</v>
      </c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</row>
    <row r="43" spans="1:19" ht="15.75" customHeight="1" x14ac:dyDescent="0.35">
      <c r="A43" s="37">
        <v>45328</v>
      </c>
      <c r="B43" s="19" t="s">
        <v>350</v>
      </c>
      <c r="C43" s="28">
        <v>34500</v>
      </c>
      <c r="D43" s="19" t="s">
        <v>351</v>
      </c>
      <c r="E43" s="19" t="s">
        <v>148</v>
      </c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</row>
    <row r="44" spans="1:19" ht="15.75" customHeight="1" x14ac:dyDescent="0.35">
      <c r="A44" s="37">
        <v>45328</v>
      </c>
      <c r="B44" s="19" t="s">
        <v>196</v>
      </c>
      <c r="C44" s="28">
        <v>20000</v>
      </c>
      <c r="D44" s="19" t="s">
        <v>317</v>
      </c>
      <c r="E44" s="19" t="s">
        <v>148</v>
      </c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</row>
    <row r="45" spans="1:19" ht="15.75" customHeight="1" x14ac:dyDescent="0.35">
      <c r="A45" s="37">
        <v>45328</v>
      </c>
      <c r="B45" s="19" t="s">
        <v>352</v>
      </c>
      <c r="C45" s="28">
        <v>65200</v>
      </c>
      <c r="D45" s="19" t="s">
        <v>353</v>
      </c>
      <c r="E45" s="19" t="s">
        <v>148</v>
      </c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</row>
    <row r="46" spans="1:19" ht="15.75" customHeight="1" x14ac:dyDescent="0.35">
      <c r="A46" s="37">
        <v>45328</v>
      </c>
      <c r="B46" s="19" t="s">
        <v>354</v>
      </c>
      <c r="C46" s="28">
        <v>15000</v>
      </c>
      <c r="D46" s="19" t="s">
        <v>325</v>
      </c>
      <c r="E46" s="19" t="s">
        <v>148</v>
      </c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</row>
    <row r="47" spans="1:19" ht="15.75" customHeight="1" x14ac:dyDescent="0.35">
      <c r="A47" s="37">
        <v>45329</v>
      </c>
      <c r="B47" s="19" t="s">
        <v>355</v>
      </c>
      <c r="C47" s="28">
        <v>31000</v>
      </c>
      <c r="D47" s="19" t="s">
        <v>320</v>
      </c>
      <c r="E47" s="19" t="s">
        <v>148</v>
      </c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</row>
    <row r="48" spans="1:19" ht="15.75" customHeight="1" x14ac:dyDescent="0.35">
      <c r="A48" s="37">
        <v>45333</v>
      </c>
      <c r="B48" s="19" t="s">
        <v>291</v>
      </c>
      <c r="C48" s="28">
        <v>10000</v>
      </c>
      <c r="D48" s="19" t="s">
        <v>190</v>
      </c>
      <c r="E48" s="19" t="s">
        <v>148</v>
      </c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</row>
    <row r="49" spans="1:19" ht="15.75" customHeight="1" x14ac:dyDescent="0.35">
      <c r="A49" s="37">
        <v>45334</v>
      </c>
      <c r="B49" s="19" t="s">
        <v>295</v>
      </c>
      <c r="C49" s="28">
        <v>40000</v>
      </c>
      <c r="D49" s="19" t="s">
        <v>311</v>
      </c>
      <c r="E49" s="19" t="s">
        <v>148</v>
      </c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</row>
    <row r="50" spans="1:19" ht="15.75" customHeight="1" x14ac:dyDescent="0.35">
      <c r="A50" s="37">
        <v>45335</v>
      </c>
      <c r="B50" s="19" t="s">
        <v>261</v>
      </c>
      <c r="C50" s="28">
        <v>30000</v>
      </c>
      <c r="D50" s="19" t="s">
        <v>324</v>
      </c>
      <c r="E50" s="19" t="s">
        <v>148</v>
      </c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</row>
    <row r="51" spans="1:19" ht="15.75" customHeight="1" x14ac:dyDescent="0.35">
      <c r="A51" s="37">
        <v>45335</v>
      </c>
      <c r="B51" s="19" t="s">
        <v>225</v>
      </c>
      <c r="C51" s="28">
        <v>30000</v>
      </c>
      <c r="D51" s="19" t="s">
        <v>356</v>
      </c>
      <c r="E51" s="19" t="s">
        <v>148</v>
      </c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</row>
    <row r="52" spans="1:19" ht="15.75" customHeight="1" x14ac:dyDescent="0.35">
      <c r="A52" s="37">
        <v>45336</v>
      </c>
      <c r="B52" s="19" t="s">
        <v>202</v>
      </c>
      <c r="C52" s="28">
        <v>15879</v>
      </c>
      <c r="D52" s="19" t="s">
        <v>357</v>
      </c>
      <c r="E52" s="19" t="s">
        <v>148</v>
      </c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</row>
    <row r="53" spans="1:19" ht="15.75" customHeight="1" x14ac:dyDescent="0.35">
      <c r="A53" s="37">
        <v>45336</v>
      </c>
      <c r="B53" s="19" t="s">
        <v>354</v>
      </c>
      <c r="C53" s="28">
        <v>10000</v>
      </c>
      <c r="D53" s="19" t="s">
        <v>325</v>
      </c>
      <c r="E53" s="19" t="s">
        <v>148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</row>
    <row r="54" spans="1:19" ht="15.75" customHeight="1" x14ac:dyDescent="0.35">
      <c r="A54" s="37">
        <v>45336</v>
      </c>
      <c r="B54" s="19" t="s">
        <v>358</v>
      </c>
      <c r="C54" s="28">
        <v>12000</v>
      </c>
      <c r="D54" s="19" t="s">
        <v>359</v>
      </c>
      <c r="E54" s="19" t="s">
        <v>148</v>
      </c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</row>
    <row r="55" spans="1:19" ht="15.75" customHeight="1" x14ac:dyDescent="0.35">
      <c r="A55" s="37">
        <v>45336</v>
      </c>
      <c r="B55" s="19" t="s">
        <v>360</v>
      </c>
      <c r="C55" s="28">
        <v>20000</v>
      </c>
      <c r="D55" s="19" t="s">
        <v>361</v>
      </c>
      <c r="E55" s="19" t="s">
        <v>148</v>
      </c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</row>
    <row r="56" spans="1:19" ht="15.75" customHeight="1" x14ac:dyDescent="0.35">
      <c r="A56" s="37">
        <v>45338</v>
      </c>
      <c r="B56" s="19" t="s">
        <v>200</v>
      </c>
      <c r="C56" s="28">
        <v>11379</v>
      </c>
      <c r="D56" s="19" t="s">
        <v>201</v>
      </c>
      <c r="E56" s="19" t="s">
        <v>148</v>
      </c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</row>
    <row r="57" spans="1:19" ht="15.75" customHeight="1" x14ac:dyDescent="0.35">
      <c r="A57" s="37">
        <v>45340</v>
      </c>
      <c r="B57" s="19" t="s">
        <v>362</v>
      </c>
      <c r="C57" s="28">
        <v>32000</v>
      </c>
      <c r="D57" s="19" t="s">
        <v>238</v>
      </c>
      <c r="E57" s="19" t="s">
        <v>148</v>
      </c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</row>
    <row r="58" spans="1:19" ht="15.75" customHeight="1" x14ac:dyDescent="0.35">
      <c r="A58" s="37">
        <v>45341</v>
      </c>
      <c r="B58" s="19" t="s">
        <v>363</v>
      </c>
      <c r="C58" s="28">
        <v>10000</v>
      </c>
      <c r="D58" s="19" t="s">
        <v>317</v>
      </c>
      <c r="E58" s="19" t="s">
        <v>148</v>
      </c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</row>
    <row r="59" spans="1:19" ht="15.75" customHeight="1" x14ac:dyDescent="0.35">
      <c r="A59" s="37">
        <v>45343</v>
      </c>
      <c r="B59" s="19" t="s">
        <v>364</v>
      </c>
      <c r="C59" s="28">
        <v>17200</v>
      </c>
      <c r="D59" s="19" t="s">
        <v>323</v>
      </c>
      <c r="E59" s="19" t="s">
        <v>148</v>
      </c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</row>
    <row r="60" spans="1:19" ht="15.75" customHeight="1" x14ac:dyDescent="0.35">
      <c r="A60" s="37">
        <v>45348</v>
      </c>
      <c r="B60" s="19" t="s">
        <v>365</v>
      </c>
      <c r="C60" s="28">
        <v>20000</v>
      </c>
      <c r="D60" s="19" t="s">
        <v>334</v>
      </c>
      <c r="E60" s="19" t="s">
        <v>148</v>
      </c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</row>
    <row r="61" spans="1:19" ht="15.75" customHeight="1" x14ac:dyDescent="0.35">
      <c r="A61" s="37">
        <v>45348</v>
      </c>
      <c r="B61" s="19" t="s">
        <v>342</v>
      </c>
      <c r="C61" s="28">
        <v>22095</v>
      </c>
      <c r="D61" s="19" t="s">
        <v>343</v>
      </c>
      <c r="E61" s="19" t="s">
        <v>148</v>
      </c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</row>
    <row r="62" spans="1:19" ht="15.75" customHeight="1" x14ac:dyDescent="0.35">
      <c r="A62" s="37">
        <v>45349</v>
      </c>
      <c r="B62" s="19" t="s">
        <v>260</v>
      </c>
      <c r="C62" s="28">
        <v>14000</v>
      </c>
      <c r="D62" s="19" t="s">
        <v>331</v>
      </c>
      <c r="E62" s="19" t="s">
        <v>148</v>
      </c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</row>
    <row r="63" spans="1:19" ht="15.75" customHeight="1" x14ac:dyDescent="0.35">
      <c r="A63" s="37">
        <v>45349</v>
      </c>
      <c r="B63" s="19" t="s">
        <v>366</v>
      </c>
      <c r="C63" s="28">
        <v>10000</v>
      </c>
      <c r="D63" s="19" t="s">
        <v>359</v>
      </c>
      <c r="E63" s="19" t="s">
        <v>148</v>
      </c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</row>
    <row r="64" spans="1:19" ht="15.75" customHeight="1" x14ac:dyDescent="0.35">
      <c r="A64" s="37">
        <v>45350</v>
      </c>
      <c r="B64" s="19" t="s">
        <v>367</v>
      </c>
      <c r="C64" s="28">
        <v>16000</v>
      </c>
      <c r="D64" s="19" t="s">
        <v>181</v>
      </c>
      <c r="E64" s="19" t="s">
        <v>148</v>
      </c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</row>
    <row r="65" spans="1:19" ht="15.75" customHeight="1" x14ac:dyDescent="0.35">
      <c r="A65" s="37">
        <v>45350</v>
      </c>
      <c r="B65" s="19" t="s">
        <v>368</v>
      </c>
      <c r="C65" s="28">
        <v>12000</v>
      </c>
      <c r="D65" s="19" t="s">
        <v>338</v>
      </c>
      <c r="E65" s="19" t="s">
        <v>148</v>
      </c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</row>
    <row r="66" spans="1:19" ht="15.75" customHeight="1" x14ac:dyDescent="0.35">
      <c r="A66" s="37">
        <v>45350</v>
      </c>
      <c r="B66" s="19" t="s">
        <v>369</v>
      </c>
      <c r="C66" s="28">
        <v>13000</v>
      </c>
      <c r="D66" s="19" t="s">
        <v>157</v>
      </c>
      <c r="E66" s="19" t="s">
        <v>148</v>
      </c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</row>
    <row r="67" spans="1:19" ht="15.75" customHeight="1" x14ac:dyDescent="0.35">
      <c r="A67" s="37">
        <v>45351</v>
      </c>
      <c r="B67" s="19" t="s">
        <v>370</v>
      </c>
      <c r="C67" s="28">
        <v>20000</v>
      </c>
      <c r="D67" s="19" t="s">
        <v>207</v>
      </c>
      <c r="E67" s="19" t="s">
        <v>148</v>
      </c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</row>
    <row r="68" spans="1:19" ht="15.75" customHeight="1" x14ac:dyDescent="0.35">
      <c r="A68" s="37">
        <v>45352</v>
      </c>
      <c r="B68" s="19" t="s">
        <v>170</v>
      </c>
      <c r="C68" s="28">
        <v>9000</v>
      </c>
      <c r="D68" s="19" t="s">
        <v>344</v>
      </c>
      <c r="E68" s="19" t="s">
        <v>148</v>
      </c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</row>
    <row r="69" spans="1:19" ht="15.75" customHeight="1" x14ac:dyDescent="0.35">
      <c r="A69" s="37">
        <v>45354</v>
      </c>
      <c r="B69" s="19" t="s">
        <v>371</v>
      </c>
      <c r="C69" s="28">
        <v>15000</v>
      </c>
      <c r="D69" s="19" t="s">
        <v>238</v>
      </c>
      <c r="E69" s="19" t="s">
        <v>148</v>
      </c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</row>
    <row r="70" spans="1:19" ht="15.75" customHeight="1" x14ac:dyDescent="0.35">
      <c r="A70" s="37">
        <v>45354</v>
      </c>
      <c r="B70" s="19" t="s">
        <v>196</v>
      </c>
      <c r="C70" s="28">
        <v>10000</v>
      </c>
      <c r="D70" s="19" t="s">
        <v>317</v>
      </c>
      <c r="E70" s="19" t="s">
        <v>148</v>
      </c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</row>
    <row r="71" spans="1:19" ht="15.75" customHeight="1" x14ac:dyDescent="0.35">
      <c r="A71" s="37">
        <v>45355</v>
      </c>
      <c r="B71" s="19" t="s">
        <v>246</v>
      </c>
      <c r="C71" s="28">
        <v>12500</v>
      </c>
      <c r="D71" s="19" t="s">
        <v>207</v>
      </c>
      <c r="E71" s="19" t="s">
        <v>148</v>
      </c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</row>
    <row r="72" spans="1:19" ht="15.75" customHeight="1" x14ac:dyDescent="0.35">
      <c r="A72" s="37">
        <v>45355</v>
      </c>
      <c r="B72" s="19" t="s">
        <v>283</v>
      </c>
      <c r="C72" s="28">
        <v>8000</v>
      </c>
      <c r="D72" s="19" t="s">
        <v>349</v>
      </c>
      <c r="E72" s="19" t="s">
        <v>148</v>
      </c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</row>
    <row r="73" spans="1:19" ht="15.75" customHeight="1" x14ac:dyDescent="0.35">
      <c r="A73" s="37">
        <v>45355</v>
      </c>
      <c r="B73" s="19" t="s">
        <v>290</v>
      </c>
      <c r="C73" s="28">
        <v>20000</v>
      </c>
      <c r="D73" s="19" t="s">
        <v>356</v>
      </c>
      <c r="E73" s="19" t="s">
        <v>148</v>
      </c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</row>
    <row r="74" spans="1:19" ht="15.75" customHeight="1" x14ac:dyDescent="0.35">
      <c r="A74" s="37">
        <v>45355</v>
      </c>
      <c r="B74" s="19" t="s">
        <v>372</v>
      </c>
      <c r="C74" s="28">
        <v>34000</v>
      </c>
      <c r="D74" s="19" t="s">
        <v>280</v>
      </c>
      <c r="E74" s="19" t="s">
        <v>148</v>
      </c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</row>
    <row r="75" spans="1:19" ht="15.75" customHeight="1" x14ac:dyDescent="0.35">
      <c r="A75" s="37">
        <v>45355</v>
      </c>
      <c r="B75" s="19" t="s">
        <v>373</v>
      </c>
      <c r="C75" s="28">
        <v>15000</v>
      </c>
      <c r="D75" s="19" t="s">
        <v>190</v>
      </c>
      <c r="E75" s="19" t="s">
        <v>148</v>
      </c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</row>
    <row r="76" spans="1:19" ht="15.75" customHeight="1" x14ac:dyDescent="0.35">
      <c r="A76" s="37">
        <v>45355</v>
      </c>
      <c r="B76" s="19" t="s">
        <v>272</v>
      </c>
      <c r="C76" s="28">
        <v>10000</v>
      </c>
      <c r="D76" s="19" t="s">
        <v>245</v>
      </c>
      <c r="E76" s="19" t="s">
        <v>148</v>
      </c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</row>
    <row r="77" spans="1:19" ht="15.75" customHeight="1" x14ac:dyDescent="0.35">
      <c r="A77" s="37">
        <v>45355</v>
      </c>
      <c r="B77" s="19" t="s">
        <v>265</v>
      </c>
      <c r="C77" s="28">
        <v>21000</v>
      </c>
      <c r="D77" s="19" t="s">
        <v>167</v>
      </c>
      <c r="E77" s="19" t="s">
        <v>148</v>
      </c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</row>
    <row r="78" spans="1:19" ht="15.75" customHeight="1" x14ac:dyDescent="0.35">
      <c r="A78" s="37">
        <v>45355</v>
      </c>
      <c r="B78" s="19" t="s">
        <v>374</v>
      </c>
      <c r="C78" s="28">
        <v>30000</v>
      </c>
      <c r="D78" s="19" t="s">
        <v>375</v>
      </c>
      <c r="E78" s="19" t="s">
        <v>148</v>
      </c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</row>
    <row r="79" spans="1:19" ht="15.75" customHeight="1" x14ac:dyDescent="0.35">
      <c r="A79" s="37">
        <v>45356</v>
      </c>
      <c r="B79" s="19" t="s">
        <v>289</v>
      </c>
      <c r="C79" s="28">
        <v>10000</v>
      </c>
      <c r="D79" s="19" t="s">
        <v>193</v>
      </c>
      <c r="E79" s="19" t="s">
        <v>148</v>
      </c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</row>
    <row r="80" spans="1:19" ht="15.75" customHeight="1" x14ac:dyDescent="0.35">
      <c r="A80" s="37">
        <v>45356</v>
      </c>
      <c r="B80" s="19" t="s">
        <v>285</v>
      </c>
      <c r="C80" s="28">
        <v>18000</v>
      </c>
      <c r="D80" s="19" t="s">
        <v>220</v>
      </c>
      <c r="E80" s="19" t="s">
        <v>148</v>
      </c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</row>
    <row r="81" spans="1:19" ht="15.75" customHeight="1" x14ac:dyDescent="0.35">
      <c r="A81" s="37">
        <v>45357</v>
      </c>
      <c r="B81" s="19" t="s">
        <v>354</v>
      </c>
      <c r="C81" s="28">
        <v>15000</v>
      </c>
      <c r="D81" s="19" t="s">
        <v>325</v>
      </c>
      <c r="E81" s="19" t="s">
        <v>148</v>
      </c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</row>
    <row r="82" spans="1:19" ht="15.75" customHeight="1" x14ac:dyDescent="0.35">
      <c r="A82" s="37">
        <v>45358</v>
      </c>
      <c r="B82" s="19" t="s">
        <v>376</v>
      </c>
      <c r="C82" s="28">
        <v>20000</v>
      </c>
      <c r="D82" s="19" t="s">
        <v>377</v>
      </c>
      <c r="E82" s="19" t="s">
        <v>148</v>
      </c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</row>
    <row r="83" spans="1:19" ht="15.75" customHeight="1" x14ac:dyDescent="0.35">
      <c r="A83" s="37">
        <v>45362</v>
      </c>
      <c r="B83" s="19" t="s">
        <v>378</v>
      </c>
      <c r="C83" s="28">
        <v>8835</v>
      </c>
      <c r="D83" s="19" t="s">
        <v>347</v>
      </c>
      <c r="E83" s="19" t="s">
        <v>148</v>
      </c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</row>
    <row r="84" spans="1:19" ht="15.75" customHeight="1" x14ac:dyDescent="0.35">
      <c r="A84" s="37">
        <v>45363</v>
      </c>
      <c r="B84" s="19" t="s">
        <v>202</v>
      </c>
      <c r="C84" s="28">
        <v>10000</v>
      </c>
      <c r="D84" s="19" t="s">
        <v>357</v>
      </c>
      <c r="E84" s="19" t="s">
        <v>148</v>
      </c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</row>
    <row r="85" spans="1:19" ht="15.75" customHeight="1" x14ac:dyDescent="0.35">
      <c r="A85" s="37">
        <v>45363</v>
      </c>
      <c r="B85" s="19" t="s">
        <v>379</v>
      </c>
      <c r="C85" s="28">
        <v>5000</v>
      </c>
      <c r="D85" s="19" t="s">
        <v>227</v>
      </c>
      <c r="E85" s="19" t="s">
        <v>148</v>
      </c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</row>
    <row r="86" spans="1:19" ht="15.75" customHeight="1" x14ac:dyDescent="0.35">
      <c r="A86" s="37">
        <v>45368</v>
      </c>
      <c r="B86" s="19" t="s">
        <v>173</v>
      </c>
      <c r="C86" s="28">
        <v>2400</v>
      </c>
      <c r="D86" s="19" t="s">
        <v>310</v>
      </c>
      <c r="E86" s="19" t="s">
        <v>148</v>
      </c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</row>
    <row r="87" spans="1:19" ht="15.75" customHeight="1" x14ac:dyDescent="0.35">
      <c r="A87" s="37">
        <v>45369</v>
      </c>
      <c r="B87" s="19" t="s">
        <v>287</v>
      </c>
      <c r="C87" s="28">
        <v>1900</v>
      </c>
      <c r="D87" s="19" t="s">
        <v>380</v>
      </c>
      <c r="E87" s="19" t="s">
        <v>148</v>
      </c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</row>
    <row r="88" spans="1:19" ht="15.75" customHeight="1" x14ac:dyDescent="0.35">
      <c r="A88" s="37">
        <v>45370</v>
      </c>
      <c r="B88" s="19" t="s">
        <v>261</v>
      </c>
      <c r="C88" s="28">
        <v>30295</v>
      </c>
      <c r="D88" s="19" t="s">
        <v>324</v>
      </c>
      <c r="E88" s="19" t="s">
        <v>148</v>
      </c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</row>
    <row r="89" spans="1:19" ht="15.75" customHeight="1" x14ac:dyDescent="0.35">
      <c r="A89" s="37">
        <v>45370</v>
      </c>
      <c r="B89" s="19" t="s">
        <v>381</v>
      </c>
      <c r="C89" s="28">
        <v>1200</v>
      </c>
      <c r="D89" s="19" t="s">
        <v>338</v>
      </c>
      <c r="E89" s="19" t="s">
        <v>148</v>
      </c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</row>
    <row r="90" spans="1:19" ht="15.75" customHeight="1" x14ac:dyDescent="0.35">
      <c r="A90" s="37">
        <v>45370</v>
      </c>
      <c r="B90" s="19" t="s">
        <v>382</v>
      </c>
      <c r="C90" s="28">
        <v>2000</v>
      </c>
      <c r="D90" s="19" t="s">
        <v>220</v>
      </c>
      <c r="E90" s="19" t="s">
        <v>148</v>
      </c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</row>
    <row r="91" spans="1:19" ht="15.75" customHeight="1" x14ac:dyDescent="0.35">
      <c r="A91" s="37">
        <v>45370</v>
      </c>
      <c r="B91" s="19" t="s">
        <v>239</v>
      </c>
      <c r="C91" s="28">
        <v>15000</v>
      </c>
      <c r="D91" s="19" t="s">
        <v>240</v>
      </c>
      <c r="E91" s="19" t="s">
        <v>148</v>
      </c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</row>
    <row r="92" spans="1:19" ht="15.75" customHeight="1" x14ac:dyDescent="0.35">
      <c r="A92" s="37">
        <v>45371</v>
      </c>
      <c r="B92" s="19" t="s">
        <v>186</v>
      </c>
      <c r="C92" s="28">
        <v>16000</v>
      </c>
      <c r="D92" s="19" t="s">
        <v>316</v>
      </c>
      <c r="E92" s="19" t="s">
        <v>148</v>
      </c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</row>
    <row r="93" spans="1:19" ht="15.75" customHeight="1" x14ac:dyDescent="0.35">
      <c r="A93" s="37">
        <v>45376</v>
      </c>
      <c r="B93" s="19" t="s">
        <v>158</v>
      </c>
      <c r="C93" s="28">
        <v>24750</v>
      </c>
      <c r="D93" s="19" t="s">
        <v>356</v>
      </c>
      <c r="E93" s="19" t="s">
        <v>148</v>
      </c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</row>
    <row r="94" spans="1:19" ht="15.75" customHeight="1" x14ac:dyDescent="0.35">
      <c r="A94" s="37">
        <v>45376</v>
      </c>
      <c r="B94" s="19" t="s">
        <v>291</v>
      </c>
      <c r="C94" s="28">
        <v>8000</v>
      </c>
      <c r="D94" s="19" t="s">
        <v>190</v>
      </c>
      <c r="E94" s="19" t="s">
        <v>148</v>
      </c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</row>
    <row r="95" spans="1:19" ht="15.75" customHeight="1" x14ac:dyDescent="0.35">
      <c r="A95" s="37">
        <v>45376</v>
      </c>
      <c r="B95" s="19" t="s">
        <v>291</v>
      </c>
      <c r="C95" s="28">
        <v>5000</v>
      </c>
      <c r="D95" s="19" t="s">
        <v>190</v>
      </c>
      <c r="E95" s="19" t="s">
        <v>148</v>
      </c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</row>
    <row r="96" spans="1:19" ht="15.75" customHeight="1" x14ac:dyDescent="0.35">
      <c r="A96" s="37">
        <v>45376</v>
      </c>
      <c r="B96" s="19" t="s">
        <v>272</v>
      </c>
      <c r="C96" s="28">
        <v>9000</v>
      </c>
      <c r="D96" s="19" t="s">
        <v>245</v>
      </c>
      <c r="E96" s="19" t="s">
        <v>148</v>
      </c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</row>
    <row r="97" spans="1:19" ht="15.75" customHeight="1" x14ac:dyDescent="0.35">
      <c r="A97" s="37">
        <v>45376</v>
      </c>
      <c r="B97" s="19" t="s">
        <v>383</v>
      </c>
      <c r="C97" s="28">
        <v>6000</v>
      </c>
      <c r="D97" s="19" t="s">
        <v>310</v>
      </c>
      <c r="E97" s="19" t="s">
        <v>148</v>
      </c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</row>
    <row r="98" spans="1:19" ht="15.75" customHeight="1" x14ac:dyDescent="0.35">
      <c r="A98" s="37">
        <v>45376</v>
      </c>
      <c r="B98" s="19" t="s">
        <v>384</v>
      </c>
      <c r="C98" s="28">
        <v>40000</v>
      </c>
      <c r="D98" s="19" t="s">
        <v>309</v>
      </c>
      <c r="E98" s="19" t="s">
        <v>148</v>
      </c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</row>
    <row r="99" spans="1:19" ht="15.75" customHeight="1" x14ac:dyDescent="0.35">
      <c r="A99" s="37">
        <v>45379</v>
      </c>
      <c r="B99" s="19" t="s">
        <v>239</v>
      </c>
      <c r="C99" s="28">
        <v>20000</v>
      </c>
      <c r="D99" s="19" t="s">
        <v>240</v>
      </c>
      <c r="E99" s="19" t="s">
        <v>148</v>
      </c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</row>
    <row r="100" spans="1:19" ht="15.75" customHeight="1" x14ac:dyDescent="0.35">
      <c r="A100" s="37">
        <v>45383</v>
      </c>
      <c r="B100" s="19" t="s">
        <v>295</v>
      </c>
      <c r="C100" s="28">
        <v>30000</v>
      </c>
      <c r="D100" s="19" t="s">
        <v>311</v>
      </c>
      <c r="E100" s="19" t="s">
        <v>148</v>
      </c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</row>
    <row r="101" spans="1:19" ht="15.75" customHeight="1" x14ac:dyDescent="0.35">
      <c r="A101" s="37">
        <v>45383</v>
      </c>
      <c r="B101" s="19" t="s">
        <v>196</v>
      </c>
      <c r="C101" s="28">
        <v>10000</v>
      </c>
      <c r="D101" s="19" t="s">
        <v>317</v>
      </c>
      <c r="E101" s="19" t="s">
        <v>148</v>
      </c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</row>
    <row r="102" spans="1:19" ht="15.75" customHeight="1" x14ac:dyDescent="0.35">
      <c r="A102" s="37">
        <v>45386</v>
      </c>
      <c r="B102" s="19" t="s">
        <v>385</v>
      </c>
      <c r="C102" s="28">
        <v>9600</v>
      </c>
      <c r="D102" s="19" t="s">
        <v>377</v>
      </c>
      <c r="E102" s="19" t="s">
        <v>148</v>
      </c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</row>
    <row r="103" spans="1:19" ht="15.75" customHeight="1" x14ac:dyDescent="0.35">
      <c r="A103" s="37"/>
      <c r="B103" s="19"/>
      <c r="C103" s="28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</row>
    <row r="104" spans="1:19" ht="15.75" customHeight="1" x14ac:dyDescent="0.35">
      <c r="A104" s="37"/>
      <c r="B104" s="19"/>
      <c r="C104" s="28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</row>
    <row r="105" spans="1:19" ht="15.75" customHeight="1" x14ac:dyDescent="0.35">
      <c r="A105" s="37"/>
      <c r="B105" s="19"/>
      <c r="C105" s="28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</row>
    <row r="106" spans="1:19" ht="15.75" customHeight="1" x14ac:dyDescent="0.35">
      <c r="A106" s="37"/>
      <c r="B106" s="19"/>
      <c r="C106" s="28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</row>
    <row r="107" spans="1:19" ht="15.75" customHeight="1" x14ac:dyDescent="0.35">
      <c r="A107" s="37"/>
      <c r="B107" s="19"/>
      <c r="C107" s="28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</row>
    <row r="108" spans="1:19" ht="15.75" customHeight="1" x14ac:dyDescent="0.35">
      <c r="A108" s="37"/>
      <c r="B108" s="19"/>
      <c r="C108" s="28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</row>
    <row r="109" spans="1:19" ht="15.75" customHeight="1" x14ac:dyDescent="0.35">
      <c r="A109" s="37"/>
      <c r="B109" s="19"/>
      <c r="C109" s="28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</row>
    <row r="110" spans="1:19" ht="15.75" customHeight="1" x14ac:dyDescent="0.35">
      <c r="A110" s="37"/>
      <c r="B110" s="19"/>
      <c r="C110" s="28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</row>
    <row r="111" spans="1:19" ht="15.75" customHeight="1" x14ac:dyDescent="0.35">
      <c r="A111" s="37"/>
      <c r="B111" s="19"/>
      <c r="C111" s="28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</row>
    <row r="112" spans="1:19" ht="15.75" customHeight="1" x14ac:dyDescent="0.35">
      <c r="A112" s="37"/>
      <c r="B112" s="19"/>
      <c r="C112" s="28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spans="1:19" ht="15.75" customHeight="1" x14ac:dyDescent="0.35">
      <c r="A113" s="37"/>
      <c r="B113" s="19"/>
      <c r="C113" s="28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</row>
    <row r="114" spans="1:19" ht="15.75" customHeight="1" x14ac:dyDescent="0.35">
      <c r="A114" s="37"/>
      <c r="B114" s="19"/>
      <c r="C114" s="28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</row>
    <row r="115" spans="1:19" ht="15.75" customHeight="1" x14ac:dyDescent="0.35">
      <c r="A115" s="37"/>
      <c r="B115" s="19"/>
      <c r="C115" s="28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</row>
    <row r="116" spans="1:19" ht="15.75" customHeight="1" x14ac:dyDescent="0.35">
      <c r="A116" s="37"/>
      <c r="B116" s="19"/>
      <c r="C116" s="28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</row>
    <row r="117" spans="1:19" ht="15.75" customHeight="1" x14ac:dyDescent="0.35">
      <c r="A117" s="37"/>
      <c r="B117" s="19"/>
      <c r="C117" s="28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</row>
    <row r="118" spans="1:19" ht="15.75" customHeight="1" x14ac:dyDescent="0.35">
      <c r="A118" s="37"/>
      <c r="B118" s="19"/>
      <c r="C118" s="28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</row>
    <row r="119" spans="1:19" ht="15.75" customHeight="1" x14ac:dyDescent="0.35">
      <c r="A119" s="37"/>
      <c r="B119" s="19"/>
      <c r="C119" s="28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</row>
    <row r="120" spans="1:19" ht="15.75" customHeight="1" x14ac:dyDescent="0.35">
      <c r="A120" s="37"/>
      <c r="B120" s="19"/>
      <c r="C120" s="28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</row>
    <row r="121" spans="1:19" ht="15.75" customHeight="1" x14ac:dyDescent="0.35">
      <c r="A121" s="37"/>
      <c r="B121" s="19"/>
      <c r="C121" s="28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</row>
    <row r="122" spans="1:19" ht="15.75" customHeight="1" x14ac:dyDescent="0.35">
      <c r="A122" s="37"/>
      <c r="B122" s="19"/>
      <c r="C122" s="28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</row>
    <row r="123" spans="1:19" ht="15.75" customHeight="1" x14ac:dyDescent="0.35">
      <c r="A123" s="37"/>
      <c r="B123" s="19"/>
      <c r="C123" s="28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</row>
    <row r="124" spans="1:19" ht="15.75" customHeight="1" x14ac:dyDescent="0.35">
      <c r="A124" s="37"/>
      <c r="B124" s="19"/>
      <c r="C124" s="28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</row>
    <row r="125" spans="1:19" ht="15.75" customHeight="1" x14ac:dyDescent="0.35">
      <c r="A125" s="37"/>
      <c r="B125" s="19"/>
      <c r="C125" s="28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</row>
    <row r="126" spans="1:19" ht="15.75" customHeight="1" x14ac:dyDescent="0.35">
      <c r="A126" s="37"/>
      <c r="B126" s="19"/>
      <c r="C126" s="28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</row>
    <row r="127" spans="1:19" ht="15.75" customHeight="1" x14ac:dyDescent="0.35">
      <c r="A127" s="37"/>
      <c r="B127" s="19"/>
      <c r="C127" s="28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</row>
    <row r="128" spans="1:19" ht="15.75" customHeight="1" x14ac:dyDescent="0.35">
      <c r="A128" s="37"/>
      <c r="B128" s="19"/>
      <c r="C128" s="28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</row>
    <row r="129" spans="1:19" ht="15.75" customHeight="1" x14ac:dyDescent="0.35">
      <c r="A129" s="37"/>
      <c r="B129" s="19"/>
      <c r="C129" s="28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</row>
    <row r="130" spans="1:19" ht="15.75" customHeight="1" x14ac:dyDescent="0.35">
      <c r="A130" s="37"/>
      <c r="B130" s="19"/>
      <c r="C130" s="28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</row>
    <row r="131" spans="1:19" ht="15.75" customHeight="1" x14ac:dyDescent="0.35">
      <c r="A131" s="37"/>
      <c r="B131" s="19"/>
      <c r="C131" s="28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</row>
    <row r="132" spans="1:19" ht="15.75" customHeight="1" x14ac:dyDescent="0.35">
      <c r="A132" s="37"/>
      <c r="B132" s="19"/>
      <c r="C132" s="28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</row>
    <row r="133" spans="1:19" ht="15.75" customHeight="1" x14ac:dyDescent="0.35">
      <c r="A133" s="37"/>
      <c r="B133" s="19"/>
      <c r="C133" s="28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spans="1:19" ht="15.75" customHeight="1" x14ac:dyDescent="0.35">
      <c r="A134" s="37"/>
      <c r="B134" s="19"/>
      <c r="C134" s="28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</row>
    <row r="135" spans="1:19" ht="15.75" customHeight="1" x14ac:dyDescent="0.35">
      <c r="A135" s="37"/>
      <c r="B135" s="19"/>
      <c r="C135" s="28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</row>
    <row r="136" spans="1:19" ht="15.75" customHeight="1" x14ac:dyDescent="0.35">
      <c r="A136" s="37"/>
      <c r="B136" s="19"/>
      <c r="C136" s="28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</row>
    <row r="137" spans="1:19" ht="15.75" customHeight="1" x14ac:dyDescent="0.35">
      <c r="A137" s="37"/>
      <c r="B137" s="19"/>
      <c r="C137" s="28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</row>
    <row r="138" spans="1:19" ht="15.75" customHeight="1" x14ac:dyDescent="0.35">
      <c r="A138" s="37"/>
      <c r="B138" s="19"/>
      <c r="C138" s="28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</row>
    <row r="139" spans="1:19" ht="15.75" customHeight="1" x14ac:dyDescent="0.35">
      <c r="A139" s="37"/>
      <c r="B139" s="19"/>
      <c r="C139" s="28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</row>
    <row r="140" spans="1:19" ht="15.75" customHeight="1" x14ac:dyDescent="0.35">
      <c r="A140" s="37"/>
      <c r="B140" s="19"/>
      <c r="C140" s="28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</row>
    <row r="141" spans="1:19" ht="15.75" customHeight="1" x14ac:dyDescent="0.35">
      <c r="A141" s="37"/>
      <c r="B141" s="19"/>
      <c r="C141" s="28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</row>
    <row r="142" spans="1:19" ht="15.75" customHeight="1" x14ac:dyDescent="0.35">
      <c r="A142" s="37"/>
      <c r="B142" s="19"/>
      <c r="C142" s="28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</row>
    <row r="143" spans="1:19" ht="15.75" customHeight="1" x14ac:dyDescent="0.35">
      <c r="A143" s="37"/>
      <c r="B143" s="19"/>
      <c r="C143" s="28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spans="1:19" ht="15.75" customHeight="1" x14ac:dyDescent="0.35">
      <c r="A144" s="37"/>
      <c r="B144" s="19"/>
      <c r="C144" s="28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</row>
    <row r="145" spans="1:25" ht="15.75" customHeight="1" x14ac:dyDescent="0.35">
      <c r="A145" s="37"/>
      <c r="B145" s="19"/>
      <c r="C145" s="28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</row>
    <row r="146" spans="1:25" ht="15.75" customHeight="1" x14ac:dyDescent="0.35">
      <c r="A146" s="37"/>
      <c r="B146" s="19"/>
      <c r="C146" s="28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</row>
    <row r="147" spans="1:25" ht="15.75" customHeight="1" x14ac:dyDescent="0.35">
      <c r="A147" s="37"/>
      <c r="B147" s="19"/>
      <c r="C147" s="28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</row>
    <row r="148" spans="1:25" ht="15.75" customHeight="1" x14ac:dyDescent="0.35">
      <c r="A148" s="37"/>
      <c r="B148" s="27"/>
      <c r="C148" s="28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 spans="1:25" ht="15.75" customHeight="1" x14ac:dyDescent="0.35">
      <c r="A149" s="37"/>
      <c r="B149" s="27"/>
      <c r="C149" s="28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 spans="1:25" ht="15.75" customHeight="1" x14ac:dyDescent="0.35">
      <c r="A150" s="37"/>
      <c r="B150" s="27"/>
      <c r="C150" s="28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 spans="1:25" ht="15.75" customHeight="1" x14ac:dyDescent="0.35">
      <c r="A151" s="37"/>
      <c r="B151" s="27"/>
      <c r="C151" s="28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 spans="1:25" ht="15.75" customHeight="1" x14ac:dyDescent="0.35">
      <c r="A152" s="37"/>
      <c r="B152" s="27"/>
      <c r="C152" s="28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 spans="1:25" ht="15.75" customHeight="1" x14ac:dyDescent="0.35">
      <c r="A153" s="37"/>
      <c r="B153" s="27"/>
      <c r="C153" s="28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 spans="1:25" ht="15.75" customHeight="1" x14ac:dyDescent="0.35">
      <c r="A154" s="37"/>
      <c r="B154" s="27"/>
      <c r="C154" s="28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</row>
    <row r="155" spans="1:25" ht="15.75" customHeight="1" x14ac:dyDescent="0.35">
      <c r="A155" s="37"/>
      <c r="B155" s="27"/>
      <c r="C155" s="28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</row>
    <row r="156" spans="1:25" ht="15.75" customHeight="1" x14ac:dyDescent="0.35">
      <c r="A156" s="37"/>
      <c r="B156" s="27"/>
      <c r="C156" s="28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</row>
    <row r="157" spans="1:25" ht="15.75" customHeight="1" x14ac:dyDescent="0.35">
      <c r="A157" s="37"/>
      <c r="B157" s="27"/>
      <c r="C157" s="28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</row>
    <row r="158" spans="1:25" ht="15.75" customHeight="1" x14ac:dyDescent="0.35">
      <c r="A158" s="37"/>
      <c r="B158" s="27"/>
      <c r="C158" s="28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</row>
    <row r="159" spans="1:25" ht="15.75" customHeight="1" x14ac:dyDescent="0.35">
      <c r="A159" s="37"/>
      <c r="B159" s="27"/>
      <c r="C159" s="28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</row>
    <row r="160" spans="1:25" ht="15.75" customHeight="1" x14ac:dyDescent="0.35">
      <c r="A160" s="37"/>
      <c r="B160" s="27"/>
      <c r="C160" s="28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</row>
    <row r="161" spans="1:25" ht="15.75" customHeight="1" x14ac:dyDescent="0.35">
      <c r="A161" s="37"/>
      <c r="B161" s="27"/>
      <c r="C161" s="28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</row>
    <row r="162" spans="1:25" ht="15.75" customHeight="1" x14ac:dyDescent="0.35">
      <c r="A162" s="37"/>
      <c r="B162" s="27"/>
      <c r="C162" s="28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</row>
    <row r="163" spans="1:25" ht="15.75" customHeight="1" x14ac:dyDescent="0.35">
      <c r="A163" s="37"/>
      <c r="B163" s="27"/>
      <c r="C163" s="28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</row>
    <row r="164" spans="1:25" ht="15.75" customHeight="1" x14ac:dyDescent="0.35">
      <c r="A164" s="37"/>
      <c r="B164" s="27"/>
      <c r="C164" s="28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</row>
    <row r="165" spans="1:25" ht="15.75" customHeight="1" x14ac:dyDescent="0.35">
      <c r="A165" s="37"/>
      <c r="B165" s="27"/>
      <c r="C165" s="28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</row>
    <row r="166" spans="1:25" ht="15.75" customHeight="1" x14ac:dyDescent="0.35">
      <c r="A166" s="37"/>
      <c r="B166" s="27"/>
      <c r="C166" s="28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</row>
    <row r="167" spans="1:25" ht="15.75" customHeight="1" x14ac:dyDescent="0.35">
      <c r="A167" s="37"/>
      <c r="B167" s="27"/>
      <c r="C167" s="28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</row>
    <row r="168" spans="1:25" ht="15.75" customHeight="1" x14ac:dyDescent="0.35">
      <c r="A168" s="37"/>
      <c r="B168" s="27"/>
      <c r="C168" s="28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</row>
    <row r="169" spans="1:25" ht="15.75" customHeight="1" x14ac:dyDescent="0.35">
      <c r="A169" s="37"/>
      <c r="B169" s="27"/>
      <c r="C169" s="28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</row>
    <row r="170" spans="1:25" ht="15.75" customHeight="1" x14ac:dyDescent="0.35">
      <c r="A170" s="37"/>
      <c r="B170" s="27"/>
      <c r="C170" s="28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</row>
    <row r="171" spans="1:25" ht="15.75" customHeight="1" x14ac:dyDescent="0.35">
      <c r="A171" s="37"/>
      <c r="B171" s="27"/>
      <c r="C171" s="28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</row>
    <row r="172" spans="1:25" ht="15.75" customHeight="1" x14ac:dyDescent="0.35">
      <c r="A172" s="37"/>
      <c r="B172" s="27"/>
      <c r="C172" s="28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</row>
    <row r="173" spans="1:25" ht="15.75" customHeight="1" x14ac:dyDescent="0.35">
      <c r="A173" s="37"/>
      <c r="B173" s="27"/>
      <c r="C173" s="28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</row>
    <row r="174" spans="1:25" ht="15.75" customHeight="1" x14ac:dyDescent="0.35">
      <c r="A174" s="37"/>
      <c r="B174" s="27"/>
      <c r="C174" s="28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</row>
    <row r="175" spans="1:25" ht="15.75" customHeight="1" x14ac:dyDescent="0.35">
      <c r="A175" s="37"/>
      <c r="B175" s="27"/>
      <c r="C175" s="28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</row>
    <row r="176" spans="1:25" ht="15.75" customHeight="1" x14ac:dyDescent="0.35">
      <c r="A176" s="37"/>
      <c r="B176" s="27"/>
      <c r="C176" s="28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</row>
    <row r="177" spans="1:25" ht="15.75" customHeight="1" x14ac:dyDescent="0.35">
      <c r="A177" s="37"/>
      <c r="B177" s="27"/>
      <c r="C177" s="28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</row>
    <row r="178" spans="1:25" ht="15.75" customHeight="1" x14ac:dyDescent="0.35">
      <c r="A178" s="37"/>
      <c r="B178" s="27"/>
      <c r="C178" s="28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</row>
    <row r="179" spans="1:25" ht="15.75" customHeight="1" x14ac:dyDescent="0.35">
      <c r="A179" s="37"/>
      <c r="B179" s="27"/>
      <c r="C179" s="28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</row>
    <row r="180" spans="1:25" ht="15.75" customHeight="1" x14ac:dyDescent="0.35">
      <c r="A180" s="37"/>
      <c r="B180" s="27"/>
      <c r="C180" s="28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</row>
    <row r="181" spans="1:25" ht="15.75" customHeight="1" x14ac:dyDescent="0.35">
      <c r="A181" s="37"/>
      <c r="B181" s="27"/>
      <c r="C181" s="28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</row>
    <row r="182" spans="1:25" ht="15.75" customHeight="1" x14ac:dyDescent="0.35">
      <c r="A182" s="37"/>
      <c r="B182" s="27"/>
      <c r="C182" s="28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</row>
    <row r="183" spans="1:25" ht="15.75" customHeight="1" x14ac:dyDescent="0.35">
      <c r="A183" s="37"/>
      <c r="B183" s="27"/>
      <c r="C183" s="28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</row>
    <row r="184" spans="1:25" ht="15.75" customHeight="1" x14ac:dyDescent="0.35">
      <c r="A184" s="37"/>
      <c r="B184" s="27"/>
      <c r="C184" s="28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</row>
    <row r="185" spans="1:25" ht="15.75" customHeight="1" x14ac:dyDescent="0.35">
      <c r="A185" s="37"/>
      <c r="B185" s="27"/>
      <c r="C185" s="28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</row>
    <row r="186" spans="1:25" ht="15.75" customHeight="1" x14ac:dyDescent="0.35">
      <c r="A186" s="37"/>
      <c r="B186" s="27"/>
      <c r="C186" s="28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</row>
    <row r="187" spans="1:25" ht="15.75" customHeight="1" x14ac:dyDescent="0.35">
      <c r="A187" s="37"/>
      <c r="B187" s="27"/>
      <c r="C187" s="28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</row>
    <row r="188" spans="1:25" ht="15.75" customHeight="1" x14ac:dyDescent="0.35">
      <c r="A188" s="37"/>
      <c r="B188" s="27"/>
      <c r="C188" s="28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</row>
    <row r="189" spans="1:25" ht="15.75" customHeight="1" x14ac:dyDescent="0.35">
      <c r="A189" s="37"/>
      <c r="B189" s="27"/>
      <c r="C189" s="28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</row>
    <row r="190" spans="1:25" ht="15.75" customHeight="1" x14ac:dyDescent="0.35">
      <c r="A190" s="37"/>
      <c r="B190" s="27"/>
      <c r="C190" s="28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</row>
    <row r="191" spans="1:25" ht="15.75" customHeight="1" x14ac:dyDescent="0.35">
      <c r="A191" s="37"/>
      <c r="B191" s="27"/>
      <c r="C191" s="28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</row>
    <row r="192" spans="1:25" ht="15.75" customHeight="1" x14ac:dyDescent="0.35">
      <c r="A192" s="37"/>
      <c r="B192" s="27"/>
      <c r="C192" s="28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</row>
    <row r="193" spans="1:25" ht="15.75" customHeight="1" x14ac:dyDescent="0.35">
      <c r="A193" s="37"/>
      <c r="B193" s="27"/>
      <c r="C193" s="28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</row>
    <row r="194" spans="1:25" ht="15.75" customHeight="1" x14ac:dyDescent="0.35">
      <c r="A194" s="37"/>
      <c r="B194" s="27"/>
      <c r="C194" s="28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</row>
    <row r="195" spans="1:25" ht="15.75" customHeight="1" x14ac:dyDescent="0.35">
      <c r="A195" s="37"/>
      <c r="B195" s="27"/>
      <c r="C195" s="28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</row>
    <row r="196" spans="1:25" ht="15.75" customHeight="1" x14ac:dyDescent="0.35">
      <c r="A196" s="37"/>
      <c r="B196" s="27"/>
      <c r="C196" s="28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</row>
    <row r="197" spans="1:25" ht="15.75" customHeight="1" x14ac:dyDescent="0.35">
      <c r="A197" s="37"/>
      <c r="B197" s="27"/>
      <c r="C197" s="28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</row>
    <row r="198" spans="1:25" ht="15.75" customHeight="1" x14ac:dyDescent="0.35">
      <c r="A198" s="37"/>
      <c r="B198" s="27"/>
      <c r="C198" s="28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</row>
    <row r="199" spans="1:25" ht="15.75" customHeight="1" x14ac:dyDescent="0.35">
      <c r="A199" s="37"/>
      <c r="B199" s="27"/>
      <c r="C199" s="28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</row>
    <row r="200" spans="1:25" ht="15.75" customHeight="1" x14ac:dyDescent="0.35">
      <c r="A200" s="37"/>
      <c r="B200" s="27"/>
      <c r="C200" s="28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</row>
    <row r="201" spans="1:25" ht="15.75" customHeight="1" x14ac:dyDescent="0.35">
      <c r="A201" s="37"/>
      <c r="B201" s="27"/>
      <c r="C201" s="28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</row>
    <row r="202" spans="1:25" ht="15.75" customHeight="1" x14ac:dyDescent="0.35">
      <c r="A202" s="37"/>
      <c r="B202" s="27"/>
      <c r="C202" s="28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</row>
    <row r="203" spans="1:25" ht="15.75" customHeight="1" x14ac:dyDescent="0.35">
      <c r="A203" s="37"/>
      <c r="B203" s="27"/>
      <c r="C203" s="28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</row>
    <row r="204" spans="1:25" ht="15.75" customHeight="1" x14ac:dyDescent="0.35">
      <c r="A204" s="37"/>
      <c r="B204" s="27"/>
      <c r="C204" s="28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</row>
    <row r="205" spans="1:25" ht="15.75" customHeight="1" x14ac:dyDescent="0.35">
      <c r="A205" s="37"/>
      <c r="B205" s="27"/>
      <c r="C205" s="28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</row>
    <row r="206" spans="1:25" ht="15.75" customHeight="1" x14ac:dyDescent="0.35">
      <c r="A206" s="37"/>
      <c r="B206" s="27"/>
      <c r="C206" s="28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</row>
    <row r="207" spans="1:25" ht="15.75" customHeight="1" x14ac:dyDescent="0.35">
      <c r="A207" s="37"/>
      <c r="B207" s="27"/>
      <c r="C207" s="28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</row>
    <row r="208" spans="1:25" ht="15.75" customHeight="1" x14ac:dyDescent="0.35">
      <c r="A208" s="37"/>
      <c r="B208" s="27"/>
      <c r="C208" s="28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</row>
    <row r="209" spans="1:25" ht="15.75" customHeight="1" x14ac:dyDescent="0.35">
      <c r="A209" s="37"/>
      <c r="B209" s="27"/>
      <c r="C209" s="28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</row>
    <row r="210" spans="1:25" ht="15.75" customHeight="1" x14ac:dyDescent="0.35">
      <c r="A210" s="37"/>
      <c r="B210" s="27"/>
      <c r="C210" s="28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</row>
    <row r="211" spans="1:25" ht="15.75" customHeight="1" x14ac:dyDescent="0.35">
      <c r="A211" s="37"/>
      <c r="B211" s="27"/>
      <c r="C211" s="28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</row>
    <row r="212" spans="1:25" ht="15.75" customHeight="1" x14ac:dyDescent="0.35">
      <c r="A212" s="37"/>
      <c r="B212" s="27"/>
      <c r="C212" s="28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</row>
    <row r="213" spans="1:25" ht="15.75" customHeight="1" x14ac:dyDescent="0.35">
      <c r="A213" s="37"/>
      <c r="B213" s="27"/>
      <c r="C213" s="28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</row>
    <row r="214" spans="1:25" ht="15.75" customHeight="1" x14ac:dyDescent="0.35">
      <c r="A214" s="37"/>
      <c r="B214" s="27"/>
      <c r="C214" s="28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</row>
    <row r="215" spans="1:25" ht="15.75" customHeight="1" x14ac:dyDescent="0.35">
      <c r="A215" s="37"/>
      <c r="B215" s="27"/>
      <c r="C215" s="28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</row>
    <row r="216" spans="1:25" ht="15.75" customHeight="1" x14ac:dyDescent="0.35">
      <c r="A216" s="37"/>
      <c r="B216" s="27"/>
      <c r="C216" s="28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</row>
    <row r="217" spans="1:25" ht="15.75" customHeight="1" x14ac:dyDescent="0.35">
      <c r="A217" s="37"/>
      <c r="B217" s="27"/>
      <c r="C217" s="28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</row>
    <row r="218" spans="1:25" ht="15.75" customHeight="1" x14ac:dyDescent="0.35">
      <c r="A218" s="37"/>
      <c r="B218" s="27"/>
      <c r="C218" s="28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</row>
    <row r="219" spans="1:25" ht="15.75" customHeight="1" x14ac:dyDescent="0.35">
      <c r="A219" s="37"/>
      <c r="B219" s="19"/>
      <c r="C219" s="28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</row>
    <row r="220" spans="1:25" ht="15.75" customHeight="1" x14ac:dyDescent="0.35">
      <c r="A220" s="38"/>
      <c r="C220" s="39"/>
    </row>
    <row r="221" spans="1:25" ht="15.75" customHeight="1" x14ac:dyDescent="0.35">
      <c r="A221" s="38"/>
      <c r="C221" s="39"/>
    </row>
    <row r="222" spans="1:25" ht="15.75" customHeight="1" x14ac:dyDescent="0.35">
      <c r="A222" s="38"/>
      <c r="C222" s="39"/>
    </row>
    <row r="223" spans="1:25" ht="15.75" customHeight="1" x14ac:dyDescent="0.35">
      <c r="A223" s="38"/>
      <c r="C223" s="39"/>
    </row>
    <row r="224" spans="1:25" ht="15.75" customHeight="1" x14ac:dyDescent="0.35">
      <c r="A224" s="38"/>
      <c r="C224" s="39"/>
    </row>
    <row r="225" spans="1:3" ht="15.75" customHeight="1" x14ac:dyDescent="0.35">
      <c r="A225" s="38"/>
      <c r="C225" s="39"/>
    </row>
    <row r="226" spans="1:3" ht="15.75" customHeight="1" x14ac:dyDescent="0.35">
      <c r="A226" s="38"/>
      <c r="C226" s="39"/>
    </row>
    <row r="227" spans="1:3" ht="15.75" customHeight="1" x14ac:dyDescent="0.35">
      <c r="A227" s="38"/>
      <c r="C227" s="39"/>
    </row>
    <row r="228" spans="1:3" ht="15.75" customHeight="1" x14ac:dyDescent="0.35">
      <c r="A228" s="38"/>
      <c r="C228" s="39"/>
    </row>
    <row r="229" spans="1:3" ht="15.75" customHeight="1" x14ac:dyDescent="0.35">
      <c r="A229" s="38"/>
      <c r="C229" s="39"/>
    </row>
    <row r="230" spans="1:3" ht="15.75" customHeight="1" x14ac:dyDescent="0.35">
      <c r="A230" s="38"/>
      <c r="C230" s="39"/>
    </row>
    <row r="231" spans="1:3" ht="15.75" customHeight="1" x14ac:dyDescent="0.35">
      <c r="A231" s="38"/>
      <c r="C231" s="39"/>
    </row>
    <row r="232" spans="1:3" ht="15.75" customHeight="1" x14ac:dyDescent="0.35">
      <c r="A232" s="38"/>
      <c r="C232" s="39"/>
    </row>
    <row r="233" spans="1:3" ht="15.75" customHeight="1" x14ac:dyDescent="0.35">
      <c r="A233" s="38"/>
      <c r="C233" s="39"/>
    </row>
    <row r="234" spans="1:3" ht="15.75" customHeight="1" x14ac:dyDescent="0.35">
      <c r="A234" s="38"/>
      <c r="C234" s="39"/>
    </row>
    <row r="235" spans="1:3" ht="15.75" customHeight="1" x14ac:dyDescent="0.35">
      <c r="A235" s="38"/>
      <c r="C235" s="39"/>
    </row>
    <row r="236" spans="1:3" ht="15.75" customHeight="1" x14ac:dyDescent="0.35">
      <c r="A236" s="38"/>
      <c r="C236" s="39"/>
    </row>
    <row r="237" spans="1:3" ht="15.75" customHeight="1" x14ac:dyDescent="0.35">
      <c r="A237" s="38"/>
      <c r="C237" s="39"/>
    </row>
    <row r="238" spans="1:3" ht="15.75" customHeight="1" x14ac:dyDescent="0.35">
      <c r="A238" s="38"/>
      <c r="C238" s="39"/>
    </row>
    <row r="239" spans="1:3" ht="15.75" customHeight="1" x14ac:dyDescent="0.35">
      <c r="A239" s="38"/>
      <c r="C239" s="39"/>
    </row>
    <row r="240" spans="1:3" ht="15.75" customHeight="1" x14ac:dyDescent="0.35">
      <c r="A240" s="38"/>
      <c r="C240" s="39"/>
    </row>
    <row r="241" spans="1:3" ht="15.75" customHeight="1" x14ac:dyDescent="0.35">
      <c r="A241" s="38"/>
      <c r="C241" s="39"/>
    </row>
    <row r="242" spans="1:3" ht="15.75" customHeight="1" x14ac:dyDescent="0.35">
      <c r="A242" s="38"/>
      <c r="C242" s="39"/>
    </row>
    <row r="243" spans="1:3" ht="15.75" customHeight="1" x14ac:dyDescent="0.35">
      <c r="A243" s="38"/>
      <c r="C243" s="39"/>
    </row>
    <row r="244" spans="1:3" ht="15.75" customHeight="1" x14ac:dyDescent="0.35">
      <c r="A244" s="38"/>
      <c r="C244" s="39"/>
    </row>
    <row r="245" spans="1:3" ht="15.75" customHeight="1" x14ac:dyDescent="0.35">
      <c r="A245" s="38"/>
      <c r="C245" s="39"/>
    </row>
    <row r="246" spans="1:3" ht="15.75" customHeight="1" x14ac:dyDescent="0.35">
      <c r="A246" s="38"/>
      <c r="C246" s="39"/>
    </row>
    <row r="247" spans="1:3" ht="15.75" customHeight="1" x14ac:dyDescent="0.35">
      <c r="A247" s="38"/>
      <c r="C247" s="39"/>
    </row>
    <row r="248" spans="1:3" ht="15.75" customHeight="1" x14ac:dyDescent="0.35">
      <c r="A248" s="38"/>
      <c r="C248" s="39"/>
    </row>
    <row r="249" spans="1:3" ht="15.75" customHeight="1" x14ac:dyDescent="0.35">
      <c r="A249" s="38"/>
      <c r="C249" s="39"/>
    </row>
    <row r="250" spans="1:3" ht="15.75" customHeight="1" x14ac:dyDescent="0.35">
      <c r="A250" s="38"/>
      <c r="C250" s="39"/>
    </row>
    <row r="251" spans="1:3" ht="15.75" customHeight="1" x14ac:dyDescent="0.35">
      <c r="A251" s="38"/>
      <c r="C251" s="39"/>
    </row>
    <row r="252" spans="1:3" ht="15.75" customHeight="1" x14ac:dyDescent="0.35">
      <c r="A252" s="38"/>
      <c r="C252" s="39"/>
    </row>
    <row r="253" spans="1:3" ht="15.75" customHeight="1" x14ac:dyDescent="0.35">
      <c r="A253" s="38"/>
      <c r="C253" s="39"/>
    </row>
    <row r="254" spans="1:3" ht="15.75" customHeight="1" x14ac:dyDescent="0.35">
      <c r="A254" s="38"/>
      <c r="C254" s="39"/>
    </row>
    <row r="255" spans="1:3" ht="15.75" customHeight="1" x14ac:dyDescent="0.35">
      <c r="A255" s="38"/>
      <c r="C255" s="39"/>
    </row>
    <row r="256" spans="1:3" ht="15.75" customHeight="1" x14ac:dyDescent="0.35">
      <c r="A256" s="38"/>
      <c r="C256" s="39"/>
    </row>
    <row r="257" spans="1:3" ht="15.75" customHeight="1" x14ac:dyDescent="0.35">
      <c r="A257" s="38"/>
      <c r="C257" s="39"/>
    </row>
    <row r="258" spans="1:3" ht="15.75" customHeight="1" x14ac:dyDescent="0.35">
      <c r="A258" s="38"/>
      <c r="C258" s="39"/>
    </row>
    <row r="259" spans="1:3" ht="15.75" customHeight="1" x14ac:dyDescent="0.35">
      <c r="A259" s="38"/>
      <c r="C259" s="39"/>
    </row>
    <row r="260" spans="1:3" ht="15.75" customHeight="1" x14ac:dyDescent="0.35">
      <c r="A260" s="38"/>
      <c r="C260" s="39"/>
    </row>
    <row r="261" spans="1:3" ht="15.75" customHeight="1" x14ac:dyDescent="0.35">
      <c r="A261" s="38"/>
      <c r="C261" s="39"/>
    </row>
    <row r="262" spans="1:3" ht="15.75" customHeight="1" x14ac:dyDescent="0.35">
      <c r="A262" s="38"/>
      <c r="C262" s="39"/>
    </row>
    <row r="263" spans="1:3" ht="15.75" customHeight="1" x14ac:dyDescent="0.35">
      <c r="A263" s="38"/>
      <c r="C263" s="39"/>
    </row>
    <row r="264" spans="1:3" ht="15.75" customHeight="1" x14ac:dyDescent="0.35">
      <c r="A264" s="38"/>
      <c r="C264" s="39"/>
    </row>
    <row r="265" spans="1:3" ht="15.75" customHeight="1" x14ac:dyDescent="0.35">
      <c r="A265" s="38"/>
      <c r="C265" s="39"/>
    </row>
    <row r="266" spans="1:3" ht="15.75" customHeight="1" x14ac:dyDescent="0.35">
      <c r="A266" s="38"/>
      <c r="C266" s="39"/>
    </row>
    <row r="267" spans="1:3" ht="15.75" customHeight="1" x14ac:dyDescent="0.35">
      <c r="A267" s="38"/>
      <c r="C267" s="39"/>
    </row>
    <row r="268" spans="1:3" ht="15.75" customHeight="1" x14ac:dyDescent="0.35">
      <c r="A268" s="38"/>
      <c r="C268" s="39"/>
    </row>
    <row r="269" spans="1:3" ht="15.75" customHeight="1" x14ac:dyDescent="0.35">
      <c r="A269" s="38"/>
      <c r="C269" s="39"/>
    </row>
    <row r="270" spans="1:3" ht="15.75" customHeight="1" x14ac:dyDescent="0.35">
      <c r="A270" s="38"/>
      <c r="C270" s="39"/>
    </row>
    <row r="271" spans="1:3" ht="15.75" customHeight="1" x14ac:dyDescent="0.35">
      <c r="A271" s="38"/>
      <c r="C271" s="39"/>
    </row>
    <row r="272" spans="1:3" ht="15.75" customHeight="1" x14ac:dyDescent="0.35">
      <c r="A272" s="38"/>
      <c r="C272" s="39"/>
    </row>
    <row r="273" spans="1:3" ht="15.75" customHeight="1" x14ac:dyDescent="0.35">
      <c r="A273" s="38"/>
      <c r="C273" s="39"/>
    </row>
    <row r="274" spans="1:3" ht="15.75" customHeight="1" x14ac:dyDescent="0.35">
      <c r="A274" s="38"/>
      <c r="C274" s="39"/>
    </row>
    <row r="275" spans="1:3" ht="15.75" customHeight="1" x14ac:dyDescent="0.35">
      <c r="A275" s="38"/>
      <c r="C275" s="39"/>
    </row>
    <row r="276" spans="1:3" ht="15.75" customHeight="1" x14ac:dyDescent="0.35">
      <c r="A276" s="38"/>
      <c r="C276" s="39"/>
    </row>
    <row r="277" spans="1:3" ht="15.75" customHeight="1" x14ac:dyDescent="0.35">
      <c r="A277" s="38"/>
      <c r="C277" s="39"/>
    </row>
    <row r="278" spans="1:3" ht="15.75" customHeight="1" x14ac:dyDescent="0.35">
      <c r="A278" s="38"/>
      <c r="C278" s="39"/>
    </row>
    <row r="279" spans="1:3" ht="15.75" customHeight="1" x14ac:dyDescent="0.35">
      <c r="A279" s="38"/>
      <c r="C279" s="39"/>
    </row>
    <row r="280" spans="1:3" ht="15.75" customHeight="1" x14ac:dyDescent="0.35">
      <c r="A280" s="38"/>
      <c r="C280" s="39"/>
    </row>
    <row r="281" spans="1:3" ht="15.75" customHeight="1" x14ac:dyDescent="0.35">
      <c r="A281" s="38"/>
      <c r="C281" s="39"/>
    </row>
    <row r="282" spans="1:3" ht="15.75" customHeight="1" x14ac:dyDescent="0.35">
      <c r="A282" s="38"/>
      <c r="C282" s="39"/>
    </row>
    <row r="283" spans="1:3" ht="15.75" customHeight="1" x14ac:dyDescent="0.35">
      <c r="A283" s="38"/>
      <c r="C283" s="39"/>
    </row>
    <row r="284" spans="1:3" ht="15.75" customHeight="1" x14ac:dyDescent="0.35">
      <c r="A284" s="38"/>
      <c r="C284" s="39"/>
    </row>
    <row r="285" spans="1:3" ht="15.75" customHeight="1" x14ac:dyDescent="0.35">
      <c r="A285" s="38"/>
      <c r="C285" s="39"/>
    </row>
    <row r="286" spans="1:3" ht="15.75" customHeight="1" x14ac:dyDescent="0.35">
      <c r="A286" s="38"/>
      <c r="C286" s="39"/>
    </row>
    <row r="287" spans="1:3" ht="15.75" customHeight="1" x14ac:dyDescent="0.35">
      <c r="A287" s="38"/>
      <c r="C287" s="39"/>
    </row>
    <row r="288" spans="1:3" ht="15.75" customHeight="1" x14ac:dyDescent="0.35">
      <c r="A288" s="38"/>
      <c r="C288" s="39"/>
    </row>
    <row r="289" spans="1:3" ht="15.75" customHeight="1" x14ac:dyDescent="0.35">
      <c r="A289" s="38"/>
      <c r="C289" s="39"/>
    </row>
    <row r="290" spans="1:3" ht="15.75" customHeight="1" x14ac:dyDescent="0.35">
      <c r="A290" s="38"/>
      <c r="C290" s="39"/>
    </row>
    <row r="291" spans="1:3" ht="15.75" customHeight="1" x14ac:dyDescent="0.35">
      <c r="A291" s="38"/>
      <c r="C291" s="39"/>
    </row>
    <row r="292" spans="1:3" ht="15.75" customHeight="1" x14ac:dyDescent="0.35">
      <c r="A292" s="38"/>
      <c r="C292" s="39"/>
    </row>
    <row r="293" spans="1:3" ht="15.75" customHeight="1" x14ac:dyDescent="0.35">
      <c r="A293" s="38"/>
      <c r="C293" s="39"/>
    </row>
    <row r="294" spans="1:3" ht="15.75" customHeight="1" x14ac:dyDescent="0.35">
      <c r="A294" s="38"/>
      <c r="C294" s="39"/>
    </row>
    <row r="295" spans="1:3" ht="15.75" customHeight="1" x14ac:dyDescent="0.35">
      <c r="A295" s="38"/>
      <c r="C295" s="39"/>
    </row>
    <row r="296" spans="1:3" ht="15.75" customHeight="1" x14ac:dyDescent="0.35">
      <c r="A296" s="38"/>
      <c r="C296" s="39"/>
    </row>
    <row r="297" spans="1:3" ht="15.75" customHeight="1" x14ac:dyDescent="0.35">
      <c r="A297" s="38"/>
      <c r="C297" s="39"/>
    </row>
    <row r="298" spans="1:3" ht="15.75" customHeight="1" x14ac:dyDescent="0.35">
      <c r="A298" s="38"/>
      <c r="C298" s="39"/>
    </row>
    <row r="299" spans="1:3" ht="15.75" customHeight="1" x14ac:dyDescent="0.35">
      <c r="A299" s="38"/>
      <c r="C299" s="39"/>
    </row>
    <row r="300" spans="1:3" ht="15.75" customHeight="1" x14ac:dyDescent="0.35">
      <c r="A300" s="38"/>
      <c r="C300" s="39"/>
    </row>
    <row r="301" spans="1:3" ht="15.75" customHeight="1" x14ac:dyDescent="0.35">
      <c r="A301" s="38"/>
      <c r="C301" s="39"/>
    </row>
    <row r="302" spans="1:3" ht="15.75" customHeight="1" x14ac:dyDescent="0.35">
      <c r="A302" s="38"/>
      <c r="C302" s="39"/>
    </row>
    <row r="303" spans="1:3" ht="15.75" customHeight="1" x14ac:dyDescent="0.35">
      <c r="A303" s="38"/>
      <c r="C303" s="39"/>
    </row>
    <row r="304" spans="1:3" ht="15.75" customHeight="1" x14ac:dyDescent="0.35">
      <c r="A304" s="38"/>
      <c r="C304" s="39"/>
    </row>
    <row r="305" spans="1:3" ht="15.75" customHeight="1" x14ac:dyDescent="0.35">
      <c r="A305" s="38"/>
      <c r="C305" s="39"/>
    </row>
    <row r="306" spans="1:3" ht="15.75" customHeight="1" x14ac:dyDescent="0.35">
      <c r="A306" s="38"/>
      <c r="C306" s="39"/>
    </row>
    <row r="307" spans="1:3" ht="15.75" customHeight="1" x14ac:dyDescent="0.35">
      <c r="A307" s="38"/>
      <c r="C307" s="39"/>
    </row>
    <row r="308" spans="1:3" ht="15.75" customHeight="1" x14ac:dyDescent="0.35">
      <c r="A308" s="38"/>
      <c r="C308" s="39"/>
    </row>
    <row r="309" spans="1:3" ht="15.75" customHeight="1" x14ac:dyDescent="0.35">
      <c r="A309" s="38"/>
      <c r="C309" s="39"/>
    </row>
    <row r="310" spans="1:3" ht="15.75" customHeight="1" x14ac:dyDescent="0.35">
      <c r="A310" s="38"/>
      <c r="C310" s="39"/>
    </row>
    <row r="311" spans="1:3" ht="15.75" customHeight="1" x14ac:dyDescent="0.35">
      <c r="A311" s="38"/>
      <c r="C311" s="39"/>
    </row>
    <row r="312" spans="1:3" ht="15.75" customHeight="1" x14ac:dyDescent="0.35">
      <c r="A312" s="38"/>
      <c r="C312" s="39"/>
    </row>
    <row r="313" spans="1:3" ht="15.75" customHeight="1" x14ac:dyDescent="0.35">
      <c r="A313" s="38"/>
      <c r="C313" s="39"/>
    </row>
    <row r="314" spans="1:3" ht="15.75" customHeight="1" x14ac:dyDescent="0.35">
      <c r="A314" s="38"/>
      <c r="C314" s="39"/>
    </row>
    <row r="315" spans="1:3" ht="15.75" customHeight="1" x14ac:dyDescent="0.35">
      <c r="A315" s="38"/>
      <c r="C315" s="39"/>
    </row>
    <row r="316" spans="1:3" ht="15.75" customHeight="1" x14ac:dyDescent="0.35">
      <c r="A316" s="38"/>
      <c r="C316" s="39"/>
    </row>
    <row r="317" spans="1:3" ht="15.75" customHeight="1" x14ac:dyDescent="0.35">
      <c r="A317" s="38"/>
      <c r="C317" s="39"/>
    </row>
    <row r="318" spans="1:3" ht="15.75" customHeight="1" x14ac:dyDescent="0.35">
      <c r="A318" s="38"/>
      <c r="C318" s="39"/>
    </row>
    <row r="319" spans="1:3" ht="15.75" customHeight="1" x14ac:dyDescent="0.35">
      <c r="A319" s="38"/>
      <c r="C319" s="39"/>
    </row>
    <row r="320" spans="1:3" ht="15.75" customHeight="1" x14ac:dyDescent="0.35">
      <c r="A320" s="38"/>
      <c r="C320" s="39"/>
    </row>
    <row r="321" spans="1:3" ht="15.75" customHeight="1" x14ac:dyDescent="0.35">
      <c r="A321" s="38"/>
      <c r="C321" s="39"/>
    </row>
    <row r="322" spans="1:3" ht="15.75" customHeight="1" x14ac:dyDescent="0.35">
      <c r="A322" s="38"/>
      <c r="C322" s="39"/>
    </row>
    <row r="323" spans="1:3" ht="15.75" customHeight="1" x14ac:dyDescent="0.35">
      <c r="A323" s="38"/>
      <c r="C323" s="39"/>
    </row>
    <row r="324" spans="1:3" ht="15.75" customHeight="1" x14ac:dyDescent="0.35">
      <c r="A324" s="38"/>
      <c r="C324" s="39"/>
    </row>
    <row r="325" spans="1:3" ht="15.75" customHeight="1" x14ac:dyDescent="0.35">
      <c r="A325" s="38"/>
      <c r="C325" s="39"/>
    </row>
    <row r="326" spans="1:3" ht="15.75" customHeight="1" x14ac:dyDescent="0.35">
      <c r="A326" s="38"/>
      <c r="C326" s="39"/>
    </row>
    <row r="327" spans="1:3" ht="15.75" customHeight="1" x14ac:dyDescent="0.35">
      <c r="A327" s="38"/>
      <c r="C327" s="39"/>
    </row>
    <row r="328" spans="1:3" ht="15.75" customHeight="1" x14ac:dyDescent="0.35">
      <c r="A328" s="38"/>
      <c r="C328" s="39"/>
    </row>
    <row r="329" spans="1:3" ht="15.75" customHeight="1" x14ac:dyDescent="0.35">
      <c r="A329" s="38"/>
      <c r="C329" s="39"/>
    </row>
    <row r="330" spans="1:3" ht="15.75" customHeight="1" x14ac:dyDescent="0.35">
      <c r="A330" s="38"/>
      <c r="C330" s="39"/>
    </row>
    <row r="331" spans="1:3" ht="15.75" customHeight="1" x14ac:dyDescent="0.35">
      <c r="A331" s="38"/>
      <c r="C331" s="39"/>
    </row>
    <row r="332" spans="1:3" ht="15.75" customHeight="1" x14ac:dyDescent="0.35">
      <c r="A332" s="38"/>
      <c r="C332" s="39"/>
    </row>
    <row r="333" spans="1:3" ht="15.75" customHeight="1" x14ac:dyDescent="0.35">
      <c r="A333" s="38"/>
      <c r="C333" s="39"/>
    </row>
    <row r="334" spans="1:3" ht="15.75" customHeight="1" x14ac:dyDescent="0.35">
      <c r="A334" s="38"/>
      <c r="C334" s="39"/>
    </row>
    <row r="335" spans="1:3" ht="15.75" customHeight="1" x14ac:dyDescent="0.35">
      <c r="A335" s="38"/>
      <c r="C335" s="39"/>
    </row>
    <row r="336" spans="1:3" ht="15.75" customHeight="1" x14ac:dyDescent="0.35">
      <c r="A336" s="38"/>
      <c r="C336" s="39"/>
    </row>
    <row r="337" spans="1:3" ht="15.75" customHeight="1" x14ac:dyDescent="0.35">
      <c r="A337" s="38"/>
      <c r="C337" s="39"/>
    </row>
    <row r="338" spans="1:3" ht="15.75" customHeight="1" x14ac:dyDescent="0.35">
      <c r="A338" s="38"/>
      <c r="C338" s="39"/>
    </row>
    <row r="339" spans="1:3" ht="15.75" customHeight="1" x14ac:dyDescent="0.35">
      <c r="A339" s="38"/>
      <c r="C339" s="39"/>
    </row>
    <row r="340" spans="1:3" ht="15.75" customHeight="1" x14ac:dyDescent="0.35">
      <c r="A340" s="38"/>
      <c r="C340" s="39"/>
    </row>
    <row r="341" spans="1:3" ht="15.75" customHeight="1" x14ac:dyDescent="0.35">
      <c r="A341" s="38"/>
      <c r="C341" s="39"/>
    </row>
    <row r="342" spans="1:3" ht="15.75" customHeight="1" x14ac:dyDescent="0.35">
      <c r="A342" s="38"/>
      <c r="C342" s="39"/>
    </row>
    <row r="343" spans="1:3" ht="15.75" customHeight="1" x14ac:dyDescent="0.35">
      <c r="A343" s="38"/>
      <c r="C343" s="39"/>
    </row>
    <row r="344" spans="1:3" ht="15.75" customHeight="1" x14ac:dyDescent="0.35">
      <c r="A344" s="38"/>
      <c r="C344" s="39"/>
    </row>
    <row r="345" spans="1:3" ht="15.75" customHeight="1" x14ac:dyDescent="0.35">
      <c r="A345" s="38"/>
      <c r="C345" s="39"/>
    </row>
    <row r="346" spans="1:3" ht="15.75" customHeight="1" x14ac:dyDescent="0.35">
      <c r="A346" s="38"/>
      <c r="C346" s="39"/>
    </row>
    <row r="347" spans="1:3" ht="15.75" customHeight="1" x14ac:dyDescent="0.35">
      <c r="A347" s="38"/>
      <c r="C347" s="39"/>
    </row>
    <row r="348" spans="1:3" ht="15.75" customHeight="1" x14ac:dyDescent="0.35">
      <c r="A348" s="38"/>
      <c r="C348" s="39"/>
    </row>
    <row r="349" spans="1:3" ht="15.75" customHeight="1" x14ac:dyDescent="0.35">
      <c r="A349" s="38"/>
      <c r="C349" s="39"/>
    </row>
    <row r="350" spans="1:3" ht="15.75" customHeight="1" x14ac:dyDescent="0.35">
      <c r="A350" s="38"/>
      <c r="C350" s="39"/>
    </row>
    <row r="351" spans="1:3" ht="15.75" customHeight="1" x14ac:dyDescent="0.35">
      <c r="A351" s="38"/>
      <c r="C351" s="39"/>
    </row>
    <row r="352" spans="1:3" ht="15.75" customHeight="1" x14ac:dyDescent="0.35">
      <c r="A352" s="38"/>
      <c r="C352" s="39"/>
    </row>
    <row r="353" spans="1:3" ht="15.75" customHeight="1" x14ac:dyDescent="0.35">
      <c r="A353" s="38"/>
      <c r="C353" s="39"/>
    </row>
    <row r="354" spans="1:3" ht="15.75" customHeight="1" x14ac:dyDescent="0.35">
      <c r="A354" s="38"/>
      <c r="C354" s="39"/>
    </row>
    <row r="355" spans="1:3" ht="15.75" customHeight="1" x14ac:dyDescent="0.35">
      <c r="A355" s="38"/>
      <c r="C355" s="39"/>
    </row>
    <row r="356" spans="1:3" ht="15.75" customHeight="1" x14ac:dyDescent="0.35">
      <c r="A356" s="38"/>
      <c r="C356" s="39"/>
    </row>
    <row r="357" spans="1:3" ht="15.75" customHeight="1" x14ac:dyDescent="0.35">
      <c r="A357" s="38"/>
      <c r="C357" s="39"/>
    </row>
    <row r="358" spans="1:3" ht="15.75" customHeight="1" x14ac:dyDescent="0.35">
      <c r="A358" s="38"/>
      <c r="C358" s="39"/>
    </row>
    <row r="359" spans="1:3" ht="15.75" customHeight="1" x14ac:dyDescent="0.35">
      <c r="A359" s="38"/>
      <c r="C359" s="39"/>
    </row>
    <row r="360" spans="1:3" ht="15.75" customHeight="1" x14ac:dyDescent="0.35">
      <c r="A360" s="38"/>
      <c r="C360" s="39"/>
    </row>
    <row r="361" spans="1:3" ht="15.75" customHeight="1" x14ac:dyDescent="0.35">
      <c r="A361" s="38"/>
      <c r="C361" s="39"/>
    </row>
    <row r="362" spans="1:3" ht="15.75" customHeight="1" x14ac:dyDescent="0.35">
      <c r="A362" s="38"/>
      <c r="C362" s="39"/>
    </row>
    <row r="363" spans="1:3" ht="15.75" customHeight="1" x14ac:dyDescent="0.35">
      <c r="A363" s="38"/>
      <c r="C363" s="39"/>
    </row>
    <row r="364" spans="1:3" ht="15.75" customHeight="1" x14ac:dyDescent="0.35">
      <c r="A364" s="38"/>
      <c r="C364" s="39"/>
    </row>
    <row r="365" spans="1:3" ht="15.75" customHeight="1" x14ac:dyDescent="0.35">
      <c r="A365" s="38"/>
      <c r="C365" s="39"/>
    </row>
    <row r="366" spans="1:3" ht="15.75" customHeight="1" x14ac:dyDescent="0.35">
      <c r="A366" s="38"/>
      <c r="C366" s="39"/>
    </row>
    <row r="367" spans="1:3" ht="15.75" customHeight="1" x14ac:dyDescent="0.35">
      <c r="A367" s="38"/>
      <c r="C367" s="39"/>
    </row>
    <row r="368" spans="1:3" ht="15.75" customHeight="1" x14ac:dyDescent="0.35">
      <c r="A368" s="38"/>
      <c r="C368" s="39"/>
    </row>
    <row r="369" spans="1:3" ht="15.75" customHeight="1" x14ac:dyDescent="0.35">
      <c r="A369" s="38"/>
      <c r="C369" s="39"/>
    </row>
    <row r="370" spans="1:3" ht="15.75" customHeight="1" x14ac:dyDescent="0.35">
      <c r="A370" s="38"/>
      <c r="C370" s="39"/>
    </row>
    <row r="371" spans="1:3" ht="15.75" customHeight="1" x14ac:dyDescent="0.35">
      <c r="A371" s="38"/>
      <c r="C371" s="39"/>
    </row>
    <row r="372" spans="1:3" ht="15.75" customHeight="1" x14ac:dyDescent="0.35">
      <c r="A372" s="38"/>
      <c r="C372" s="39"/>
    </row>
    <row r="373" spans="1:3" ht="15.75" customHeight="1" x14ac:dyDescent="0.35">
      <c r="A373" s="38"/>
      <c r="C373" s="39"/>
    </row>
    <row r="374" spans="1:3" ht="15.75" customHeight="1" x14ac:dyDescent="0.35">
      <c r="A374" s="38"/>
      <c r="C374" s="39"/>
    </row>
    <row r="375" spans="1:3" ht="15.75" customHeight="1" x14ac:dyDescent="0.35">
      <c r="A375" s="38"/>
      <c r="C375" s="39"/>
    </row>
    <row r="376" spans="1:3" ht="15.75" customHeight="1" x14ac:dyDescent="0.35">
      <c r="A376" s="38"/>
      <c r="C376" s="39"/>
    </row>
    <row r="377" spans="1:3" ht="15.75" customHeight="1" x14ac:dyDescent="0.35">
      <c r="A377" s="38"/>
      <c r="C377" s="39"/>
    </row>
    <row r="378" spans="1:3" ht="15.75" customHeight="1" x14ac:dyDescent="0.35">
      <c r="A378" s="38"/>
      <c r="C378" s="39"/>
    </row>
    <row r="379" spans="1:3" ht="15.75" customHeight="1" x14ac:dyDescent="0.35">
      <c r="A379" s="38"/>
      <c r="C379" s="39"/>
    </row>
    <row r="380" spans="1:3" ht="15.75" customHeight="1" x14ac:dyDescent="0.35">
      <c r="A380" s="38"/>
      <c r="C380" s="39"/>
    </row>
    <row r="381" spans="1:3" ht="15.75" customHeight="1" x14ac:dyDescent="0.35">
      <c r="A381" s="38"/>
      <c r="C381" s="39"/>
    </row>
    <row r="382" spans="1:3" ht="15.75" customHeight="1" x14ac:dyDescent="0.35">
      <c r="A382" s="38"/>
      <c r="C382" s="39"/>
    </row>
    <row r="383" spans="1:3" ht="15.75" customHeight="1" x14ac:dyDescent="0.35">
      <c r="A383" s="38"/>
      <c r="C383" s="39"/>
    </row>
    <row r="384" spans="1:3" ht="15.75" customHeight="1" x14ac:dyDescent="0.35">
      <c r="A384" s="38"/>
      <c r="C384" s="39"/>
    </row>
    <row r="385" spans="1:3" ht="15.75" customHeight="1" x14ac:dyDescent="0.35">
      <c r="A385" s="38"/>
      <c r="C385" s="39"/>
    </row>
    <row r="386" spans="1:3" ht="15.75" customHeight="1" x14ac:dyDescent="0.35">
      <c r="A386" s="38"/>
      <c r="C386" s="39"/>
    </row>
    <row r="387" spans="1:3" ht="15.75" customHeight="1" x14ac:dyDescent="0.35">
      <c r="A387" s="38"/>
      <c r="C387" s="39"/>
    </row>
    <row r="388" spans="1:3" ht="15.75" customHeight="1" x14ac:dyDescent="0.35">
      <c r="A388" s="38"/>
      <c r="C388" s="39"/>
    </row>
    <row r="389" spans="1:3" ht="15.75" customHeight="1" x14ac:dyDescent="0.35">
      <c r="A389" s="38"/>
      <c r="C389" s="39"/>
    </row>
    <row r="390" spans="1:3" ht="15.75" customHeight="1" x14ac:dyDescent="0.35">
      <c r="A390" s="38"/>
      <c r="C390" s="39"/>
    </row>
    <row r="391" spans="1:3" ht="15.75" customHeight="1" x14ac:dyDescent="0.35">
      <c r="A391" s="38"/>
      <c r="C391" s="39"/>
    </row>
    <row r="392" spans="1:3" ht="15.75" customHeight="1" x14ac:dyDescent="0.35">
      <c r="A392" s="38"/>
      <c r="C392" s="39"/>
    </row>
    <row r="393" spans="1:3" ht="15.75" customHeight="1" x14ac:dyDescent="0.35">
      <c r="A393" s="38"/>
      <c r="C393" s="39"/>
    </row>
    <row r="394" spans="1:3" ht="15.75" customHeight="1" x14ac:dyDescent="0.35">
      <c r="A394" s="38"/>
      <c r="C394" s="39"/>
    </row>
    <row r="395" spans="1:3" ht="15.75" customHeight="1" x14ac:dyDescent="0.35">
      <c r="A395" s="38"/>
      <c r="C395" s="39"/>
    </row>
    <row r="396" spans="1:3" ht="15.75" customHeight="1" x14ac:dyDescent="0.35">
      <c r="A396" s="38"/>
      <c r="C396" s="39"/>
    </row>
    <row r="397" spans="1:3" ht="15.75" customHeight="1" x14ac:dyDescent="0.35">
      <c r="A397" s="38"/>
      <c r="C397" s="39"/>
    </row>
    <row r="398" spans="1:3" ht="15.75" customHeight="1" x14ac:dyDescent="0.35">
      <c r="A398" s="38"/>
      <c r="C398" s="39"/>
    </row>
    <row r="399" spans="1:3" ht="15.75" customHeight="1" x14ac:dyDescent="0.35">
      <c r="A399" s="38"/>
      <c r="C399" s="39"/>
    </row>
    <row r="400" spans="1:3" ht="15.75" customHeight="1" x14ac:dyDescent="0.35">
      <c r="A400" s="38"/>
      <c r="C400" s="39"/>
    </row>
    <row r="401" spans="1:3" ht="15.75" customHeight="1" x14ac:dyDescent="0.35">
      <c r="A401" s="38"/>
      <c r="C401" s="39"/>
    </row>
    <row r="402" spans="1:3" ht="15.75" customHeight="1" x14ac:dyDescent="0.35">
      <c r="A402" s="38"/>
      <c r="C402" s="39"/>
    </row>
    <row r="403" spans="1:3" ht="15.75" customHeight="1" x14ac:dyDescent="0.35">
      <c r="A403" s="38"/>
      <c r="C403" s="39"/>
    </row>
    <row r="404" spans="1:3" ht="15.75" customHeight="1" x14ac:dyDescent="0.35">
      <c r="A404" s="38"/>
      <c r="C404" s="39"/>
    </row>
    <row r="405" spans="1:3" ht="15.75" customHeight="1" x14ac:dyDescent="0.35">
      <c r="A405" s="38"/>
      <c r="C405" s="39"/>
    </row>
    <row r="406" spans="1:3" ht="15.75" customHeight="1" x14ac:dyDescent="0.35">
      <c r="A406" s="38"/>
      <c r="C406" s="39"/>
    </row>
    <row r="407" spans="1:3" ht="15.75" customHeight="1" x14ac:dyDescent="0.35">
      <c r="A407" s="38"/>
      <c r="C407" s="39"/>
    </row>
    <row r="408" spans="1:3" ht="15.75" customHeight="1" x14ac:dyDescent="0.35">
      <c r="A408" s="38"/>
      <c r="C408" s="39"/>
    </row>
    <row r="409" spans="1:3" ht="15.75" customHeight="1" x14ac:dyDescent="0.35">
      <c r="A409" s="38"/>
      <c r="C409" s="39"/>
    </row>
    <row r="410" spans="1:3" ht="15.75" customHeight="1" x14ac:dyDescent="0.35">
      <c r="A410" s="38"/>
      <c r="C410" s="39"/>
    </row>
    <row r="411" spans="1:3" ht="15.75" customHeight="1" x14ac:dyDescent="0.35">
      <c r="A411" s="38"/>
      <c r="C411" s="39"/>
    </row>
    <row r="412" spans="1:3" ht="15.75" customHeight="1" x14ac:dyDescent="0.35">
      <c r="A412" s="38"/>
      <c r="C412" s="39"/>
    </row>
    <row r="413" spans="1:3" ht="15.75" customHeight="1" x14ac:dyDescent="0.35">
      <c r="A413" s="38"/>
      <c r="C413" s="39"/>
    </row>
    <row r="414" spans="1:3" ht="15.75" customHeight="1" x14ac:dyDescent="0.35">
      <c r="A414" s="38"/>
      <c r="C414" s="39"/>
    </row>
    <row r="415" spans="1:3" ht="15.75" customHeight="1" x14ac:dyDescent="0.35">
      <c r="A415" s="38"/>
      <c r="C415" s="39"/>
    </row>
    <row r="416" spans="1:3" ht="15.75" customHeight="1" x14ac:dyDescent="0.35">
      <c r="A416" s="38"/>
      <c r="C416" s="39"/>
    </row>
    <row r="417" spans="1:3" ht="15.75" customHeight="1" x14ac:dyDescent="0.35">
      <c r="A417" s="38"/>
      <c r="C417" s="39"/>
    </row>
    <row r="418" spans="1:3" ht="15.75" customHeight="1" x14ac:dyDescent="0.35">
      <c r="A418" s="38"/>
      <c r="C418" s="39"/>
    </row>
    <row r="419" spans="1:3" ht="15.75" customHeight="1" x14ac:dyDescent="0.35">
      <c r="A419" s="38"/>
      <c r="C419" s="39"/>
    </row>
    <row r="420" spans="1:3" ht="15.75" customHeight="1" x14ac:dyDescent="0.35">
      <c r="A420" s="38"/>
      <c r="C420" s="39"/>
    </row>
    <row r="421" spans="1:3" ht="15.75" customHeight="1" x14ac:dyDescent="0.35">
      <c r="A421" s="38"/>
      <c r="C421" s="39"/>
    </row>
    <row r="422" spans="1:3" ht="15.75" customHeight="1" x14ac:dyDescent="0.35">
      <c r="A422" s="38"/>
      <c r="C422" s="39"/>
    </row>
    <row r="423" spans="1:3" ht="15.75" customHeight="1" x14ac:dyDescent="0.35">
      <c r="A423" s="38"/>
      <c r="C423" s="39"/>
    </row>
    <row r="424" spans="1:3" ht="15.75" customHeight="1" x14ac:dyDescent="0.35">
      <c r="A424" s="38"/>
      <c r="C424" s="39"/>
    </row>
    <row r="425" spans="1:3" ht="15.75" customHeight="1" x14ac:dyDescent="0.35">
      <c r="A425" s="38"/>
      <c r="C425" s="39"/>
    </row>
    <row r="426" spans="1:3" ht="15.75" customHeight="1" x14ac:dyDescent="0.35">
      <c r="A426" s="38"/>
      <c r="C426" s="39"/>
    </row>
    <row r="427" spans="1:3" ht="15.75" customHeight="1" x14ac:dyDescent="0.35">
      <c r="A427" s="38"/>
      <c r="C427" s="39"/>
    </row>
    <row r="428" spans="1:3" ht="15.75" customHeight="1" x14ac:dyDescent="0.35">
      <c r="A428" s="38"/>
      <c r="C428" s="39"/>
    </row>
    <row r="429" spans="1:3" ht="15.75" customHeight="1" x14ac:dyDescent="0.35">
      <c r="A429" s="38"/>
      <c r="C429" s="39"/>
    </row>
    <row r="430" spans="1:3" ht="15.75" customHeight="1" x14ac:dyDescent="0.35">
      <c r="A430" s="38"/>
      <c r="C430" s="39"/>
    </row>
    <row r="431" spans="1:3" ht="15.75" customHeight="1" x14ac:dyDescent="0.35">
      <c r="A431" s="38"/>
      <c r="C431" s="39"/>
    </row>
    <row r="432" spans="1:3" ht="15.75" customHeight="1" x14ac:dyDescent="0.35">
      <c r="A432" s="38"/>
      <c r="C432" s="39"/>
    </row>
    <row r="433" spans="1:3" ht="15.75" customHeight="1" x14ac:dyDescent="0.35">
      <c r="A433" s="38"/>
      <c r="C433" s="39"/>
    </row>
    <row r="434" spans="1:3" ht="15.75" customHeight="1" x14ac:dyDescent="0.35">
      <c r="A434" s="38"/>
      <c r="C434" s="39"/>
    </row>
    <row r="435" spans="1:3" ht="15.75" customHeight="1" x14ac:dyDescent="0.35">
      <c r="A435" s="38"/>
      <c r="C435" s="39"/>
    </row>
    <row r="436" spans="1:3" ht="15.75" customHeight="1" x14ac:dyDescent="0.35">
      <c r="A436" s="38"/>
      <c r="C436" s="39"/>
    </row>
    <row r="437" spans="1:3" ht="15.75" customHeight="1" x14ac:dyDescent="0.35">
      <c r="A437" s="38"/>
      <c r="C437" s="39"/>
    </row>
    <row r="438" spans="1:3" ht="15.75" customHeight="1" x14ac:dyDescent="0.35">
      <c r="A438" s="38"/>
      <c r="C438" s="39"/>
    </row>
    <row r="439" spans="1:3" ht="15.75" customHeight="1" x14ac:dyDescent="0.35">
      <c r="A439" s="38"/>
      <c r="C439" s="39"/>
    </row>
    <row r="440" spans="1:3" ht="15.75" customHeight="1" x14ac:dyDescent="0.35">
      <c r="A440" s="38"/>
      <c r="C440" s="39"/>
    </row>
    <row r="441" spans="1:3" ht="15.75" customHeight="1" x14ac:dyDescent="0.35">
      <c r="A441" s="38"/>
      <c r="C441" s="39"/>
    </row>
    <row r="442" spans="1:3" ht="15.75" customHeight="1" x14ac:dyDescent="0.35">
      <c r="A442" s="38"/>
      <c r="C442" s="39"/>
    </row>
    <row r="443" spans="1:3" ht="15.75" customHeight="1" x14ac:dyDescent="0.35">
      <c r="A443" s="38"/>
      <c r="C443" s="39"/>
    </row>
    <row r="444" spans="1:3" ht="15.75" customHeight="1" x14ac:dyDescent="0.35">
      <c r="A444" s="38"/>
      <c r="C444" s="39"/>
    </row>
    <row r="445" spans="1:3" ht="15.75" customHeight="1" x14ac:dyDescent="0.35">
      <c r="A445" s="38"/>
      <c r="C445" s="39"/>
    </row>
    <row r="446" spans="1:3" ht="15.75" customHeight="1" x14ac:dyDescent="0.35">
      <c r="A446" s="38"/>
      <c r="C446" s="39"/>
    </row>
    <row r="447" spans="1:3" ht="15.75" customHeight="1" x14ac:dyDescent="0.35">
      <c r="A447" s="38"/>
      <c r="C447" s="39"/>
    </row>
    <row r="448" spans="1:3" ht="15.75" customHeight="1" x14ac:dyDescent="0.35">
      <c r="A448" s="38"/>
      <c r="C448" s="39"/>
    </row>
    <row r="449" spans="1:3" ht="15.75" customHeight="1" x14ac:dyDescent="0.35">
      <c r="A449" s="38"/>
      <c r="C449" s="39"/>
    </row>
    <row r="450" spans="1:3" ht="15.75" customHeight="1" x14ac:dyDescent="0.35">
      <c r="A450" s="38"/>
      <c r="C450" s="39"/>
    </row>
    <row r="451" spans="1:3" ht="15.75" customHeight="1" x14ac:dyDescent="0.35">
      <c r="A451" s="38"/>
      <c r="C451" s="39"/>
    </row>
    <row r="452" spans="1:3" ht="15.75" customHeight="1" x14ac:dyDescent="0.35">
      <c r="A452" s="38"/>
      <c r="C452" s="39"/>
    </row>
    <row r="453" spans="1:3" ht="15.75" customHeight="1" x14ac:dyDescent="0.35">
      <c r="A453" s="38"/>
      <c r="C453" s="39"/>
    </row>
    <row r="454" spans="1:3" ht="15.75" customHeight="1" x14ac:dyDescent="0.35">
      <c r="A454" s="38"/>
      <c r="C454" s="39"/>
    </row>
    <row r="455" spans="1:3" ht="15.75" customHeight="1" x14ac:dyDescent="0.35">
      <c r="A455" s="38"/>
      <c r="C455" s="39"/>
    </row>
    <row r="456" spans="1:3" ht="15.75" customHeight="1" x14ac:dyDescent="0.35">
      <c r="A456" s="38"/>
      <c r="C456" s="39"/>
    </row>
    <row r="457" spans="1:3" ht="15.75" customHeight="1" x14ac:dyDescent="0.35">
      <c r="A457" s="38"/>
      <c r="C457" s="39"/>
    </row>
    <row r="458" spans="1:3" ht="15.75" customHeight="1" x14ac:dyDescent="0.35">
      <c r="A458" s="38"/>
      <c r="C458" s="39"/>
    </row>
    <row r="459" spans="1:3" ht="15.75" customHeight="1" x14ac:dyDescent="0.35">
      <c r="A459" s="38"/>
      <c r="C459" s="39"/>
    </row>
    <row r="460" spans="1:3" ht="15.75" customHeight="1" x14ac:dyDescent="0.35">
      <c r="A460" s="38"/>
      <c r="C460" s="39"/>
    </row>
    <row r="461" spans="1:3" ht="15.75" customHeight="1" x14ac:dyDescent="0.35">
      <c r="A461" s="38"/>
      <c r="C461" s="39"/>
    </row>
    <row r="462" spans="1:3" ht="15.75" customHeight="1" x14ac:dyDescent="0.35">
      <c r="A462" s="38"/>
      <c r="C462" s="39"/>
    </row>
    <row r="463" spans="1:3" ht="15.75" customHeight="1" x14ac:dyDescent="0.35">
      <c r="A463" s="38"/>
      <c r="C463" s="39"/>
    </row>
    <row r="464" spans="1:3" ht="15.75" customHeight="1" x14ac:dyDescent="0.35">
      <c r="A464" s="38"/>
      <c r="C464" s="39"/>
    </row>
    <row r="465" spans="1:3" ht="15.75" customHeight="1" x14ac:dyDescent="0.35">
      <c r="A465" s="38"/>
      <c r="C465" s="39"/>
    </row>
    <row r="466" spans="1:3" ht="15.75" customHeight="1" x14ac:dyDescent="0.35">
      <c r="A466" s="38"/>
      <c r="C466" s="39"/>
    </row>
    <row r="467" spans="1:3" ht="15.75" customHeight="1" x14ac:dyDescent="0.35">
      <c r="A467" s="38"/>
      <c r="C467" s="39"/>
    </row>
    <row r="468" spans="1:3" ht="15.75" customHeight="1" x14ac:dyDescent="0.35">
      <c r="A468" s="38"/>
      <c r="C468" s="39"/>
    </row>
    <row r="469" spans="1:3" ht="15.75" customHeight="1" x14ac:dyDescent="0.35">
      <c r="A469" s="38"/>
      <c r="C469" s="39"/>
    </row>
    <row r="470" spans="1:3" ht="15.75" customHeight="1" x14ac:dyDescent="0.35">
      <c r="A470" s="38"/>
      <c r="C470" s="39"/>
    </row>
    <row r="471" spans="1:3" ht="15.75" customHeight="1" x14ac:dyDescent="0.35">
      <c r="A471" s="38"/>
      <c r="C471" s="39"/>
    </row>
    <row r="472" spans="1:3" ht="15.75" customHeight="1" x14ac:dyDescent="0.35">
      <c r="A472" s="38"/>
      <c r="C472" s="39"/>
    </row>
    <row r="473" spans="1:3" ht="15.75" customHeight="1" x14ac:dyDescent="0.35">
      <c r="A473" s="38"/>
      <c r="C473" s="39"/>
    </row>
    <row r="474" spans="1:3" ht="15.75" customHeight="1" x14ac:dyDescent="0.35">
      <c r="A474" s="38"/>
      <c r="C474" s="39"/>
    </row>
    <row r="475" spans="1:3" ht="15.75" customHeight="1" x14ac:dyDescent="0.35">
      <c r="A475" s="38"/>
      <c r="C475" s="39"/>
    </row>
    <row r="476" spans="1:3" ht="15.75" customHeight="1" x14ac:dyDescent="0.35">
      <c r="A476" s="38"/>
      <c r="C476" s="39"/>
    </row>
    <row r="477" spans="1:3" ht="15.75" customHeight="1" x14ac:dyDescent="0.35">
      <c r="A477" s="38"/>
      <c r="C477" s="39"/>
    </row>
    <row r="478" spans="1:3" ht="15.75" customHeight="1" x14ac:dyDescent="0.35">
      <c r="A478" s="38"/>
      <c r="C478" s="39"/>
    </row>
    <row r="479" spans="1:3" ht="15.75" customHeight="1" x14ac:dyDescent="0.35">
      <c r="A479" s="38"/>
      <c r="C479" s="39"/>
    </row>
    <row r="480" spans="1:3" ht="15.75" customHeight="1" x14ac:dyDescent="0.35">
      <c r="A480" s="38"/>
      <c r="C480" s="39"/>
    </row>
    <row r="481" spans="1:3" ht="15.75" customHeight="1" x14ac:dyDescent="0.35">
      <c r="A481" s="38"/>
      <c r="C481" s="39"/>
    </row>
    <row r="482" spans="1:3" ht="15.75" customHeight="1" x14ac:dyDescent="0.35">
      <c r="A482" s="38"/>
      <c r="C482" s="39"/>
    </row>
    <row r="483" spans="1:3" ht="15.75" customHeight="1" x14ac:dyDescent="0.35">
      <c r="A483" s="38"/>
      <c r="C483" s="39"/>
    </row>
    <row r="484" spans="1:3" ht="15.75" customHeight="1" x14ac:dyDescent="0.35">
      <c r="A484" s="38"/>
      <c r="C484" s="39"/>
    </row>
    <row r="485" spans="1:3" ht="15.75" customHeight="1" x14ac:dyDescent="0.35">
      <c r="A485" s="38"/>
      <c r="C485" s="39"/>
    </row>
    <row r="486" spans="1:3" ht="15.75" customHeight="1" x14ac:dyDescent="0.35">
      <c r="A486" s="38"/>
      <c r="C486" s="39"/>
    </row>
    <row r="487" spans="1:3" ht="15.75" customHeight="1" x14ac:dyDescent="0.35">
      <c r="A487" s="38"/>
      <c r="C487" s="39"/>
    </row>
    <row r="488" spans="1:3" ht="15.75" customHeight="1" x14ac:dyDescent="0.35">
      <c r="A488" s="38"/>
      <c r="C488" s="39"/>
    </row>
    <row r="489" spans="1:3" ht="15.75" customHeight="1" x14ac:dyDescent="0.35">
      <c r="A489" s="38"/>
      <c r="C489" s="39"/>
    </row>
    <row r="490" spans="1:3" ht="15.75" customHeight="1" x14ac:dyDescent="0.35">
      <c r="A490" s="38"/>
      <c r="C490" s="39"/>
    </row>
    <row r="491" spans="1:3" ht="15.75" customHeight="1" x14ac:dyDescent="0.35">
      <c r="A491" s="38"/>
      <c r="C491" s="39"/>
    </row>
    <row r="492" spans="1:3" ht="15.75" customHeight="1" x14ac:dyDescent="0.35">
      <c r="A492" s="38"/>
      <c r="C492" s="39"/>
    </row>
    <row r="493" spans="1:3" ht="15.75" customHeight="1" x14ac:dyDescent="0.35">
      <c r="A493" s="38"/>
      <c r="C493" s="39"/>
    </row>
    <row r="494" spans="1:3" ht="15.75" customHeight="1" x14ac:dyDescent="0.35">
      <c r="A494" s="38"/>
      <c r="C494" s="39"/>
    </row>
    <row r="495" spans="1:3" ht="15.75" customHeight="1" x14ac:dyDescent="0.35">
      <c r="A495" s="38"/>
      <c r="C495" s="39"/>
    </row>
    <row r="496" spans="1:3" ht="15.75" customHeight="1" x14ac:dyDescent="0.35">
      <c r="A496" s="38"/>
      <c r="C496" s="39"/>
    </row>
    <row r="497" spans="1:3" ht="15.75" customHeight="1" x14ac:dyDescent="0.35">
      <c r="A497" s="38"/>
      <c r="C497" s="39"/>
    </row>
    <row r="498" spans="1:3" ht="15.75" customHeight="1" x14ac:dyDescent="0.35">
      <c r="A498" s="38"/>
      <c r="C498" s="39"/>
    </row>
    <row r="499" spans="1:3" ht="15.75" customHeight="1" x14ac:dyDescent="0.35">
      <c r="A499" s="38"/>
      <c r="C499" s="39"/>
    </row>
    <row r="500" spans="1:3" ht="15.75" customHeight="1" x14ac:dyDescent="0.35">
      <c r="A500" s="38"/>
      <c r="C500" s="39"/>
    </row>
    <row r="501" spans="1:3" ht="15.75" customHeight="1" x14ac:dyDescent="0.35">
      <c r="A501" s="38"/>
      <c r="C501" s="39"/>
    </row>
    <row r="502" spans="1:3" ht="15.75" customHeight="1" x14ac:dyDescent="0.35">
      <c r="A502" s="38"/>
      <c r="C502" s="39"/>
    </row>
    <row r="503" spans="1:3" ht="15.75" customHeight="1" x14ac:dyDescent="0.35">
      <c r="A503" s="38"/>
      <c r="C503" s="39"/>
    </row>
    <row r="504" spans="1:3" ht="15.75" customHeight="1" x14ac:dyDescent="0.35">
      <c r="A504" s="38"/>
      <c r="C504" s="39"/>
    </row>
    <row r="505" spans="1:3" ht="15.75" customHeight="1" x14ac:dyDescent="0.35">
      <c r="A505" s="38"/>
      <c r="C505" s="39"/>
    </row>
    <row r="506" spans="1:3" ht="15.75" customHeight="1" x14ac:dyDescent="0.35">
      <c r="A506" s="38"/>
      <c r="C506" s="39"/>
    </row>
    <row r="507" spans="1:3" ht="15.75" customHeight="1" x14ac:dyDescent="0.35">
      <c r="A507" s="38"/>
      <c r="C507" s="39"/>
    </row>
    <row r="508" spans="1:3" ht="15.75" customHeight="1" x14ac:dyDescent="0.35">
      <c r="A508" s="38"/>
      <c r="C508" s="39"/>
    </row>
    <row r="509" spans="1:3" ht="15.75" customHeight="1" x14ac:dyDescent="0.35">
      <c r="A509" s="38"/>
      <c r="C509" s="39"/>
    </row>
    <row r="510" spans="1:3" ht="15.75" customHeight="1" x14ac:dyDescent="0.35">
      <c r="A510" s="38"/>
      <c r="C510" s="39"/>
    </row>
    <row r="511" spans="1:3" ht="15.75" customHeight="1" x14ac:dyDescent="0.35">
      <c r="A511" s="38"/>
      <c r="C511" s="39"/>
    </row>
    <row r="512" spans="1:3" ht="15.75" customHeight="1" x14ac:dyDescent="0.35">
      <c r="A512" s="38"/>
      <c r="C512" s="39"/>
    </row>
    <row r="513" spans="1:3" ht="15.75" customHeight="1" x14ac:dyDescent="0.35">
      <c r="A513" s="38"/>
      <c r="C513" s="39"/>
    </row>
    <row r="514" spans="1:3" ht="15.75" customHeight="1" x14ac:dyDescent="0.35">
      <c r="A514" s="38"/>
      <c r="C514" s="39"/>
    </row>
    <row r="515" spans="1:3" ht="15.75" customHeight="1" x14ac:dyDescent="0.35">
      <c r="A515" s="38"/>
      <c r="C515" s="39"/>
    </row>
    <row r="516" spans="1:3" ht="15.75" customHeight="1" x14ac:dyDescent="0.35">
      <c r="A516" s="38"/>
      <c r="C516" s="39"/>
    </row>
    <row r="517" spans="1:3" ht="15.75" customHeight="1" x14ac:dyDescent="0.35">
      <c r="A517" s="38"/>
      <c r="C517" s="39"/>
    </row>
    <row r="518" spans="1:3" ht="15.75" customHeight="1" x14ac:dyDescent="0.35">
      <c r="A518" s="38"/>
      <c r="C518" s="39"/>
    </row>
    <row r="519" spans="1:3" ht="15.75" customHeight="1" x14ac:dyDescent="0.35">
      <c r="A519" s="38"/>
      <c r="C519" s="39"/>
    </row>
    <row r="520" spans="1:3" ht="15.75" customHeight="1" x14ac:dyDescent="0.35">
      <c r="A520" s="38"/>
      <c r="C520" s="39"/>
    </row>
    <row r="521" spans="1:3" ht="15.75" customHeight="1" x14ac:dyDescent="0.35">
      <c r="A521" s="38"/>
      <c r="C521" s="39"/>
    </row>
    <row r="522" spans="1:3" ht="15.75" customHeight="1" x14ac:dyDescent="0.35">
      <c r="A522" s="38"/>
      <c r="C522" s="39"/>
    </row>
    <row r="523" spans="1:3" ht="15.75" customHeight="1" x14ac:dyDescent="0.35">
      <c r="A523" s="38"/>
      <c r="C523" s="39"/>
    </row>
    <row r="524" spans="1:3" ht="15.75" customHeight="1" x14ac:dyDescent="0.35">
      <c r="A524" s="38"/>
      <c r="C524" s="39"/>
    </row>
    <row r="525" spans="1:3" ht="15.75" customHeight="1" x14ac:dyDescent="0.35">
      <c r="A525" s="38"/>
      <c r="C525" s="39"/>
    </row>
    <row r="526" spans="1:3" ht="15.75" customHeight="1" x14ac:dyDescent="0.35">
      <c r="A526" s="38"/>
      <c r="C526" s="39"/>
    </row>
    <row r="527" spans="1:3" ht="15.75" customHeight="1" x14ac:dyDescent="0.35">
      <c r="A527" s="38"/>
      <c r="C527" s="39"/>
    </row>
    <row r="528" spans="1:3" ht="15.75" customHeight="1" x14ac:dyDescent="0.35">
      <c r="A528" s="38"/>
      <c r="C528" s="39"/>
    </row>
    <row r="529" spans="1:3" ht="15.75" customHeight="1" x14ac:dyDescent="0.35">
      <c r="A529" s="38"/>
      <c r="C529" s="39"/>
    </row>
    <row r="530" spans="1:3" ht="15.75" customHeight="1" x14ac:dyDescent="0.35">
      <c r="A530" s="38"/>
      <c r="C530" s="39"/>
    </row>
    <row r="531" spans="1:3" ht="15.75" customHeight="1" x14ac:dyDescent="0.35">
      <c r="A531" s="38"/>
      <c r="C531" s="39"/>
    </row>
    <row r="532" spans="1:3" ht="15.75" customHeight="1" x14ac:dyDescent="0.35">
      <c r="A532" s="38"/>
      <c r="C532" s="39"/>
    </row>
    <row r="533" spans="1:3" ht="15.75" customHeight="1" x14ac:dyDescent="0.35">
      <c r="A533" s="38"/>
      <c r="C533" s="39"/>
    </row>
    <row r="534" spans="1:3" ht="15.75" customHeight="1" x14ac:dyDescent="0.35">
      <c r="A534" s="38"/>
      <c r="C534" s="39"/>
    </row>
    <row r="535" spans="1:3" ht="15.75" customHeight="1" x14ac:dyDescent="0.35">
      <c r="A535" s="38"/>
      <c r="C535" s="39"/>
    </row>
    <row r="536" spans="1:3" ht="15.75" customHeight="1" x14ac:dyDescent="0.35">
      <c r="A536" s="38"/>
      <c r="C536" s="39"/>
    </row>
    <row r="537" spans="1:3" ht="15.75" customHeight="1" x14ac:dyDescent="0.35">
      <c r="A537" s="38"/>
      <c r="C537" s="39"/>
    </row>
    <row r="538" spans="1:3" ht="15.75" customHeight="1" x14ac:dyDescent="0.35">
      <c r="A538" s="38"/>
      <c r="C538" s="39"/>
    </row>
    <row r="539" spans="1:3" ht="15.75" customHeight="1" x14ac:dyDescent="0.35">
      <c r="A539" s="38"/>
      <c r="C539" s="39"/>
    </row>
    <row r="540" spans="1:3" ht="15.75" customHeight="1" x14ac:dyDescent="0.35">
      <c r="A540" s="38"/>
      <c r="C540" s="39"/>
    </row>
    <row r="541" spans="1:3" ht="15.75" customHeight="1" x14ac:dyDescent="0.35">
      <c r="A541" s="38"/>
      <c r="C541" s="39"/>
    </row>
    <row r="542" spans="1:3" ht="15.75" customHeight="1" x14ac:dyDescent="0.35">
      <c r="A542" s="38"/>
      <c r="C542" s="39"/>
    </row>
    <row r="543" spans="1:3" ht="15.75" customHeight="1" x14ac:dyDescent="0.35">
      <c r="A543" s="38"/>
      <c r="C543" s="39"/>
    </row>
    <row r="544" spans="1:3" ht="15.75" customHeight="1" x14ac:dyDescent="0.35">
      <c r="A544" s="38"/>
      <c r="C544" s="39"/>
    </row>
    <row r="545" spans="1:3" ht="15.75" customHeight="1" x14ac:dyDescent="0.35">
      <c r="A545" s="38"/>
      <c r="C545" s="39"/>
    </row>
    <row r="546" spans="1:3" ht="15.75" customHeight="1" x14ac:dyDescent="0.35">
      <c r="A546" s="38"/>
      <c r="C546" s="39"/>
    </row>
    <row r="547" spans="1:3" ht="15.75" customHeight="1" x14ac:dyDescent="0.35">
      <c r="A547" s="38"/>
      <c r="C547" s="39"/>
    </row>
    <row r="548" spans="1:3" ht="15.75" customHeight="1" x14ac:dyDescent="0.35">
      <c r="A548" s="38"/>
      <c r="C548" s="39"/>
    </row>
    <row r="549" spans="1:3" ht="15.75" customHeight="1" x14ac:dyDescent="0.35">
      <c r="A549" s="38"/>
      <c r="C549" s="39"/>
    </row>
    <row r="550" spans="1:3" ht="15.75" customHeight="1" x14ac:dyDescent="0.35">
      <c r="A550" s="38"/>
      <c r="C550" s="39"/>
    </row>
    <row r="551" spans="1:3" ht="15.75" customHeight="1" x14ac:dyDescent="0.35">
      <c r="A551" s="38"/>
      <c r="C551" s="39"/>
    </row>
    <row r="552" spans="1:3" ht="15.75" customHeight="1" x14ac:dyDescent="0.35">
      <c r="A552" s="38"/>
      <c r="C552" s="39"/>
    </row>
    <row r="553" spans="1:3" ht="15.75" customHeight="1" x14ac:dyDescent="0.35">
      <c r="A553" s="38"/>
      <c r="C553" s="39"/>
    </row>
    <row r="554" spans="1:3" ht="15.75" customHeight="1" x14ac:dyDescent="0.35">
      <c r="A554" s="38"/>
      <c r="C554" s="39"/>
    </row>
    <row r="555" spans="1:3" ht="15.75" customHeight="1" x14ac:dyDescent="0.35">
      <c r="A555" s="38"/>
      <c r="C555" s="39"/>
    </row>
    <row r="556" spans="1:3" ht="15.75" customHeight="1" x14ac:dyDescent="0.35">
      <c r="A556" s="38"/>
      <c r="C556" s="39"/>
    </row>
    <row r="557" spans="1:3" ht="15.75" customHeight="1" x14ac:dyDescent="0.35">
      <c r="A557" s="38"/>
      <c r="C557" s="39"/>
    </row>
    <row r="558" spans="1:3" ht="15.75" customHeight="1" x14ac:dyDescent="0.35">
      <c r="A558" s="38"/>
      <c r="C558" s="39"/>
    </row>
    <row r="559" spans="1:3" ht="15.75" customHeight="1" x14ac:dyDescent="0.35">
      <c r="A559" s="38"/>
      <c r="C559" s="39"/>
    </row>
    <row r="560" spans="1:3" ht="15.75" customHeight="1" x14ac:dyDescent="0.35">
      <c r="A560" s="38"/>
      <c r="C560" s="39"/>
    </row>
    <row r="561" spans="1:3" ht="15.75" customHeight="1" x14ac:dyDescent="0.35">
      <c r="A561" s="38"/>
      <c r="C561" s="39"/>
    </row>
    <row r="562" spans="1:3" ht="15.75" customHeight="1" x14ac:dyDescent="0.35">
      <c r="A562" s="38"/>
      <c r="C562" s="39"/>
    </row>
    <row r="563" spans="1:3" ht="15.75" customHeight="1" x14ac:dyDescent="0.35">
      <c r="A563" s="38"/>
      <c r="C563" s="39"/>
    </row>
    <row r="564" spans="1:3" ht="15.75" customHeight="1" x14ac:dyDescent="0.35">
      <c r="A564" s="38"/>
      <c r="C564" s="39"/>
    </row>
    <row r="565" spans="1:3" ht="15.75" customHeight="1" x14ac:dyDescent="0.35">
      <c r="A565" s="38"/>
      <c r="C565" s="39"/>
    </row>
    <row r="566" spans="1:3" ht="15.75" customHeight="1" x14ac:dyDescent="0.35">
      <c r="A566" s="38"/>
      <c r="C566" s="39"/>
    </row>
    <row r="567" spans="1:3" ht="15.75" customHeight="1" x14ac:dyDescent="0.35">
      <c r="A567" s="38"/>
      <c r="C567" s="39"/>
    </row>
    <row r="568" spans="1:3" ht="15.75" customHeight="1" x14ac:dyDescent="0.35">
      <c r="A568" s="38"/>
      <c r="C568" s="39"/>
    </row>
    <row r="569" spans="1:3" ht="15.75" customHeight="1" x14ac:dyDescent="0.35">
      <c r="A569" s="38"/>
      <c r="C569" s="39"/>
    </row>
    <row r="570" spans="1:3" ht="15.75" customHeight="1" x14ac:dyDescent="0.35">
      <c r="A570" s="38"/>
      <c r="C570" s="39"/>
    </row>
    <row r="571" spans="1:3" ht="15.75" customHeight="1" x14ac:dyDescent="0.35">
      <c r="A571" s="38"/>
      <c r="C571" s="39"/>
    </row>
    <row r="572" spans="1:3" ht="15.75" customHeight="1" x14ac:dyDescent="0.35">
      <c r="A572" s="38"/>
      <c r="C572" s="39"/>
    </row>
    <row r="573" spans="1:3" ht="15.75" customHeight="1" x14ac:dyDescent="0.35">
      <c r="A573" s="38"/>
      <c r="C573" s="39"/>
    </row>
    <row r="574" spans="1:3" ht="15.75" customHeight="1" x14ac:dyDescent="0.35">
      <c r="A574" s="38"/>
      <c r="C574" s="39"/>
    </row>
    <row r="575" spans="1:3" ht="15.75" customHeight="1" x14ac:dyDescent="0.35">
      <c r="A575" s="38"/>
      <c r="C575" s="39"/>
    </row>
    <row r="576" spans="1:3" ht="15.75" customHeight="1" x14ac:dyDescent="0.35">
      <c r="A576" s="38"/>
      <c r="C576" s="39"/>
    </row>
    <row r="577" spans="1:3" ht="15.75" customHeight="1" x14ac:dyDescent="0.35">
      <c r="A577" s="38"/>
      <c r="C577" s="39"/>
    </row>
    <row r="578" spans="1:3" ht="15.75" customHeight="1" x14ac:dyDescent="0.35">
      <c r="A578" s="38"/>
      <c r="C578" s="39"/>
    </row>
    <row r="579" spans="1:3" ht="15.75" customHeight="1" x14ac:dyDescent="0.35">
      <c r="A579" s="38"/>
      <c r="C579" s="39"/>
    </row>
    <row r="580" spans="1:3" ht="15.75" customHeight="1" x14ac:dyDescent="0.35">
      <c r="A580" s="38"/>
      <c r="C580" s="39"/>
    </row>
    <row r="581" spans="1:3" ht="15.75" customHeight="1" x14ac:dyDescent="0.35">
      <c r="A581" s="38"/>
      <c r="C581" s="39"/>
    </row>
    <row r="582" spans="1:3" ht="15.75" customHeight="1" x14ac:dyDescent="0.35">
      <c r="A582" s="38"/>
      <c r="C582" s="39"/>
    </row>
    <row r="583" spans="1:3" ht="15.75" customHeight="1" x14ac:dyDescent="0.35">
      <c r="A583" s="38"/>
      <c r="C583" s="39"/>
    </row>
    <row r="584" spans="1:3" ht="15.75" customHeight="1" x14ac:dyDescent="0.35">
      <c r="A584" s="38"/>
      <c r="C584" s="39"/>
    </row>
    <row r="585" spans="1:3" ht="15.75" customHeight="1" x14ac:dyDescent="0.35">
      <c r="A585" s="38"/>
      <c r="C585" s="39"/>
    </row>
    <row r="586" spans="1:3" ht="15.75" customHeight="1" x14ac:dyDescent="0.35">
      <c r="A586" s="38"/>
      <c r="C586" s="39"/>
    </row>
    <row r="587" spans="1:3" ht="15.75" customHeight="1" x14ac:dyDescent="0.35">
      <c r="A587" s="38"/>
      <c r="C587" s="39"/>
    </row>
    <row r="588" spans="1:3" ht="15.75" customHeight="1" x14ac:dyDescent="0.35">
      <c r="A588" s="38"/>
      <c r="C588" s="39"/>
    </row>
    <row r="589" spans="1:3" ht="15.75" customHeight="1" x14ac:dyDescent="0.35">
      <c r="A589" s="38"/>
      <c r="C589" s="39"/>
    </row>
    <row r="590" spans="1:3" ht="15.75" customHeight="1" x14ac:dyDescent="0.35">
      <c r="A590" s="38"/>
      <c r="C590" s="39"/>
    </row>
    <row r="591" spans="1:3" ht="15.75" customHeight="1" x14ac:dyDescent="0.35">
      <c r="A591" s="38"/>
      <c r="C591" s="39"/>
    </row>
    <row r="592" spans="1:3" ht="15.75" customHeight="1" x14ac:dyDescent="0.35">
      <c r="A592" s="38"/>
      <c r="C592" s="39"/>
    </row>
    <row r="593" spans="1:3" ht="15.75" customHeight="1" x14ac:dyDescent="0.35">
      <c r="A593" s="38"/>
      <c r="C593" s="39"/>
    </row>
    <row r="594" spans="1:3" ht="15.75" customHeight="1" x14ac:dyDescent="0.35">
      <c r="A594" s="38"/>
      <c r="C594" s="39"/>
    </row>
    <row r="595" spans="1:3" ht="15.75" customHeight="1" x14ac:dyDescent="0.35">
      <c r="A595" s="38"/>
      <c r="C595" s="39"/>
    </row>
    <row r="596" spans="1:3" ht="15.75" customHeight="1" x14ac:dyDescent="0.35">
      <c r="A596" s="38"/>
      <c r="C596" s="39"/>
    </row>
    <row r="597" spans="1:3" ht="15.75" customHeight="1" x14ac:dyDescent="0.35">
      <c r="A597" s="38"/>
      <c r="C597" s="39"/>
    </row>
    <row r="598" spans="1:3" ht="15.75" customHeight="1" x14ac:dyDescent="0.35">
      <c r="A598" s="38"/>
      <c r="C598" s="39"/>
    </row>
    <row r="599" spans="1:3" ht="15.75" customHeight="1" x14ac:dyDescent="0.35">
      <c r="A599" s="38"/>
      <c r="C599" s="39"/>
    </row>
    <row r="600" spans="1:3" ht="15.75" customHeight="1" x14ac:dyDescent="0.35">
      <c r="A600" s="38"/>
      <c r="C600" s="39"/>
    </row>
    <row r="601" spans="1:3" ht="15.75" customHeight="1" x14ac:dyDescent="0.35">
      <c r="A601" s="38"/>
      <c r="C601" s="39"/>
    </row>
    <row r="602" spans="1:3" ht="15.75" customHeight="1" x14ac:dyDescent="0.35">
      <c r="A602" s="38"/>
      <c r="C602" s="39"/>
    </row>
    <row r="603" spans="1:3" ht="15.75" customHeight="1" x14ac:dyDescent="0.35">
      <c r="A603" s="38"/>
      <c r="C603" s="39"/>
    </row>
    <row r="604" spans="1:3" ht="15.75" customHeight="1" x14ac:dyDescent="0.35">
      <c r="A604" s="38"/>
      <c r="C604" s="39"/>
    </row>
    <row r="605" spans="1:3" ht="15.75" customHeight="1" x14ac:dyDescent="0.35">
      <c r="A605" s="38"/>
      <c r="C605" s="39"/>
    </row>
    <row r="606" spans="1:3" ht="15.75" customHeight="1" x14ac:dyDescent="0.35">
      <c r="A606" s="38"/>
      <c r="C606" s="39"/>
    </row>
    <row r="607" spans="1:3" ht="15.75" customHeight="1" x14ac:dyDescent="0.35">
      <c r="A607" s="38"/>
      <c r="C607" s="39"/>
    </row>
    <row r="608" spans="1:3" ht="15.75" customHeight="1" x14ac:dyDescent="0.35">
      <c r="A608" s="38"/>
      <c r="C608" s="39"/>
    </row>
    <row r="609" spans="1:3" ht="15.75" customHeight="1" x14ac:dyDescent="0.35">
      <c r="A609" s="38"/>
      <c r="C609" s="39"/>
    </row>
    <row r="610" spans="1:3" ht="15.75" customHeight="1" x14ac:dyDescent="0.35">
      <c r="A610" s="38"/>
      <c r="C610" s="39"/>
    </row>
    <row r="611" spans="1:3" ht="15.75" customHeight="1" x14ac:dyDescent="0.35">
      <c r="A611" s="38"/>
      <c r="C611" s="39"/>
    </row>
    <row r="612" spans="1:3" ht="15.75" customHeight="1" x14ac:dyDescent="0.35">
      <c r="A612" s="38"/>
      <c r="C612" s="39"/>
    </row>
    <row r="613" spans="1:3" ht="15.75" customHeight="1" x14ac:dyDescent="0.35">
      <c r="A613" s="38"/>
      <c r="C613" s="39"/>
    </row>
    <row r="614" spans="1:3" ht="15.75" customHeight="1" x14ac:dyDescent="0.35">
      <c r="A614" s="38"/>
      <c r="C614" s="39"/>
    </row>
    <row r="615" spans="1:3" ht="15.75" customHeight="1" x14ac:dyDescent="0.35">
      <c r="A615" s="38"/>
      <c r="C615" s="39"/>
    </row>
    <row r="616" spans="1:3" ht="15.75" customHeight="1" x14ac:dyDescent="0.35">
      <c r="A616" s="38"/>
      <c r="C616" s="39"/>
    </row>
    <row r="617" spans="1:3" ht="15.75" customHeight="1" x14ac:dyDescent="0.35">
      <c r="A617" s="38"/>
      <c r="C617" s="39"/>
    </row>
    <row r="618" spans="1:3" ht="15.75" customHeight="1" x14ac:dyDescent="0.35">
      <c r="A618" s="38"/>
      <c r="C618" s="39"/>
    </row>
    <row r="619" spans="1:3" ht="15.75" customHeight="1" x14ac:dyDescent="0.35">
      <c r="A619" s="38"/>
      <c r="C619" s="39"/>
    </row>
    <row r="620" spans="1:3" ht="15.75" customHeight="1" x14ac:dyDescent="0.35">
      <c r="A620" s="38"/>
      <c r="C620" s="39"/>
    </row>
    <row r="621" spans="1:3" ht="15.75" customHeight="1" x14ac:dyDescent="0.35">
      <c r="A621" s="38"/>
      <c r="C621" s="39"/>
    </row>
    <row r="622" spans="1:3" ht="15.75" customHeight="1" x14ac:dyDescent="0.35">
      <c r="A622" s="38"/>
      <c r="C622" s="39"/>
    </row>
    <row r="623" spans="1:3" ht="15.75" customHeight="1" x14ac:dyDescent="0.35">
      <c r="A623" s="38"/>
      <c r="C623" s="39"/>
    </row>
    <row r="624" spans="1:3" ht="15.75" customHeight="1" x14ac:dyDescent="0.35">
      <c r="A624" s="38"/>
      <c r="C624" s="39"/>
    </row>
    <row r="625" spans="1:3" ht="15.75" customHeight="1" x14ac:dyDescent="0.35">
      <c r="A625" s="38"/>
      <c r="C625" s="39"/>
    </row>
    <row r="626" spans="1:3" ht="15.75" customHeight="1" x14ac:dyDescent="0.35">
      <c r="A626" s="38"/>
      <c r="C626" s="39"/>
    </row>
    <row r="627" spans="1:3" ht="15.75" customHeight="1" x14ac:dyDescent="0.35">
      <c r="A627" s="38"/>
      <c r="C627" s="39"/>
    </row>
    <row r="628" spans="1:3" ht="15.75" customHeight="1" x14ac:dyDescent="0.35">
      <c r="A628" s="38"/>
      <c r="C628" s="39"/>
    </row>
    <row r="629" spans="1:3" ht="15.75" customHeight="1" x14ac:dyDescent="0.35">
      <c r="A629" s="38"/>
      <c r="C629" s="39"/>
    </row>
    <row r="630" spans="1:3" ht="15.75" customHeight="1" x14ac:dyDescent="0.35">
      <c r="A630" s="38"/>
      <c r="C630" s="39"/>
    </row>
    <row r="631" spans="1:3" ht="15.75" customHeight="1" x14ac:dyDescent="0.35">
      <c r="A631" s="38"/>
      <c r="C631" s="39"/>
    </row>
    <row r="632" spans="1:3" ht="15.75" customHeight="1" x14ac:dyDescent="0.35">
      <c r="A632" s="38"/>
      <c r="C632" s="39"/>
    </row>
    <row r="633" spans="1:3" ht="15.75" customHeight="1" x14ac:dyDescent="0.35">
      <c r="A633" s="38"/>
      <c r="C633" s="39"/>
    </row>
    <row r="634" spans="1:3" ht="15.75" customHeight="1" x14ac:dyDescent="0.35">
      <c r="A634" s="38"/>
      <c r="C634" s="39"/>
    </row>
    <row r="635" spans="1:3" ht="15.75" customHeight="1" x14ac:dyDescent="0.35">
      <c r="A635" s="38"/>
      <c r="C635" s="39"/>
    </row>
    <row r="636" spans="1:3" ht="15.75" customHeight="1" x14ac:dyDescent="0.35">
      <c r="A636" s="38"/>
      <c r="C636" s="39"/>
    </row>
    <row r="637" spans="1:3" ht="15.75" customHeight="1" x14ac:dyDescent="0.35">
      <c r="A637" s="38"/>
      <c r="C637" s="39"/>
    </row>
    <row r="638" spans="1:3" ht="15.75" customHeight="1" x14ac:dyDescent="0.35">
      <c r="A638" s="38"/>
      <c r="C638" s="39"/>
    </row>
    <row r="639" spans="1:3" ht="15.75" customHeight="1" x14ac:dyDescent="0.35">
      <c r="A639" s="38"/>
      <c r="C639" s="39"/>
    </row>
    <row r="640" spans="1:3" ht="15.75" customHeight="1" x14ac:dyDescent="0.35">
      <c r="A640" s="38"/>
      <c r="C640" s="39"/>
    </row>
    <row r="641" spans="1:3" ht="15.75" customHeight="1" x14ac:dyDescent="0.35">
      <c r="A641" s="38"/>
      <c r="C641" s="39"/>
    </row>
    <row r="642" spans="1:3" ht="15.75" customHeight="1" x14ac:dyDescent="0.35">
      <c r="A642" s="38"/>
      <c r="C642" s="39"/>
    </row>
    <row r="643" spans="1:3" ht="15.75" customHeight="1" x14ac:dyDescent="0.35">
      <c r="A643" s="38"/>
      <c r="C643" s="39"/>
    </row>
    <row r="644" spans="1:3" ht="15.75" customHeight="1" x14ac:dyDescent="0.35">
      <c r="A644" s="38"/>
      <c r="C644" s="39"/>
    </row>
    <row r="645" spans="1:3" ht="15.75" customHeight="1" x14ac:dyDescent="0.35">
      <c r="A645" s="38"/>
      <c r="C645" s="39"/>
    </row>
    <row r="646" spans="1:3" ht="15.75" customHeight="1" x14ac:dyDescent="0.35">
      <c r="A646" s="38"/>
      <c r="C646" s="39"/>
    </row>
    <row r="647" spans="1:3" ht="15.75" customHeight="1" x14ac:dyDescent="0.35">
      <c r="A647" s="38"/>
      <c r="C647" s="39"/>
    </row>
    <row r="648" spans="1:3" ht="15.75" customHeight="1" x14ac:dyDescent="0.35">
      <c r="A648" s="38"/>
      <c r="C648" s="39"/>
    </row>
    <row r="649" spans="1:3" ht="15.75" customHeight="1" x14ac:dyDescent="0.35">
      <c r="A649" s="38"/>
      <c r="C649" s="39"/>
    </row>
    <row r="650" spans="1:3" ht="15.75" customHeight="1" x14ac:dyDescent="0.35">
      <c r="A650" s="38"/>
      <c r="C650" s="39"/>
    </row>
    <row r="651" spans="1:3" ht="15.75" customHeight="1" x14ac:dyDescent="0.35">
      <c r="A651" s="38"/>
      <c r="C651" s="39"/>
    </row>
    <row r="652" spans="1:3" ht="15.75" customHeight="1" x14ac:dyDescent="0.35">
      <c r="A652" s="38"/>
      <c r="C652" s="39"/>
    </row>
    <row r="653" spans="1:3" ht="15.75" customHeight="1" x14ac:dyDescent="0.35">
      <c r="A653" s="38"/>
      <c r="C653" s="39"/>
    </row>
    <row r="654" spans="1:3" ht="15.75" customHeight="1" x14ac:dyDescent="0.35">
      <c r="A654" s="38"/>
      <c r="C654" s="39"/>
    </row>
    <row r="655" spans="1:3" ht="15.75" customHeight="1" x14ac:dyDescent="0.35">
      <c r="A655" s="38"/>
      <c r="C655" s="39"/>
    </row>
    <row r="656" spans="1:3" ht="15.75" customHeight="1" x14ac:dyDescent="0.35">
      <c r="A656" s="38"/>
      <c r="C656" s="39"/>
    </row>
    <row r="657" spans="1:3" ht="15.75" customHeight="1" x14ac:dyDescent="0.35">
      <c r="A657" s="38"/>
      <c r="C657" s="39"/>
    </row>
    <row r="658" spans="1:3" ht="15.75" customHeight="1" x14ac:dyDescent="0.35">
      <c r="A658" s="38"/>
      <c r="C658" s="39"/>
    </row>
    <row r="659" spans="1:3" ht="15.75" customHeight="1" x14ac:dyDescent="0.35">
      <c r="A659" s="38"/>
      <c r="C659" s="39"/>
    </row>
    <row r="660" spans="1:3" ht="15.75" customHeight="1" x14ac:dyDescent="0.35">
      <c r="A660" s="38"/>
      <c r="C660" s="39"/>
    </row>
    <row r="661" spans="1:3" ht="15.75" customHeight="1" x14ac:dyDescent="0.35">
      <c r="A661" s="38"/>
      <c r="C661" s="39"/>
    </row>
    <row r="662" spans="1:3" ht="15.75" customHeight="1" x14ac:dyDescent="0.35">
      <c r="A662" s="38"/>
      <c r="C662" s="39"/>
    </row>
    <row r="663" spans="1:3" ht="15.75" customHeight="1" x14ac:dyDescent="0.35">
      <c r="A663" s="38"/>
      <c r="C663" s="39"/>
    </row>
    <row r="664" spans="1:3" ht="15.75" customHeight="1" x14ac:dyDescent="0.35">
      <c r="A664" s="38"/>
      <c r="C664" s="39"/>
    </row>
    <row r="665" spans="1:3" ht="15.75" customHeight="1" x14ac:dyDescent="0.35">
      <c r="A665" s="38"/>
      <c r="C665" s="39"/>
    </row>
    <row r="666" spans="1:3" ht="15.75" customHeight="1" x14ac:dyDescent="0.35">
      <c r="A666" s="38"/>
      <c r="C666" s="39"/>
    </row>
    <row r="667" spans="1:3" ht="15.75" customHeight="1" x14ac:dyDescent="0.35">
      <c r="A667" s="38"/>
      <c r="C667" s="39"/>
    </row>
    <row r="668" spans="1:3" ht="15.75" customHeight="1" x14ac:dyDescent="0.35">
      <c r="A668" s="38"/>
      <c r="C668" s="39"/>
    </row>
    <row r="669" spans="1:3" ht="15.75" customHeight="1" x14ac:dyDescent="0.35">
      <c r="A669" s="38"/>
      <c r="C669" s="39"/>
    </row>
    <row r="670" spans="1:3" ht="15.75" customHeight="1" x14ac:dyDescent="0.35">
      <c r="A670" s="38"/>
      <c r="C670" s="39"/>
    </row>
    <row r="671" spans="1:3" ht="15.75" customHeight="1" x14ac:dyDescent="0.35">
      <c r="A671" s="38"/>
      <c r="C671" s="39"/>
    </row>
    <row r="672" spans="1:3" ht="15.75" customHeight="1" x14ac:dyDescent="0.35">
      <c r="A672" s="38"/>
      <c r="C672" s="39"/>
    </row>
    <row r="673" spans="1:3" ht="15.75" customHeight="1" x14ac:dyDescent="0.35">
      <c r="A673" s="38"/>
      <c r="C673" s="39"/>
    </row>
    <row r="674" spans="1:3" ht="15.75" customHeight="1" x14ac:dyDescent="0.35">
      <c r="A674" s="38"/>
      <c r="C674" s="39"/>
    </row>
    <row r="675" spans="1:3" ht="15.75" customHeight="1" x14ac:dyDescent="0.35">
      <c r="A675" s="38"/>
      <c r="C675" s="39"/>
    </row>
    <row r="676" spans="1:3" ht="15.75" customHeight="1" x14ac:dyDescent="0.35">
      <c r="A676" s="38"/>
      <c r="C676" s="39"/>
    </row>
    <row r="677" spans="1:3" ht="15.75" customHeight="1" x14ac:dyDescent="0.35">
      <c r="A677" s="38"/>
      <c r="C677" s="39"/>
    </row>
    <row r="678" spans="1:3" ht="15.75" customHeight="1" x14ac:dyDescent="0.35">
      <c r="A678" s="38"/>
      <c r="C678" s="39"/>
    </row>
    <row r="679" spans="1:3" ht="15.75" customHeight="1" x14ac:dyDescent="0.35">
      <c r="A679" s="38"/>
      <c r="C679" s="39"/>
    </row>
    <row r="680" spans="1:3" ht="15.75" customHeight="1" x14ac:dyDescent="0.35">
      <c r="A680" s="38"/>
      <c r="C680" s="39"/>
    </row>
    <row r="681" spans="1:3" ht="15.75" customHeight="1" x14ac:dyDescent="0.35">
      <c r="A681" s="38"/>
      <c r="C681" s="39"/>
    </row>
    <row r="682" spans="1:3" ht="15.75" customHeight="1" x14ac:dyDescent="0.35">
      <c r="A682" s="38"/>
      <c r="C682" s="39"/>
    </row>
    <row r="683" spans="1:3" ht="15.75" customHeight="1" x14ac:dyDescent="0.35">
      <c r="A683" s="38"/>
      <c r="C683" s="39"/>
    </row>
    <row r="684" spans="1:3" ht="15.75" customHeight="1" x14ac:dyDescent="0.35">
      <c r="A684" s="38"/>
      <c r="C684" s="39"/>
    </row>
    <row r="685" spans="1:3" ht="15.75" customHeight="1" x14ac:dyDescent="0.35">
      <c r="A685" s="38"/>
      <c r="C685" s="39"/>
    </row>
    <row r="686" spans="1:3" ht="15.75" customHeight="1" x14ac:dyDescent="0.35">
      <c r="A686" s="38"/>
      <c r="C686" s="39"/>
    </row>
    <row r="687" spans="1:3" ht="15.75" customHeight="1" x14ac:dyDescent="0.35">
      <c r="A687" s="38"/>
      <c r="C687" s="39"/>
    </row>
    <row r="688" spans="1:3" ht="15.75" customHeight="1" x14ac:dyDescent="0.35">
      <c r="A688" s="38"/>
      <c r="C688" s="39"/>
    </row>
    <row r="689" spans="1:3" ht="15.75" customHeight="1" x14ac:dyDescent="0.35">
      <c r="A689" s="38"/>
      <c r="C689" s="39"/>
    </row>
    <row r="690" spans="1:3" ht="15.75" customHeight="1" x14ac:dyDescent="0.35">
      <c r="A690" s="38"/>
      <c r="C690" s="39"/>
    </row>
    <row r="691" spans="1:3" ht="15.75" customHeight="1" x14ac:dyDescent="0.35">
      <c r="A691" s="38"/>
      <c r="C691" s="39"/>
    </row>
    <row r="692" spans="1:3" ht="15.75" customHeight="1" x14ac:dyDescent="0.35">
      <c r="A692" s="38"/>
      <c r="C692" s="39"/>
    </row>
    <row r="693" spans="1:3" ht="15.75" customHeight="1" x14ac:dyDescent="0.35">
      <c r="A693" s="38"/>
      <c r="C693" s="39"/>
    </row>
    <row r="694" spans="1:3" ht="15.75" customHeight="1" x14ac:dyDescent="0.35">
      <c r="A694" s="38"/>
      <c r="C694" s="39"/>
    </row>
    <row r="695" spans="1:3" ht="15.75" customHeight="1" x14ac:dyDescent="0.35">
      <c r="A695" s="38"/>
      <c r="C695" s="39"/>
    </row>
    <row r="696" spans="1:3" ht="15.75" customHeight="1" x14ac:dyDescent="0.35">
      <c r="A696" s="38"/>
      <c r="C696" s="39"/>
    </row>
    <row r="697" spans="1:3" ht="15.75" customHeight="1" x14ac:dyDescent="0.35">
      <c r="A697" s="38"/>
      <c r="C697" s="39"/>
    </row>
    <row r="698" spans="1:3" ht="15.75" customHeight="1" x14ac:dyDescent="0.35">
      <c r="A698" s="38"/>
      <c r="C698" s="39"/>
    </row>
    <row r="699" spans="1:3" ht="15.75" customHeight="1" x14ac:dyDescent="0.35">
      <c r="A699" s="38"/>
      <c r="C699" s="39"/>
    </row>
    <row r="700" spans="1:3" ht="15.75" customHeight="1" x14ac:dyDescent="0.35">
      <c r="A700" s="38"/>
      <c r="C700" s="39"/>
    </row>
    <row r="701" spans="1:3" ht="15.75" customHeight="1" x14ac:dyDescent="0.35">
      <c r="A701" s="38"/>
      <c r="C701" s="39"/>
    </row>
    <row r="702" spans="1:3" ht="15.75" customHeight="1" x14ac:dyDescent="0.35">
      <c r="A702" s="38"/>
      <c r="C702" s="39"/>
    </row>
    <row r="703" spans="1:3" ht="15.75" customHeight="1" x14ac:dyDescent="0.35">
      <c r="A703" s="38"/>
      <c r="C703" s="39"/>
    </row>
    <row r="704" spans="1:3" ht="15.75" customHeight="1" x14ac:dyDescent="0.35">
      <c r="A704" s="38"/>
      <c r="C704" s="39"/>
    </row>
    <row r="705" spans="1:3" ht="15.75" customHeight="1" x14ac:dyDescent="0.35">
      <c r="A705" s="38"/>
      <c r="C705" s="39"/>
    </row>
    <row r="706" spans="1:3" ht="15.75" customHeight="1" x14ac:dyDescent="0.35">
      <c r="A706" s="38"/>
      <c r="C706" s="39"/>
    </row>
    <row r="707" spans="1:3" ht="15.75" customHeight="1" x14ac:dyDescent="0.35">
      <c r="A707" s="38"/>
      <c r="C707" s="39"/>
    </row>
    <row r="708" spans="1:3" ht="15.75" customHeight="1" x14ac:dyDescent="0.35">
      <c r="A708" s="38"/>
      <c r="C708" s="39"/>
    </row>
    <row r="709" spans="1:3" ht="15.75" customHeight="1" x14ac:dyDescent="0.35">
      <c r="A709" s="38"/>
      <c r="C709" s="39"/>
    </row>
    <row r="710" spans="1:3" ht="15.75" customHeight="1" x14ac:dyDescent="0.35">
      <c r="A710" s="38"/>
      <c r="C710" s="39"/>
    </row>
    <row r="711" spans="1:3" ht="15.75" customHeight="1" x14ac:dyDescent="0.35">
      <c r="A711" s="38"/>
      <c r="C711" s="39"/>
    </row>
    <row r="712" spans="1:3" ht="15.75" customHeight="1" x14ac:dyDescent="0.35">
      <c r="A712" s="38"/>
      <c r="C712" s="39"/>
    </row>
    <row r="713" spans="1:3" ht="15.75" customHeight="1" x14ac:dyDescent="0.35">
      <c r="A713" s="38"/>
      <c r="C713" s="39"/>
    </row>
    <row r="714" spans="1:3" ht="15.75" customHeight="1" x14ac:dyDescent="0.35">
      <c r="A714" s="38"/>
      <c r="C714" s="39"/>
    </row>
    <row r="715" spans="1:3" ht="15.75" customHeight="1" x14ac:dyDescent="0.35">
      <c r="A715" s="38"/>
      <c r="C715" s="39"/>
    </row>
    <row r="716" spans="1:3" ht="15.75" customHeight="1" x14ac:dyDescent="0.35">
      <c r="A716" s="38"/>
      <c r="C716" s="39"/>
    </row>
    <row r="717" spans="1:3" ht="15.75" customHeight="1" x14ac:dyDescent="0.35">
      <c r="A717" s="38"/>
      <c r="C717" s="39"/>
    </row>
    <row r="718" spans="1:3" ht="15.75" customHeight="1" x14ac:dyDescent="0.35">
      <c r="A718" s="38"/>
      <c r="C718" s="39"/>
    </row>
    <row r="719" spans="1:3" ht="15.75" customHeight="1" x14ac:dyDescent="0.35">
      <c r="A719" s="38"/>
      <c r="C719" s="39"/>
    </row>
    <row r="720" spans="1:3" ht="15.75" customHeight="1" x14ac:dyDescent="0.35">
      <c r="A720" s="38"/>
      <c r="C720" s="39"/>
    </row>
    <row r="721" spans="1:3" ht="15.75" customHeight="1" x14ac:dyDescent="0.35">
      <c r="A721" s="38"/>
      <c r="C721" s="39"/>
    </row>
    <row r="722" spans="1:3" ht="15.75" customHeight="1" x14ac:dyDescent="0.35">
      <c r="A722" s="38"/>
      <c r="C722" s="39"/>
    </row>
    <row r="723" spans="1:3" ht="15.75" customHeight="1" x14ac:dyDescent="0.35">
      <c r="A723" s="38"/>
      <c r="C723" s="39"/>
    </row>
    <row r="724" spans="1:3" ht="15.75" customHeight="1" x14ac:dyDescent="0.35">
      <c r="A724" s="38"/>
      <c r="C724" s="39"/>
    </row>
    <row r="725" spans="1:3" ht="15.75" customHeight="1" x14ac:dyDescent="0.35">
      <c r="A725" s="38"/>
      <c r="C725" s="39"/>
    </row>
    <row r="726" spans="1:3" ht="15.75" customHeight="1" x14ac:dyDescent="0.35">
      <c r="A726" s="38"/>
      <c r="C726" s="39"/>
    </row>
    <row r="727" spans="1:3" ht="15.75" customHeight="1" x14ac:dyDescent="0.35">
      <c r="A727" s="38"/>
      <c r="C727" s="39"/>
    </row>
    <row r="728" spans="1:3" ht="15.75" customHeight="1" x14ac:dyDescent="0.35">
      <c r="A728" s="38"/>
      <c r="C728" s="39"/>
    </row>
    <row r="729" spans="1:3" ht="15.75" customHeight="1" x14ac:dyDescent="0.35">
      <c r="A729" s="38"/>
      <c r="C729" s="39"/>
    </row>
    <row r="730" spans="1:3" ht="15.75" customHeight="1" x14ac:dyDescent="0.35">
      <c r="A730" s="38"/>
      <c r="C730" s="39"/>
    </row>
    <row r="731" spans="1:3" ht="15.75" customHeight="1" x14ac:dyDescent="0.35">
      <c r="A731" s="38"/>
      <c r="C731" s="39"/>
    </row>
    <row r="732" spans="1:3" ht="15.75" customHeight="1" x14ac:dyDescent="0.35">
      <c r="A732" s="38"/>
      <c r="C732" s="39"/>
    </row>
    <row r="733" spans="1:3" ht="15.75" customHeight="1" x14ac:dyDescent="0.35">
      <c r="A733" s="38"/>
      <c r="C733" s="39"/>
    </row>
    <row r="734" spans="1:3" ht="15.75" customHeight="1" x14ac:dyDescent="0.35">
      <c r="A734" s="38"/>
      <c r="C734" s="39"/>
    </row>
    <row r="735" spans="1:3" ht="15.75" customHeight="1" x14ac:dyDescent="0.35">
      <c r="A735" s="38"/>
      <c r="C735" s="39"/>
    </row>
    <row r="736" spans="1:3" ht="15.75" customHeight="1" x14ac:dyDescent="0.35">
      <c r="A736" s="38"/>
      <c r="C736" s="39"/>
    </row>
    <row r="737" spans="1:3" ht="15.75" customHeight="1" x14ac:dyDescent="0.35">
      <c r="A737" s="38"/>
      <c r="C737" s="39"/>
    </row>
    <row r="738" spans="1:3" ht="15.75" customHeight="1" x14ac:dyDescent="0.35">
      <c r="A738" s="38"/>
      <c r="C738" s="39"/>
    </row>
    <row r="739" spans="1:3" ht="15.75" customHeight="1" x14ac:dyDescent="0.35">
      <c r="A739" s="38"/>
      <c r="C739" s="39"/>
    </row>
    <row r="740" spans="1:3" ht="15.75" customHeight="1" x14ac:dyDescent="0.35">
      <c r="A740" s="38"/>
      <c r="C740" s="39"/>
    </row>
    <row r="741" spans="1:3" ht="15.75" customHeight="1" x14ac:dyDescent="0.35">
      <c r="A741" s="38"/>
      <c r="C741" s="39"/>
    </row>
    <row r="742" spans="1:3" ht="15.75" customHeight="1" x14ac:dyDescent="0.35">
      <c r="A742" s="38"/>
      <c r="C742" s="39"/>
    </row>
    <row r="743" spans="1:3" ht="15.75" customHeight="1" x14ac:dyDescent="0.35">
      <c r="A743" s="38"/>
      <c r="C743" s="39"/>
    </row>
    <row r="744" spans="1:3" ht="15.75" customHeight="1" x14ac:dyDescent="0.35">
      <c r="A744" s="38"/>
      <c r="C744" s="39"/>
    </row>
    <row r="745" spans="1:3" ht="15.75" customHeight="1" x14ac:dyDescent="0.35">
      <c r="A745" s="38"/>
      <c r="C745" s="39"/>
    </row>
    <row r="746" spans="1:3" ht="15.75" customHeight="1" x14ac:dyDescent="0.35">
      <c r="A746" s="38"/>
      <c r="C746" s="39"/>
    </row>
    <row r="747" spans="1:3" ht="15.75" customHeight="1" x14ac:dyDescent="0.35">
      <c r="A747" s="38"/>
      <c r="C747" s="39"/>
    </row>
    <row r="748" spans="1:3" ht="15.75" customHeight="1" x14ac:dyDescent="0.35">
      <c r="A748" s="38"/>
      <c r="C748" s="39"/>
    </row>
    <row r="749" spans="1:3" ht="15.75" customHeight="1" x14ac:dyDescent="0.35">
      <c r="A749" s="38"/>
      <c r="C749" s="39"/>
    </row>
    <row r="750" spans="1:3" ht="15.75" customHeight="1" x14ac:dyDescent="0.35">
      <c r="A750" s="38"/>
      <c r="C750" s="39"/>
    </row>
    <row r="751" spans="1:3" ht="15.75" customHeight="1" x14ac:dyDescent="0.35">
      <c r="A751" s="38"/>
      <c r="C751" s="39"/>
    </row>
    <row r="752" spans="1:3" ht="15.75" customHeight="1" x14ac:dyDescent="0.35">
      <c r="A752" s="38"/>
      <c r="C752" s="39"/>
    </row>
    <row r="753" spans="1:3" ht="15.75" customHeight="1" x14ac:dyDescent="0.35">
      <c r="A753" s="38"/>
      <c r="C753" s="39"/>
    </row>
    <row r="754" spans="1:3" ht="15.75" customHeight="1" x14ac:dyDescent="0.35">
      <c r="A754" s="38"/>
      <c r="C754" s="39"/>
    </row>
    <row r="755" spans="1:3" ht="15.75" customHeight="1" x14ac:dyDescent="0.35">
      <c r="A755" s="38"/>
      <c r="C755" s="39"/>
    </row>
    <row r="756" spans="1:3" ht="15.75" customHeight="1" x14ac:dyDescent="0.35">
      <c r="A756" s="38"/>
      <c r="C756" s="39"/>
    </row>
    <row r="757" spans="1:3" ht="15.75" customHeight="1" x14ac:dyDescent="0.35">
      <c r="A757" s="38"/>
      <c r="C757" s="39"/>
    </row>
    <row r="758" spans="1:3" ht="15.75" customHeight="1" x14ac:dyDescent="0.35">
      <c r="A758" s="38"/>
      <c r="C758" s="39"/>
    </row>
    <row r="759" spans="1:3" ht="15.75" customHeight="1" x14ac:dyDescent="0.35">
      <c r="A759" s="38"/>
      <c r="C759" s="39"/>
    </row>
    <row r="760" spans="1:3" ht="15.75" customHeight="1" x14ac:dyDescent="0.35">
      <c r="A760" s="38"/>
      <c r="C760" s="39"/>
    </row>
    <row r="761" spans="1:3" ht="15.75" customHeight="1" x14ac:dyDescent="0.35">
      <c r="A761" s="38"/>
      <c r="C761" s="39"/>
    </row>
    <row r="762" spans="1:3" ht="15.75" customHeight="1" x14ac:dyDescent="0.35">
      <c r="A762" s="38"/>
      <c r="C762" s="39"/>
    </row>
    <row r="763" spans="1:3" ht="15.75" customHeight="1" x14ac:dyDescent="0.35">
      <c r="A763" s="38"/>
      <c r="C763" s="39"/>
    </row>
    <row r="764" spans="1:3" ht="15.75" customHeight="1" x14ac:dyDescent="0.35">
      <c r="A764" s="38"/>
      <c r="C764" s="39"/>
    </row>
    <row r="765" spans="1:3" ht="15.75" customHeight="1" x14ac:dyDescent="0.35">
      <c r="A765" s="38"/>
      <c r="C765" s="39"/>
    </row>
    <row r="766" spans="1:3" ht="15.75" customHeight="1" x14ac:dyDescent="0.35">
      <c r="A766" s="38"/>
      <c r="C766" s="39"/>
    </row>
    <row r="767" spans="1:3" ht="15.75" customHeight="1" x14ac:dyDescent="0.35">
      <c r="A767" s="38"/>
      <c r="C767" s="39"/>
    </row>
    <row r="768" spans="1:3" ht="15.75" customHeight="1" x14ac:dyDescent="0.35">
      <c r="A768" s="38"/>
      <c r="C768" s="39"/>
    </row>
    <row r="769" spans="1:3" ht="15.75" customHeight="1" x14ac:dyDescent="0.35">
      <c r="A769" s="38"/>
      <c r="C769" s="39"/>
    </row>
    <row r="770" spans="1:3" ht="15.75" customHeight="1" x14ac:dyDescent="0.35">
      <c r="A770" s="38"/>
      <c r="C770" s="39"/>
    </row>
    <row r="771" spans="1:3" ht="15.75" customHeight="1" x14ac:dyDescent="0.35">
      <c r="A771" s="38"/>
      <c r="C771" s="39"/>
    </row>
    <row r="772" spans="1:3" ht="15.75" customHeight="1" x14ac:dyDescent="0.35">
      <c r="A772" s="38"/>
      <c r="C772" s="39"/>
    </row>
    <row r="773" spans="1:3" ht="15.75" customHeight="1" x14ac:dyDescent="0.35">
      <c r="A773" s="38"/>
      <c r="C773" s="39"/>
    </row>
    <row r="774" spans="1:3" ht="15.75" customHeight="1" x14ac:dyDescent="0.35">
      <c r="A774" s="38"/>
      <c r="C774" s="39"/>
    </row>
    <row r="775" spans="1:3" ht="15.75" customHeight="1" x14ac:dyDescent="0.35">
      <c r="A775" s="38"/>
      <c r="C775" s="39"/>
    </row>
    <row r="776" spans="1:3" ht="15.75" customHeight="1" x14ac:dyDescent="0.35">
      <c r="A776" s="38"/>
      <c r="C776" s="39"/>
    </row>
    <row r="777" spans="1:3" ht="15.75" customHeight="1" x14ac:dyDescent="0.35">
      <c r="A777" s="38"/>
      <c r="C777" s="39"/>
    </row>
    <row r="778" spans="1:3" ht="15.75" customHeight="1" x14ac:dyDescent="0.35">
      <c r="A778" s="38"/>
      <c r="C778" s="39"/>
    </row>
    <row r="779" spans="1:3" ht="15.75" customHeight="1" x14ac:dyDescent="0.35">
      <c r="A779" s="38"/>
      <c r="C779" s="39"/>
    </row>
    <row r="780" spans="1:3" ht="15.75" customHeight="1" x14ac:dyDescent="0.35">
      <c r="A780" s="38"/>
      <c r="C780" s="39"/>
    </row>
    <row r="781" spans="1:3" ht="15.75" customHeight="1" x14ac:dyDescent="0.35">
      <c r="A781" s="38"/>
      <c r="C781" s="39"/>
    </row>
    <row r="782" spans="1:3" ht="15.75" customHeight="1" x14ac:dyDescent="0.35">
      <c r="A782" s="38"/>
      <c r="C782" s="39"/>
    </row>
    <row r="783" spans="1:3" ht="15.75" customHeight="1" x14ac:dyDescent="0.35">
      <c r="A783" s="38"/>
      <c r="C783" s="39"/>
    </row>
    <row r="784" spans="1:3" ht="15.75" customHeight="1" x14ac:dyDescent="0.35">
      <c r="A784" s="38"/>
      <c r="C784" s="39"/>
    </row>
    <row r="785" spans="1:3" ht="15.75" customHeight="1" x14ac:dyDescent="0.35">
      <c r="A785" s="38"/>
      <c r="C785" s="39"/>
    </row>
    <row r="786" spans="1:3" ht="15.75" customHeight="1" x14ac:dyDescent="0.35">
      <c r="A786" s="38"/>
      <c r="C786" s="39"/>
    </row>
    <row r="787" spans="1:3" ht="15.75" customHeight="1" x14ac:dyDescent="0.35">
      <c r="A787" s="38"/>
      <c r="C787" s="39"/>
    </row>
    <row r="788" spans="1:3" ht="15.75" customHeight="1" x14ac:dyDescent="0.35">
      <c r="A788" s="38"/>
      <c r="C788" s="39"/>
    </row>
    <row r="789" spans="1:3" ht="15.75" customHeight="1" x14ac:dyDescent="0.35">
      <c r="A789" s="38"/>
      <c r="C789" s="39"/>
    </row>
    <row r="790" spans="1:3" ht="15.75" customHeight="1" x14ac:dyDescent="0.35">
      <c r="A790" s="38"/>
      <c r="C790" s="39"/>
    </row>
    <row r="791" spans="1:3" ht="15.75" customHeight="1" x14ac:dyDescent="0.35">
      <c r="A791" s="38"/>
      <c r="C791" s="39"/>
    </row>
    <row r="792" spans="1:3" ht="15.75" customHeight="1" x14ac:dyDescent="0.35">
      <c r="A792" s="38"/>
      <c r="C792" s="39"/>
    </row>
    <row r="793" spans="1:3" ht="15.75" customHeight="1" x14ac:dyDescent="0.35">
      <c r="A793" s="38"/>
      <c r="C793" s="39"/>
    </row>
    <row r="794" spans="1:3" ht="15.75" customHeight="1" x14ac:dyDescent="0.35">
      <c r="A794" s="38"/>
      <c r="C794" s="39"/>
    </row>
    <row r="795" spans="1:3" ht="15.75" customHeight="1" x14ac:dyDescent="0.35">
      <c r="A795" s="38"/>
      <c r="C795" s="39"/>
    </row>
    <row r="796" spans="1:3" ht="15.75" customHeight="1" x14ac:dyDescent="0.35">
      <c r="A796" s="38"/>
      <c r="C796" s="39"/>
    </row>
    <row r="797" spans="1:3" ht="15.75" customHeight="1" x14ac:dyDescent="0.35">
      <c r="A797" s="38"/>
      <c r="C797" s="39"/>
    </row>
    <row r="798" spans="1:3" ht="15.75" customHeight="1" x14ac:dyDescent="0.35">
      <c r="A798" s="38"/>
      <c r="C798" s="39"/>
    </row>
    <row r="799" spans="1:3" ht="15.75" customHeight="1" x14ac:dyDescent="0.35">
      <c r="A799" s="38"/>
      <c r="C799" s="39"/>
    </row>
    <row r="800" spans="1:3" ht="15.75" customHeight="1" x14ac:dyDescent="0.35">
      <c r="A800" s="38"/>
      <c r="C800" s="39"/>
    </row>
    <row r="801" spans="1:3" ht="15.75" customHeight="1" x14ac:dyDescent="0.35">
      <c r="A801" s="38"/>
      <c r="C801" s="39"/>
    </row>
    <row r="802" spans="1:3" ht="15.75" customHeight="1" x14ac:dyDescent="0.35">
      <c r="A802" s="38"/>
      <c r="C802" s="39"/>
    </row>
    <row r="803" spans="1:3" ht="15.75" customHeight="1" x14ac:dyDescent="0.35">
      <c r="A803" s="38"/>
      <c r="C803" s="39"/>
    </row>
    <row r="804" spans="1:3" ht="15.75" customHeight="1" x14ac:dyDescent="0.35">
      <c r="A804" s="38"/>
      <c r="C804" s="39"/>
    </row>
    <row r="805" spans="1:3" ht="15.75" customHeight="1" x14ac:dyDescent="0.35">
      <c r="A805" s="38"/>
      <c r="C805" s="39"/>
    </row>
    <row r="806" spans="1:3" ht="15.75" customHeight="1" x14ac:dyDescent="0.35">
      <c r="A806" s="38"/>
      <c r="C806" s="39"/>
    </row>
    <row r="807" spans="1:3" ht="15.75" customHeight="1" x14ac:dyDescent="0.35">
      <c r="A807" s="38"/>
      <c r="C807" s="39"/>
    </row>
    <row r="808" spans="1:3" ht="15.75" customHeight="1" x14ac:dyDescent="0.35">
      <c r="A808" s="38"/>
      <c r="C808" s="39"/>
    </row>
    <row r="809" spans="1:3" ht="15.75" customHeight="1" x14ac:dyDescent="0.35">
      <c r="A809" s="38"/>
      <c r="C809" s="39"/>
    </row>
    <row r="810" spans="1:3" ht="15.75" customHeight="1" x14ac:dyDescent="0.35">
      <c r="A810" s="38"/>
      <c r="C810" s="39"/>
    </row>
    <row r="811" spans="1:3" ht="15.75" customHeight="1" x14ac:dyDescent="0.35">
      <c r="A811" s="38"/>
      <c r="C811" s="39"/>
    </row>
    <row r="812" spans="1:3" ht="15.75" customHeight="1" x14ac:dyDescent="0.35">
      <c r="A812" s="38"/>
      <c r="C812" s="39"/>
    </row>
    <row r="813" spans="1:3" ht="15.75" customHeight="1" x14ac:dyDescent="0.35">
      <c r="A813" s="38"/>
      <c r="C813" s="39"/>
    </row>
    <row r="814" spans="1:3" ht="15.75" customHeight="1" x14ac:dyDescent="0.35">
      <c r="A814" s="38"/>
      <c r="C814" s="39"/>
    </row>
    <row r="815" spans="1:3" ht="15.75" customHeight="1" x14ac:dyDescent="0.35">
      <c r="A815" s="38"/>
      <c r="C815" s="39"/>
    </row>
    <row r="816" spans="1:3" ht="15.75" customHeight="1" x14ac:dyDescent="0.35">
      <c r="A816" s="38"/>
      <c r="C816" s="39"/>
    </row>
    <row r="817" spans="1:3" ht="15.75" customHeight="1" x14ac:dyDescent="0.35">
      <c r="A817" s="38"/>
      <c r="C817" s="39"/>
    </row>
    <row r="818" spans="1:3" ht="15.75" customHeight="1" x14ac:dyDescent="0.35">
      <c r="A818" s="38"/>
      <c r="C818" s="39"/>
    </row>
    <row r="819" spans="1:3" ht="15.75" customHeight="1" x14ac:dyDescent="0.35">
      <c r="A819" s="38"/>
      <c r="C819" s="39"/>
    </row>
    <row r="820" spans="1:3" ht="15.75" customHeight="1" x14ac:dyDescent="0.35">
      <c r="A820" s="38"/>
      <c r="C820" s="39"/>
    </row>
    <row r="821" spans="1:3" ht="15.75" customHeight="1" x14ac:dyDescent="0.35">
      <c r="A821" s="38"/>
      <c r="C821" s="39"/>
    </row>
    <row r="822" spans="1:3" ht="15.75" customHeight="1" x14ac:dyDescent="0.35">
      <c r="A822" s="38"/>
      <c r="C822" s="39"/>
    </row>
    <row r="823" spans="1:3" ht="15.75" customHeight="1" x14ac:dyDescent="0.35">
      <c r="A823" s="38"/>
      <c r="C823" s="39"/>
    </row>
    <row r="824" spans="1:3" ht="15.75" customHeight="1" x14ac:dyDescent="0.35">
      <c r="A824" s="38"/>
      <c r="C824" s="39"/>
    </row>
    <row r="825" spans="1:3" ht="15.75" customHeight="1" x14ac:dyDescent="0.35">
      <c r="A825" s="38"/>
      <c r="C825" s="39"/>
    </row>
    <row r="826" spans="1:3" ht="15.75" customHeight="1" x14ac:dyDescent="0.35">
      <c r="A826" s="38"/>
      <c r="C826" s="39"/>
    </row>
    <row r="827" spans="1:3" ht="15.75" customHeight="1" x14ac:dyDescent="0.35">
      <c r="A827" s="38"/>
      <c r="C827" s="39"/>
    </row>
    <row r="828" spans="1:3" ht="15.75" customHeight="1" x14ac:dyDescent="0.35">
      <c r="A828" s="38"/>
      <c r="C828" s="39"/>
    </row>
    <row r="829" spans="1:3" ht="15.75" customHeight="1" x14ac:dyDescent="0.35">
      <c r="A829" s="38"/>
      <c r="C829" s="39"/>
    </row>
    <row r="830" spans="1:3" ht="15.75" customHeight="1" x14ac:dyDescent="0.35">
      <c r="A830" s="38"/>
      <c r="C830" s="39"/>
    </row>
    <row r="831" spans="1:3" ht="15.75" customHeight="1" x14ac:dyDescent="0.35">
      <c r="A831" s="38"/>
      <c r="C831" s="39"/>
    </row>
    <row r="832" spans="1:3" ht="15.75" customHeight="1" x14ac:dyDescent="0.35">
      <c r="A832" s="38"/>
      <c r="C832" s="39"/>
    </row>
    <row r="833" spans="1:3" ht="15.75" customHeight="1" x14ac:dyDescent="0.35">
      <c r="A833" s="38"/>
      <c r="C833" s="39"/>
    </row>
    <row r="834" spans="1:3" ht="15.75" customHeight="1" x14ac:dyDescent="0.35">
      <c r="A834" s="38"/>
      <c r="C834" s="39"/>
    </row>
    <row r="835" spans="1:3" ht="15.75" customHeight="1" x14ac:dyDescent="0.35">
      <c r="A835" s="38"/>
      <c r="C835" s="39"/>
    </row>
    <row r="836" spans="1:3" ht="15.75" customHeight="1" x14ac:dyDescent="0.35">
      <c r="A836" s="38"/>
      <c r="C836" s="39"/>
    </row>
    <row r="837" spans="1:3" ht="15.75" customHeight="1" x14ac:dyDescent="0.35">
      <c r="A837" s="38"/>
      <c r="C837" s="39"/>
    </row>
    <row r="838" spans="1:3" ht="15.75" customHeight="1" x14ac:dyDescent="0.35">
      <c r="A838" s="38"/>
      <c r="C838" s="39"/>
    </row>
    <row r="839" spans="1:3" ht="15.75" customHeight="1" x14ac:dyDescent="0.35">
      <c r="A839" s="38"/>
      <c r="C839" s="39"/>
    </row>
    <row r="840" spans="1:3" ht="15.75" customHeight="1" x14ac:dyDescent="0.35">
      <c r="A840" s="38"/>
      <c r="C840" s="39"/>
    </row>
    <row r="841" spans="1:3" ht="15.75" customHeight="1" x14ac:dyDescent="0.35">
      <c r="A841" s="38"/>
      <c r="C841" s="39"/>
    </row>
    <row r="842" spans="1:3" ht="15.75" customHeight="1" x14ac:dyDescent="0.35">
      <c r="A842" s="38"/>
      <c r="C842" s="39"/>
    </row>
    <row r="843" spans="1:3" ht="15.75" customHeight="1" x14ac:dyDescent="0.35">
      <c r="A843" s="38"/>
      <c r="C843" s="39"/>
    </row>
    <row r="844" spans="1:3" ht="15.75" customHeight="1" x14ac:dyDescent="0.35">
      <c r="A844" s="38"/>
      <c r="C844" s="39"/>
    </row>
    <row r="845" spans="1:3" ht="15.75" customHeight="1" x14ac:dyDescent="0.35">
      <c r="A845" s="38"/>
      <c r="C845" s="39"/>
    </row>
    <row r="846" spans="1:3" ht="15.75" customHeight="1" x14ac:dyDescent="0.35">
      <c r="A846" s="38"/>
      <c r="C846" s="39"/>
    </row>
    <row r="847" spans="1:3" ht="15.75" customHeight="1" x14ac:dyDescent="0.35">
      <c r="A847" s="38"/>
      <c r="C847" s="39"/>
    </row>
    <row r="848" spans="1:3" ht="15.75" customHeight="1" x14ac:dyDescent="0.35">
      <c r="A848" s="38"/>
      <c r="C848" s="39"/>
    </row>
    <row r="849" spans="1:3" ht="15.75" customHeight="1" x14ac:dyDescent="0.35">
      <c r="A849" s="38"/>
      <c r="C849" s="39"/>
    </row>
    <row r="850" spans="1:3" ht="15.75" customHeight="1" x14ac:dyDescent="0.35">
      <c r="A850" s="38"/>
      <c r="C850" s="39"/>
    </row>
    <row r="851" spans="1:3" ht="15.75" customHeight="1" x14ac:dyDescent="0.35">
      <c r="A851" s="38"/>
      <c r="C851" s="39"/>
    </row>
    <row r="852" spans="1:3" ht="15.75" customHeight="1" x14ac:dyDescent="0.35">
      <c r="A852" s="38"/>
      <c r="C852" s="39"/>
    </row>
    <row r="853" spans="1:3" ht="15.75" customHeight="1" x14ac:dyDescent="0.35">
      <c r="A853" s="38"/>
      <c r="C853" s="39"/>
    </row>
    <row r="854" spans="1:3" ht="15.75" customHeight="1" x14ac:dyDescent="0.35">
      <c r="A854" s="38"/>
      <c r="C854" s="39"/>
    </row>
    <row r="855" spans="1:3" ht="15.75" customHeight="1" x14ac:dyDescent="0.35">
      <c r="A855" s="38"/>
      <c r="C855" s="39"/>
    </row>
    <row r="856" spans="1:3" ht="15.75" customHeight="1" x14ac:dyDescent="0.35">
      <c r="A856" s="38"/>
      <c r="C856" s="39"/>
    </row>
    <row r="857" spans="1:3" ht="15.75" customHeight="1" x14ac:dyDescent="0.35">
      <c r="A857" s="38"/>
      <c r="C857" s="39"/>
    </row>
    <row r="858" spans="1:3" ht="15.75" customHeight="1" x14ac:dyDescent="0.35">
      <c r="A858" s="38"/>
      <c r="C858" s="39"/>
    </row>
    <row r="859" spans="1:3" ht="15.75" customHeight="1" x14ac:dyDescent="0.35">
      <c r="A859" s="38"/>
      <c r="C859" s="39"/>
    </row>
    <row r="860" spans="1:3" ht="15.75" customHeight="1" x14ac:dyDescent="0.35">
      <c r="A860" s="38"/>
      <c r="C860" s="39"/>
    </row>
    <row r="861" spans="1:3" ht="15.75" customHeight="1" x14ac:dyDescent="0.35">
      <c r="A861" s="38"/>
      <c r="C861" s="39"/>
    </row>
    <row r="862" spans="1:3" ht="15.75" customHeight="1" x14ac:dyDescent="0.35">
      <c r="A862" s="38"/>
      <c r="C862" s="39"/>
    </row>
    <row r="863" spans="1:3" ht="15.75" customHeight="1" x14ac:dyDescent="0.35">
      <c r="A863" s="38"/>
      <c r="C863" s="39"/>
    </row>
    <row r="864" spans="1:3" ht="15.75" customHeight="1" x14ac:dyDescent="0.35">
      <c r="A864" s="38"/>
      <c r="C864" s="39"/>
    </row>
    <row r="865" spans="1:3" ht="15.75" customHeight="1" x14ac:dyDescent="0.35">
      <c r="A865" s="38"/>
      <c r="C865" s="39"/>
    </row>
    <row r="866" spans="1:3" ht="15.75" customHeight="1" x14ac:dyDescent="0.35">
      <c r="A866" s="38"/>
      <c r="C866" s="39"/>
    </row>
    <row r="867" spans="1:3" ht="15.75" customHeight="1" x14ac:dyDescent="0.35">
      <c r="A867" s="38"/>
      <c r="C867" s="39"/>
    </row>
    <row r="868" spans="1:3" ht="15.75" customHeight="1" x14ac:dyDescent="0.35">
      <c r="A868" s="38"/>
      <c r="C868" s="39"/>
    </row>
    <row r="869" spans="1:3" ht="15.75" customHeight="1" x14ac:dyDescent="0.35">
      <c r="A869" s="38"/>
      <c r="C869" s="39"/>
    </row>
    <row r="870" spans="1:3" ht="15.75" customHeight="1" x14ac:dyDescent="0.35">
      <c r="A870" s="38"/>
      <c r="C870" s="39"/>
    </row>
    <row r="871" spans="1:3" ht="15.75" customHeight="1" x14ac:dyDescent="0.35">
      <c r="A871" s="38"/>
      <c r="C871" s="39"/>
    </row>
    <row r="872" spans="1:3" ht="15.75" customHeight="1" x14ac:dyDescent="0.35">
      <c r="A872" s="38"/>
      <c r="C872" s="39"/>
    </row>
    <row r="873" spans="1:3" ht="15.75" customHeight="1" x14ac:dyDescent="0.35">
      <c r="A873" s="38"/>
      <c r="C873" s="39"/>
    </row>
    <row r="874" spans="1:3" ht="15.75" customHeight="1" x14ac:dyDescent="0.35">
      <c r="A874" s="38"/>
      <c r="C874" s="39"/>
    </row>
    <row r="875" spans="1:3" ht="15.75" customHeight="1" x14ac:dyDescent="0.35">
      <c r="A875" s="38"/>
      <c r="C875" s="39"/>
    </row>
    <row r="876" spans="1:3" ht="15.75" customHeight="1" x14ac:dyDescent="0.35">
      <c r="A876" s="38"/>
      <c r="C876" s="39"/>
    </row>
    <row r="877" spans="1:3" ht="15.75" customHeight="1" x14ac:dyDescent="0.35">
      <c r="A877" s="38"/>
      <c r="C877" s="39"/>
    </row>
    <row r="878" spans="1:3" ht="15.75" customHeight="1" x14ac:dyDescent="0.35">
      <c r="A878" s="38"/>
      <c r="C878" s="39"/>
    </row>
    <row r="879" spans="1:3" ht="15.75" customHeight="1" x14ac:dyDescent="0.35">
      <c r="A879" s="38"/>
      <c r="C879" s="39"/>
    </row>
    <row r="880" spans="1:3" ht="15.75" customHeight="1" x14ac:dyDescent="0.35">
      <c r="A880" s="38"/>
      <c r="C880" s="39"/>
    </row>
    <row r="881" spans="1:3" ht="15.75" customHeight="1" x14ac:dyDescent="0.35">
      <c r="A881" s="38"/>
      <c r="C881" s="39"/>
    </row>
    <row r="882" spans="1:3" ht="15.75" customHeight="1" x14ac:dyDescent="0.35">
      <c r="A882" s="38"/>
      <c r="C882" s="39"/>
    </row>
    <row r="883" spans="1:3" ht="15.75" customHeight="1" x14ac:dyDescent="0.35">
      <c r="A883" s="38"/>
      <c r="C883" s="39"/>
    </row>
    <row r="884" spans="1:3" ht="15.75" customHeight="1" x14ac:dyDescent="0.35">
      <c r="A884" s="38"/>
      <c r="C884" s="39"/>
    </row>
    <row r="885" spans="1:3" ht="15.75" customHeight="1" x14ac:dyDescent="0.35">
      <c r="A885" s="38"/>
      <c r="C885" s="39"/>
    </row>
    <row r="886" spans="1:3" ht="15.75" customHeight="1" x14ac:dyDescent="0.35">
      <c r="A886" s="38"/>
      <c r="C886" s="39"/>
    </row>
    <row r="887" spans="1:3" ht="15.75" customHeight="1" x14ac:dyDescent="0.35">
      <c r="A887" s="38"/>
      <c r="C887" s="39"/>
    </row>
    <row r="888" spans="1:3" ht="15.75" customHeight="1" x14ac:dyDescent="0.35">
      <c r="A888" s="38"/>
      <c r="C888" s="39"/>
    </row>
    <row r="889" spans="1:3" ht="15.75" customHeight="1" x14ac:dyDescent="0.35">
      <c r="A889" s="38"/>
      <c r="C889" s="39"/>
    </row>
    <row r="890" spans="1:3" ht="15.75" customHeight="1" x14ac:dyDescent="0.35">
      <c r="A890" s="38"/>
      <c r="C890" s="39"/>
    </row>
    <row r="891" spans="1:3" ht="15.75" customHeight="1" x14ac:dyDescent="0.35">
      <c r="A891" s="38"/>
      <c r="C891" s="39"/>
    </row>
    <row r="892" spans="1:3" ht="15.75" customHeight="1" x14ac:dyDescent="0.35">
      <c r="A892" s="38"/>
      <c r="C892" s="39"/>
    </row>
    <row r="893" spans="1:3" ht="15.75" customHeight="1" x14ac:dyDescent="0.35">
      <c r="A893" s="38"/>
      <c r="C893" s="39"/>
    </row>
    <row r="894" spans="1:3" ht="15.75" customHeight="1" x14ac:dyDescent="0.35">
      <c r="A894" s="38"/>
      <c r="C894" s="39"/>
    </row>
    <row r="895" spans="1:3" ht="15.75" customHeight="1" x14ac:dyDescent="0.35">
      <c r="A895" s="38"/>
      <c r="C895" s="39"/>
    </row>
    <row r="896" spans="1:3" ht="15.75" customHeight="1" x14ac:dyDescent="0.35">
      <c r="A896" s="38"/>
      <c r="C896" s="39"/>
    </row>
    <row r="897" spans="1:3" ht="15.75" customHeight="1" x14ac:dyDescent="0.35">
      <c r="A897" s="38"/>
      <c r="C897" s="39"/>
    </row>
    <row r="898" spans="1:3" ht="15.75" customHeight="1" x14ac:dyDescent="0.35">
      <c r="A898" s="38"/>
      <c r="C898" s="39"/>
    </row>
    <row r="899" spans="1:3" ht="15.75" customHeight="1" x14ac:dyDescent="0.35">
      <c r="A899" s="38"/>
      <c r="C899" s="39"/>
    </row>
    <row r="900" spans="1:3" ht="15.75" customHeight="1" x14ac:dyDescent="0.35">
      <c r="A900" s="38"/>
      <c r="C900" s="39"/>
    </row>
    <row r="901" spans="1:3" ht="15.75" customHeight="1" x14ac:dyDescent="0.35">
      <c r="A901" s="38"/>
      <c r="C901" s="39"/>
    </row>
    <row r="902" spans="1:3" ht="15.75" customHeight="1" x14ac:dyDescent="0.35">
      <c r="A902" s="38"/>
      <c r="C902" s="39"/>
    </row>
    <row r="903" spans="1:3" ht="15.75" customHeight="1" x14ac:dyDescent="0.35">
      <c r="A903" s="38"/>
      <c r="C903" s="39"/>
    </row>
    <row r="904" spans="1:3" ht="15.75" customHeight="1" x14ac:dyDescent="0.35">
      <c r="A904" s="38"/>
      <c r="C904" s="39"/>
    </row>
    <row r="905" spans="1:3" ht="15.75" customHeight="1" x14ac:dyDescent="0.35">
      <c r="A905" s="38"/>
      <c r="C905" s="39"/>
    </row>
    <row r="906" spans="1:3" ht="15.75" customHeight="1" x14ac:dyDescent="0.35">
      <c r="A906" s="38"/>
      <c r="C906" s="39"/>
    </row>
    <row r="907" spans="1:3" ht="15.75" customHeight="1" x14ac:dyDescent="0.35">
      <c r="A907" s="38"/>
      <c r="C907" s="39"/>
    </row>
    <row r="908" spans="1:3" ht="15.75" customHeight="1" x14ac:dyDescent="0.35">
      <c r="A908" s="38"/>
      <c r="C908" s="39"/>
    </row>
    <row r="909" spans="1:3" ht="15.75" customHeight="1" x14ac:dyDescent="0.35">
      <c r="A909" s="38"/>
      <c r="C909" s="39"/>
    </row>
    <row r="910" spans="1:3" ht="15.75" customHeight="1" x14ac:dyDescent="0.35">
      <c r="A910" s="38"/>
      <c r="C910" s="39"/>
    </row>
    <row r="911" spans="1:3" ht="15.75" customHeight="1" x14ac:dyDescent="0.35">
      <c r="A911" s="38"/>
      <c r="C911" s="39"/>
    </row>
    <row r="912" spans="1:3" ht="15.75" customHeight="1" x14ac:dyDescent="0.35">
      <c r="A912" s="38"/>
      <c r="C912" s="39"/>
    </row>
    <row r="913" spans="1:3" ht="15.75" customHeight="1" x14ac:dyDescent="0.35">
      <c r="A913" s="38"/>
      <c r="C913" s="39"/>
    </row>
    <row r="914" spans="1:3" ht="15.75" customHeight="1" x14ac:dyDescent="0.35">
      <c r="A914" s="38"/>
      <c r="C914" s="39"/>
    </row>
    <row r="915" spans="1:3" ht="15.75" customHeight="1" x14ac:dyDescent="0.35">
      <c r="A915" s="38"/>
      <c r="C915" s="39"/>
    </row>
    <row r="916" spans="1:3" ht="15.75" customHeight="1" x14ac:dyDescent="0.35">
      <c r="A916" s="38"/>
      <c r="C916" s="39"/>
    </row>
    <row r="917" spans="1:3" ht="15.75" customHeight="1" x14ac:dyDescent="0.35">
      <c r="A917" s="38"/>
      <c r="C917" s="39"/>
    </row>
    <row r="918" spans="1:3" ht="15.75" customHeight="1" x14ac:dyDescent="0.35">
      <c r="A918" s="38"/>
      <c r="C918" s="39"/>
    </row>
    <row r="919" spans="1:3" ht="15.75" customHeight="1" x14ac:dyDescent="0.35">
      <c r="A919" s="38"/>
      <c r="C919" s="39"/>
    </row>
    <row r="920" spans="1:3" ht="15.75" customHeight="1" x14ac:dyDescent="0.35">
      <c r="A920" s="38"/>
      <c r="C920" s="39"/>
    </row>
    <row r="921" spans="1:3" ht="15.75" customHeight="1" x14ac:dyDescent="0.35">
      <c r="A921" s="38"/>
      <c r="C921" s="39"/>
    </row>
    <row r="922" spans="1:3" ht="15.75" customHeight="1" x14ac:dyDescent="0.35">
      <c r="A922" s="38"/>
      <c r="C922" s="39"/>
    </row>
    <row r="923" spans="1:3" ht="15.75" customHeight="1" x14ac:dyDescent="0.35">
      <c r="A923" s="38"/>
      <c r="C923" s="39"/>
    </row>
    <row r="924" spans="1:3" ht="15.75" customHeight="1" x14ac:dyDescent="0.35">
      <c r="A924" s="38"/>
      <c r="C924" s="39"/>
    </row>
    <row r="925" spans="1:3" ht="15.75" customHeight="1" x14ac:dyDescent="0.35">
      <c r="A925" s="38"/>
      <c r="C925" s="39"/>
    </row>
    <row r="926" spans="1:3" ht="15.75" customHeight="1" x14ac:dyDescent="0.35">
      <c r="A926" s="38"/>
      <c r="C926" s="39"/>
    </row>
    <row r="927" spans="1:3" ht="15.75" customHeight="1" x14ac:dyDescent="0.35">
      <c r="A927" s="38"/>
      <c r="C927" s="39"/>
    </row>
    <row r="928" spans="1:3" ht="15.75" customHeight="1" x14ac:dyDescent="0.35">
      <c r="A928" s="38"/>
      <c r="C928" s="39"/>
    </row>
    <row r="929" spans="1:3" ht="15.75" customHeight="1" x14ac:dyDescent="0.35">
      <c r="A929" s="38"/>
      <c r="C929" s="39"/>
    </row>
    <row r="930" spans="1:3" ht="15.75" customHeight="1" x14ac:dyDescent="0.35">
      <c r="A930" s="38"/>
      <c r="C930" s="39"/>
    </row>
    <row r="931" spans="1:3" ht="15.75" customHeight="1" x14ac:dyDescent="0.35">
      <c r="A931" s="38"/>
      <c r="C931" s="39"/>
    </row>
    <row r="932" spans="1:3" ht="15.75" customHeight="1" x14ac:dyDescent="0.35">
      <c r="A932" s="38"/>
      <c r="C932" s="39"/>
    </row>
    <row r="933" spans="1:3" ht="15.75" customHeight="1" x14ac:dyDescent="0.35">
      <c r="A933" s="38"/>
      <c r="C933" s="39"/>
    </row>
    <row r="934" spans="1:3" ht="15.75" customHeight="1" x14ac:dyDescent="0.35">
      <c r="A934" s="38"/>
      <c r="C934" s="39"/>
    </row>
    <row r="935" spans="1:3" ht="15.75" customHeight="1" x14ac:dyDescent="0.35">
      <c r="A935" s="38"/>
      <c r="C935" s="39"/>
    </row>
    <row r="936" spans="1:3" ht="15.75" customHeight="1" x14ac:dyDescent="0.35">
      <c r="A936" s="38"/>
      <c r="C936" s="39"/>
    </row>
    <row r="937" spans="1:3" ht="15.75" customHeight="1" x14ac:dyDescent="0.35">
      <c r="A937" s="38"/>
      <c r="C937" s="39"/>
    </row>
    <row r="938" spans="1:3" ht="15.75" customHeight="1" x14ac:dyDescent="0.35">
      <c r="A938" s="38"/>
      <c r="C938" s="39"/>
    </row>
    <row r="939" spans="1:3" ht="15.75" customHeight="1" x14ac:dyDescent="0.35">
      <c r="A939" s="38"/>
      <c r="C939" s="39"/>
    </row>
    <row r="940" spans="1:3" ht="15.75" customHeight="1" x14ac:dyDescent="0.35">
      <c r="A940" s="38"/>
      <c r="C940" s="39"/>
    </row>
    <row r="941" spans="1:3" ht="15.75" customHeight="1" x14ac:dyDescent="0.35">
      <c r="A941" s="38"/>
      <c r="C941" s="39"/>
    </row>
    <row r="942" spans="1:3" ht="15.75" customHeight="1" x14ac:dyDescent="0.35">
      <c r="A942" s="38"/>
      <c r="C942" s="39"/>
    </row>
    <row r="943" spans="1:3" ht="15.75" customHeight="1" x14ac:dyDescent="0.35">
      <c r="A943" s="38"/>
      <c r="C943" s="39"/>
    </row>
    <row r="944" spans="1:3" ht="15.75" customHeight="1" x14ac:dyDescent="0.35">
      <c r="A944" s="38"/>
      <c r="C944" s="39"/>
    </row>
    <row r="945" spans="1:3" ht="15.75" customHeight="1" x14ac:dyDescent="0.35">
      <c r="A945" s="38"/>
      <c r="C945" s="39"/>
    </row>
    <row r="946" spans="1:3" ht="15.75" customHeight="1" x14ac:dyDescent="0.35">
      <c r="A946" s="38"/>
      <c r="C946" s="39"/>
    </row>
    <row r="947" spans="1:3" ht="15.75" customHeight="1" x14ac:dyDescent="0.35">
      <c r="A947" s="38"/>
      <c r="C947" s="39"/>
    </row>
    <row r="948" spans="1:3" ht="15.75" customHeight="1" x14ac:dyDescent="0.35">
      <c r="A948" s="38"/>
      <c r="C948" s="39"/>
    </row>
    <row r="949" spans="1:3" ht="15.75" customHeight="1" x14ac:dyDescent="0.35">
      <c r="A949" s="38"/>
      <c r="C949" s="39"/>
    </row>
    <row r="950" spans="1:3" ht="15.75" customHeight="1" x14ac:dyDescent="0.35">
      <c r="A950" s="38"/>
      <c r="C950" s="39"/>
    </row>
    <row r="951" spans="1:3" ht="15.75" customHeight="1" x14ac:dyDescent="0.35">
      <c r="A951" s="38"/>
      <c r="C951" s="39"/>
    </row>
    <row r="952" spans="1:3" ht="15.75" customHeight="1" x14ac:dyDescent="0.35">
      <c r="A952" s="38"/>
      <c r="C952" s="39"/>
    </row>
    <row r="953" spans="1:3" ht="15.75" customHeight="1" x14ac:dyDescent="0.35">
      <c r="A953" s="38"/>
      <c r="C953" s="39"/>
    </row>
    <row r="954" spans="1:3" ht="15.75" customHeight="1" x14ac:dyDescent="0.35">
      <c r="A954" s="38"/>
      <c r="C954" s="39"/>
    </row>
    <row r="955" spans="1:3" ht="15.75" customHeight="1" x14ac:dyDescent="0.35">
      <c r="A955" s="38"/>
      <c r="C955" s="39"/>
    </row>
    <row r="956" spans="1:3" ht="15.75" customHeight="1" x14ac:dyDescent="0.35">
      <c r="A956" s="38"/>
      <c r="C956" s="39"/>
    </row>
    <row r="957" spans="1:3" ht="15.75" customHeight="1" x14ac:dyDescent="0.35">
      <c r="A957" s="38"/>
      <c r="C957" s="39"/>
    </row>
    <row r="958" spans="1:3" ht="15.75" customHeight="1" x14ac:dyDescent="0.35">
      <c r="A958" s="38"/>
      <c r="C958" s="39"/>
    </row>
    <row r="959" spans="1:3" ht="15.75" customHeight="1" x14ac:dyDescent="0.35">
      <c r="A959" s="38"/>
      <c r="C959" s="39"/>
    </row>
    <row r="960" spans="1:3" ht="15.75" customHeight="1" x14ac:dyDescent="0.35">
      <c r="A960" s="38"/>
      <c r="C960" s="39"/>
    </row>
    <row r="961" spans="1:3" ht="15.75" customHeight="1" x14ac:dyDescent="0.35">
      <c r="A961" s="38"/>
      <c r="C961" s="39"/>
    </row>
    <row r="962" spans="1:3" ht="15.75" customHeight="1" x14ac:dyDescent="0.35">
      <c r="A962" s="38"/>
      <c r="C962" s="39"/>
    </row>
    <row r="963" spans="1:3" ht="15.75" customHeight="1" x14ac:dyDescent="0.35">
      <c r="A963" s="38"/>
      <c r="C963" s="39"/>
    </row>
    <row r="964" spans="1:3" ht="15.75" customHeight="1" x14ac:dyDescent="0.35">
      <c r="A964" s="38"/>
      <c r="C964" s="39"/>
    </row>
    <row r="965" spans="1:3" ht="15.75" customHeight="1" x14ac:dyDescent="0.35">
      <c r="A965" s="38"/>
      <c r="C965" s="39"/>
    </row>
    <row r="966" spans="1:3" ht="15.75" customHeight="1" x14ac:dyDescent="0.35">
      <c r="A966" s="38"/>
      <c r="C966" s="39"/>
    </row>
    <row r="967" spans="1:3" ht="15.75" customHeight="1" x14ac:dyDescent="0.35">
      <c r="A967" s="38"/>
      <c r="C967" s="39"/>
    </row>
    <row r="968" spans="1:3" ht="15.75" customHeight="1" x14ac:dyDescent="0.35">
      <c r="A968" s="38"/>
      <c r="C968" s="39"/>
    </row>
    <row r="969" spans="1:3" ht="15.75" customHeight="1" x14ac:dyDescent="0.35">
      <c r="A969" s="38"/>
      <c r="C969" s="39"/>
    </row>
    <row r="970" spans="1:3" ht="15.75" customHeight="1" x14ac:dyDescent="0.35">
      <c r="A970" s="38"/>
      <c r="C970" s="39"/>
    </row>
    <row r="971" spans="1:3" ht="15.75" customHeight="1" x14ac:dyDescent="0.35">
      <c r="A971" s="38"/>
      <c r="C971" s="39"/>
    </row>
    <row r="972" spans="1:3" ht="15.75" customHeight="1" x14ac:dyDescent="0.35">
      <c r="A972" s="38"/>
      <c r="C972" s="39"/>
    </row>
    <row r="973" spans="1:3" ht="15.75" customHeight="1" x14ac:dyDescent="0.35">
      <c r="A973" s="38"/>
      <c r="C973" s="39"/>
    </row>
    <row r="974" spans="1:3" ht="15.75" customHeight="1" x14ac:dyDescent="0.35">
      <c r="A974" s="38"/>
      <c r="C974" s="39"/>
    </row>
    <row r="975" spans="1:3" ht="15.75" customHeight="1" x14ac:dyDescent="0.35">
      <c r="A975" s="38"/>
      <c r="C975" s="39"/>
    </row>
    <row r="976" spans="1:3" ht="15.75" customHeight="1" x14ac:dyDescent="0.35">
      <c r="A976" s="38"/>
      <c r="C976" s="39"/>
    </row>
    <row r="977" spans="1:3" ht="15.75" customHeight="1" x14ac:dyDescent="0.35">
      <c r="A977" s="38"/>
      <c r="C977" s="39"/>
    </row>
    <row r="978" spans="1:3" ht="15.75" customHeight="1" x14ac:dyDescent="0.35">
      <c r="A978" s="38"/>
      <c r="C978" s="39"/>
    </row>
    <row r="979" spans="1:3" ht="15.75" customHeight="1" x14ac:dyDescent="0.35">
      <c r="A979" s="38"/>
      <c r="C979" s="39"/>
    </row>
    <row r="980" spans="1:3" ht="15.75" customHeight="1" x14ac:dyDescent="0.35">
      <c r="A980" s="38"/>
      <c r="C980" s="39"/>
    </row>
    <row r="981" spans="1:3" ht="15.75" customHeight="1" x14ac:dyDescent="0.35">
      <c r="A981" s="38"/>
      <c r="C981" s="39"/>
    </row>
    <row r="982" spans="1:3" ht="15.75" customHeight="1" x14ac:dyDescent="0.35">
      <c r="A982" s="38"/>
      <c r="C982" s="39"/>
    </row>
    <row r="983" spans="1:3" ht="15.75" customHeight="1" x14ac:dyDescent="0.35">
      <c r="A983" s="38"/>
      <c r="C983" s="39"/>
    </row>
    <row r="984" spans="1:3" ht="15.75" customHeight="1" x14ac:dyDescent="0.35">
      <c r="A984" s="38"/>
      <c r="C984" s="39"/>
    </row>
    <row r="985" spans="1:3" ht="15.75" customHeight="1" x14ac:dyDescent="0.35">
      <c r="A985" s="38"/>
      <c r="C985" s="39"/>
    </row>
    <row r="986" spans="1:3" ht="15.75" customHeight="1" x14ac:dyDescent="0.35">
      <c r="A986" s="38"/>
      <c r="C986" s="39"/>
    </row>
    <row r="987" spans="1:3" ht="15.75" customHeight="1" x14ac:dyDescent="0.35">
      <c r="A987" s="38"/>
      <c r="C987" s="39"/>
    </row>
    <row r="988" spans="1:3" ht="15.75" customHeight="1" x14ac:dyDescent="0.35">
      <c r="A988" s="38"/>
      <c r="C988" s="39"/>
    </row>
    <row r="989" spans="1:3" ht="15.75" customHeight="1" x14ac:dyDescent="0.35">
      <c r="A989" s="38"/>
      <c r="C989" s="39"/>
    </row>
    <row r="990" spans="1:3" ht="15.75" customHeight="1" x14ac:dyDescent="0.35">
      <c r="A990" s="38"/>
      <c r="C990" s="39"/>
    </row>
    <row r="991" spans="1:3" ht="15.75" customHeight="1" x14ac:dyDescent="0.35">
      <c r="A991" s="38"/>
      <c r="C991" s="39"/>
    </row>
    <row r="992" spans="1:3" ht="15.75" customHeight="1" x14ac:dyDescent="0.35">
      <c r="A992" s="38"/>
      <c r="C992" s="39"/>
    </row>
    <row r="993" spans="1:3" ht="15.75" customHeight="1" x14ac:dyDescent="0.35">
      <c r="A993" s="38"/>
      <c r="C993" s="39"/>
    </row>
    <row r="994" spans="1:3" ht="15.75" customHeight="1" x14ac:dyDescent="0.35">
      <c r="A994" s="38"/>
      <c r="C994" s="39"/>
    </row>
    <row r="995" spans="1:3" ht="15.75" customHeight="1" x14ac:dyDescent="0.35">
      <c r="A995" s="38"/>
      <c r="C995" s="39"/>
    </row>
    <row r="996" spans="1:3" ht="15.75" customHeight="1" x14ac:dyDescent="0.35">
      <c r="A996" s="38"/>
      <c r="C996" s="39"/>
    </row>
    <row r="997" spans="1:3" ht="15.75" customHeight="1" x14ac:dyDescent="0.35">
      <c r="A997" s="38"/>
      <c r="C997" s="39"/>
    </row>
    <row r="998" spans="1:3" ht="15.75" customHeight="1" x14ac:dyDescent="0.35">
      <c r="A998" s="38"/>
      <c r="C998" s="39"/>
    </row>
    <row r="999" spans="1:3" ht="15.75" customHeight="1" x14ac:dyDescent="0.35">
      <c r="A999" s="38"/>
      <c r="C999" s="39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W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4.453125" defaultRowHeight="15" customHeight="1" x14ac:dyDescent="0.35"/>
  <cols>
    <col min="1" max="1" width="14.54296875" customWidth="1"/>
    <col min="2" max="2" width="32.81640625" customWidth="1"/>
    <col min="3" max="3" width="30.453125" customWidth="1"/>
    <col min="4" max="4" width="19.453125" customWidth="1"/>
    <col min="5" max="5" width="12" customWidth="1"/>
    <col min="6" max="6" width="17" customWidth="1"/>
    <col min="7" max="7" width="15.26953125" customWidth="1"/>
    <col min="8" max="8" width="17" customWidth="1"/>
    <col min="9" max="9" width="15.26953125" customWidth="1"/>
    <col min="11" max="13" width="14" customWidth="1"/>
    <col min="14" max="14" width="16.08984375" customWidth="1"/>
    <col min="15" max="15" width="17.26953125" customWidth="1"/>
    <col min="16" max="16" width="13.54296875" customWidth="1"/>
    <col min="17" max="17" width="28.08984375" customWidth="1"/>
    <col min="18" max="18" width="33.81640625" customWidth="1"/>
    <col min="19" max="19" width="19.453125" customWidth="1"/>
    <col min="20" max="22" width="17" customWidth="1"/>
    <col min="23" max="23" width="15.26953125" customWidth="1"/>
  </cols>
  <sheetData>
    <row r="1" spans="1:23" ht="14.5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14.5" x14ac:dyDescent="0.35">
      <c r="A2" s="5" t="s">
        <v>23</v>
      </c>
      <c r="B2" s="5" t="s">
        <v>24</v>
      </c>
      <c r="C2" s="5" t="s">
        <v>25</v>
      </c>
      <c r="D2" s="6">
        <v>23000</v>
      </c>
      <c r="E2" s="6">
        <v>0</v>
      </c>
      <c r="F2" s="6">
        <f>D2</f>
        <v>23000</v>
      </c>
      <c r="G2" s="6">
        <v>1500</v>
      </c>
      <c r="H2" s="6">
        <v>0</v>
      </c>
      <c r="I2" s="6">
        <v>0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6">
        <v>7000</v>
      </c>
      <c r="S2" s="6">
        <v>0</v>
      </c>
      <c r="T2" s="6">
        <v>3530</v>
      </c>
      <c r="U2" s="6">
        <f t="shared" ref="U2:U71" si="0">SUM(E2:T2)</f>
        <v>35030</v>
      </c>
      <c r="V2" s="6">
        <v>35030</v>
      </c>
      <c r="W2" s="6">
        <f t="shared" ref="W2:W71" si="1">U2-V2</f>
        <v>0</v>
      </c>
    </row>
    <row r="3" spans="1:23" ht="14.5" x14ac:dyDescent="0.35">
      <c r="A3" s="5" t="s">
        <v>26</v>
      </c>
      <c r="B3" s="5" t="s">
        <v>33</v>
      </c>
      <c r="C3" s="5" t="s">
        <v>34</v>
      </c>
      <c r="D3" s="6">
        <v>23000</v>
      </c>
      <c r="E3" s="6">
        <v>0</v>
      </c>
      <c r="F3" s="6">
        <f t="shared" ref="F3:F4" si="2">D3*0.75</f>
        <v>17250</v>
      </c>
      <c r="G3" s="6">
        <v>1500</v>
      </c>
      <c r="H3" s="6">
        <v>0</v>
      </c>
      <c r="I3" s="6">
        <v>2000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5000</v>
      </c>
      <c r="P3" s="6">
        <v>0</v>
      </c>
      <c r="Q3" s="6">
        <v>0</v>
      </c>
      <c r="R3" s="6">
        <v>10000</v>
      </c>
      <c r="S3" s="6">
        <v>0</v>
      </c>
      <c r="T3" s="6">
        <v>2000</v>
      </c>
      <c r="U3" s="6">
        <f t="shared" si="0"/>
        <v>37750</v>
      </c>
      <c r="V3" s="6">
        <v>37750</v>
      </c>
      <c r="W3" s="6">
        <f t="shared" si="1"/>
        <v>0</v>
      </c>
    </row>
    <row r="4" spans="1:23" ht="14.5" x14ac:dyDescent="0.35">
      <c r="A4" s="5" t="s">
        <v>26</v>
      </c>
      <c r="B4" s="5" t="s">
        <v>35</v>
      </c>
      <c r="C4" s="5" t="s">
        <v>36</v>
      </c>
      <c r="D4" s="6">
        <v>23000</v>
      </c>
      <c r="E4" s="6">
        <v>0</v>
      </c>
      <c r="F4" s="6">
        <f t="shared" si="2"/>
        <v>17250</v>
      </c>
      <c r="G4" s="6">
        <v>1500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7000</v>
      </c>
      <c r="S4" s="6">
        <v>0</v>
      </c>
      <c r="T4" s="6">
        <v>-1000</v>
      </c>
      <c r="U4" s="6">
        <f t="shared" si="0"/>
        <v>24750</v>
      </c>
      <c r="V4" s="6">
        <v>24750</v>
      </c>
      <c r="W4" s="6">
        <f t="shared" si="1"/>
        <v>0</v>
      </c>
    </row>
    <row r="5" spans="1:23" ht="14.5" x14ac:dyDescent="0.35">
      <c r="A5" s="5" t="s">
        <v>37</v>
      </c>
      <c r="B5" s="5" t="s">
        <v>386</v>
      </c>
      <c r="C5" s="5" t="s">
        <v>30</v>
      </c>
      <c r="D5" s="6">
        <v>29500</v>
      </c>
      <c r="E5" s="6">
        <v>0</v>
      </c>
      <c r="F5" s="6">
        <f>D5</f>
        <v>29500</v>
      </c>
      <c r="G5" s="6">
        <v>2500</v>
      </c>
      <c r="H5" s="6">
        <v>1500</v>
      </c>
      <c r="I5" s="6">
        <v>5000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6000</v>
      </c>
      <c r="P5" s="6">
        <v>0</v>
      </c>
      <c r="Q5" s="6">
        <v>0</v>
      </c>
      <c r="R5" s="6">
        <v>7000</v>
      </c>
      <c r="S5" s="6">
        <v>0</v>
      </c>
      <c r="T5" s="6">
        <v>0</v>
      </c>
      <c r="U5" s="6">
        <f t="shared" si="0"/>
        <v>51500</v>
      </c>
      <c r="V5" s="6">
        <v>50000</v>
      </c>
      <c r="W5" s="6">
        <f t="shared" si="1"/>
        <v>1500</v>
      </c>
    </row>
    <row r="6" spans="1:23" ht="14.5" x14ac:dyDescent="0.35">
      <c r="A6" s="5" t="s">
        <v>39</v>
      </c>
      <c r="B6" s="5" t="s">
        <v>41</v>
      </c>
      <c r="C6" s="5" t="s">
        <v>34</v>
      </c>
      <c r="D6" s="6">
        <v>23000</v>
      </c>
      <c r="E6" s="6">
        <v>0</v>
      </c>
      <c r="F6" s="6">
        <f t="shared" ref="F6:F7" si="3">D6*0.5</f>
        <v>11500</v>
      </c>
      <c r="G6" s="6">
        <v>750</v>
      </c>
      <c r="H6" s="6">
        <v>0</v>
      </c>
      <c r="I6" s="6">
        <v>2000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10000</v>
      </c>
      <c r="S6" s="6">
        <v>0</v>
      </c>
      <c r="T6" s="6">
        <v>2000</v>
      </c>
      <c r="U6" s="6">
        <f t="shared" si="0"/>
        <v>26250</v>
      </c>
      <c r="V6" s="6">
        <v>26250</v>
      </c>
      <c r="W6" s="6">
        <f t="shared" si="1"/>
        <v>0</v>
      </c>
    </row>
    <row r="7" spans="1:23" ht="14.5" x14ac:dyDescent="0.35">
      <c r="A7" s="5" t="s">
        <v>39</v>
      </c>
      <c r="B7" s="5" t="s">
        <v>40</v>
      </c>
      <c r="C7" s="5" t="s">
        <v>36</v>
      </c>
      <c r="D7" s="6">
        <v>23000</v>
      </c>
      <c r="E7" s="6">
        <v>0</v>
      </c>
      <c r="F7" s="6">
        <f t="shared" si="3"/>
        <v>11500</v>
      </c>
      <c r="G7" s="6">
        <v>750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7000</v>
      </c>
      <c r="S7" s="6">
        <v>0</v>
      </c>
      <c r="T7" s="6">
        <v>0</v>
      </c>
      <c r="U7" s="6">
        <f t="shared" si="0"/>
        <v>19250</v>
      </c>
      <c r="V7" s="6">
        <v>19250</v>
      </c>
      <c r="W7" s="6">
        <f t="shared" si="1"/>
        <v>0</v>
      </c>
    </row>
    <row r="8" spans="1:23" ht="14.5" x14ac:dyDescent="0.35">
      <c r="A8" s="5" t="s">
        <v>42</v>
      </c>
      <c r="B8" s="5" t="s">
        <v>43</v>
      </c>
      <c r="C8" s="5" t="s">
        <v>34</v>
      </c>
      <c r="D8" s="6">
        <v>23000</v>
      </c>
      <c r="E8" s="6">
        <v>0</v>
      </c>
      <c r="F8" s="6">
        <f t="shared" ref="F8:F11" si="4">D8*0.75</f>
        <v>17250</v>
      </c>
      <c r="G8" s="6">
        <v>1500</v>
      </c>
      <c r="H8" s="6">
        <v>0</v>
      </c>
      <c r="I8" s="6">
        <v>2000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10000</v>
      </c>
      <c r="S8" s="6">
        <v>0</v>
      </c>
      <c r="T8" s="6">
        <v>25</v>
      </c>
      <c r="U8" s="6">
        <f t="shared" si="0"/>
        <v>30775</v>
      </c>
      <c r="V8" s="6">
        <v>30750</v>
      </c>
      <c r="W8" s="6">
        <f t="shared" si="1"/>
        <v>25</v>
      </c>
    </row>
    <row r="9" spans="1:23" ht="14.5" x14ac:dyDescent="0.35">
      <c r="A9" s="5" t="s">
        <v>42</v>
      </c>
      <c r="B9" s="5" t="s">
        <v>44</v>
      </c>
      <c r="C9" s="5" t="s">
        <v>36</v>
      </c>
      <c r="D9" s="6">
        <v>23000</v>
      </c>
      <c r="E9" s="6">
        <v>0</v>
      </c>
      <c r="F9" s="6">
        <f t="shared" si="4"/>
        <v>17250</v>
      </c>
      <c r="G9" s="6">
        <v>1500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7000</v>
      </c>
      <c r="S9" s="6">
        <v>0</v>
      </c>
      <c r="T9" s="6">
        <v>-1000</v>
      </c>
      <c r="U9" s="6">
        <f t="shared" si="0"/>
        <v>24750</v>
      </c>
      <c r="V9" s="6">
        <v>24750</v>
      </c>
      <c r="W9" s="6">
        <f t="shared" si="1"/>
        <v>0</v>
      </c>
    </row>
    <row r="10" spans="1:23" ht="14.5" x14ac:dyDescent="0.35">
      <c r="A10" s="5" t="s">
        <v>45</v>
      </c>
      <c r="B10" s="5" t="s">
        <v>46</v>
      </c>
      <c r="C10" s="5" t="s">
        <v>25</v>
      </c>
      <c r="D10" s="6">
        <v>23000</v>
      </c>
      <c r="E10" s="6">
        <v>0</v>
      </c>
      <c r="F10" s="6">
        <f t="shared" si="4"/>
        <v>17250</v>
      </c>
      <c r="G10" s="6">
        <v>1500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5000</v>
      </c>
      <c r="P10" s="6">
        <v>0</v>
      </c>
      <c r="Q10" s="6">
        <v>0</v>
      </c>
      <c r="R10" s="6">
        <v>7000</v>
      </c>
      <c r="S10" s="6">
        <v>0</v>
      </c>
      <c r="T10" s="6">
        <v>-20000</v>
      </c>
      <c r="U10" s="6">
        <f t="shared" si="0"/>
        <v>10750</v>
      </c>
      <c r="V10" s="6">
        <v>10750</v>
      </c>
      <c r="W10" s="6">
        <f t="shared" si="1"/>
        <v>0</v>
      </c>
    </row>
    <row r="11" spans="1:23" ht="14.5" x14ac:dyDescent="0.35">
      <c r="A11" s="5" t="s">
        <v>45</v>
      </c>
      <c r="B11" s="5" t="s">
        <v>47</v>
      </c>
      <c r="C11" s="5" t="s">
        <v>28</v>
      </c>
      <c r="D11" s="6">
        <v>25000</v>
      </c>
      <c r="E11" s="6">
        <v>0</v>
      </c>
      <c r="F11" s="6">
        <f t="shared" si="4"/>
        <v>18750</v>
      </c>
      <c r="G11" s="6">
        <v>2000</v>
      </c>
      <c r="H11" s="6">
        <v>0</v>
      </c>
      <c r="I11" s="6">
        <v>4000</v>
      </c>
      <c r="J11" s="6">
        <v>0</v>
      </c>
      <c r="K11" s="6">
        <v>3900</v>
      </c>
      <c r="L11" s="6">
        <v>0</v>
      </c>
      <c r="M11" s="6">
        <v>0</v>
      </c>
      <c r="N11" s="6">
        <v>0</v>
      </c>
      <c r="O11" s="6">
        <v>5000</v>
      </c>
      <c r="P11" s="6">
        <v>0</v>
      </c>
      <c r="Q11" s="6">
        <v>0</v>
      </c>
      <c r="R11" s="6">
        <v>7000</v>
      </c>
      <c r="S11" s="6">
        <v>0</v>
      </c>
      <c r="T11" s="6">
        <v>-20000</v>
      </c>
      <c r="U11" s="6">
        <f t="shared" si="0"/>
        <v>20650</v>
      </c>
      <c r="V11" s="6">
        <v>16750</v>
      </c>
      <c r="W11" s="6">
        <f t="shared" si="1"/>
        <v>3900</v>
      </c>
    </row>
    <row r="12" spans="1:23" ht="14.5" x14ac:dyDescent="0.35">
      <c r="A12" s="5" t="s">
        <v>48</v>
      </c>
      <c r="B12" s="5" t="s">
        <v>49</v>
      </c>
      <c r="C12" s="5" t="s">
        <v>28</v>
      </c>
      <c r="D12" s="6">
        <v>25000</v>
      </c>
      <c r="E12" s="6">
        <v>0</v>
      </c>
      <c r="F12" s="6">
        <f>D12</f>
        <v>25000</v>
      </c>
      <c r="G12" s="6">
        <v>2000</v>
      </c>
      <c r="H12" s="6">
        <v>0</v>
      </c>
      <c r="I12" s="6">
        <v>4000</v>
      </c>
      <c r="J12" s="6">
        <v>0</v>
      </c>
      <c r="K12" s="6">
        <v>3900</v>
      </c>
      <c r="L12" s="6">
        <v>0</v>
      </c>
      <c r="M12" s="6">
        <v>0</v>
      </c>
      <c r="N12" s="6">
        <v>0</v>
      </c>
      <c r="O12" s="6">
        <v>5000</v>
      </c>
      <c r="P12" s="6">
        <v>0</v>
      </c>
      <c r="Q12" s="6">
        <v>0</v>
      </c>
      <c r="R12" s="6">
        <v>7000</v>
      </c>
      <c r="S12" s="6">
        <v>0</v>
      </c>
      <c r="T12" s="6">
        <v>0</v>
      </c>
      <c r="U12" s="6">
        <f t="shared" si="0"/>
        <v>46900</v>
      </c>
      <c r="V12" s="6">
        <v>43000</v>
      </c>
      <c r="W12" s="6">
        <f t="shared" si="1"/>
        <v>3900</v>
      </c>
    </row>
    <row r="13" spans="1:23" ht="14.5" x14ac:dyDescent="0.35">
      <c r="A13" s="5" t="s">
        <v>50</v>
      </c>
      <c r="B13" s="5" t="s">
        <v>53</v>
      </c>
      <c r="C13" s="5" t="s">
        <v>54</v>
      </c>
      <c r="D13" s="6">
        <v>23000</v>
      </c>
      <c r="E13" s="6">
        <v>0</v>
      </c>
      <c r="F13" s="6">
        <f t="shared" ref="F13:F14" si="5">D13*0.75</f>
        <v>17250</v>
      </c>
      <c r="G13" s="6">
        <v>1500</v>
      </c>
      <c r="H13" s="6">
        <v>0</v>
      </c>
      <c r="I13" s="6">
        <v>2000</v>
      </c>
      <c r="J13" s="6">
        <v>0</v>
      </c>
      <c r="K13" s="6">
        <v>3500</v>
      </c>
      <c r="L13" s="6">
        <v>0</v>
      </c>
      <c r="M13" s="6">
        <v>0</v>
      </c>
      <c r="N13" s="6">
        <v>0</v>
      </c>
      <c r="O13" s="6">
        <v>5000</v>
      </c>
      <c r="P13" s="6">
        <v>0</v>
      </c>
      <c r="Q13" s="6">
        <v>0</v>
      </c>
      <c r="R13" s="6">
        <v>7000</v>
      </c>
      <c r="S13" s="6">
        <v>0</v>
      </c>
      <c r="T13" s="6">
        <v>0</v>
      </c>
      <c r="U13" s="6">
        <f t="shared" si="0"/>
        <v>36250</v>
      </c>
      <c r="V13" s="6">
        <v>36250</v>
      </c>
      <c r="W13" s="6">
        <f t="shared" si="1"/>
        <v>0</v>
      </c>
    </row>
    <row r="14" spans="1:23" ht="14.5" x14ac:dyDescent="0.35">
      <c r="A14" s="5" t="s">
        <v>50</v>
      </c>
      <c r="B14" s="5" t="s">
        <v>51</v>
      </c>
      <c r="C14" s="5" t="s">
        <v>52</v>
      </c>
      <c r="D14" s="6">
        <v>25000</v>
      </c>
      <c r="E14" s="6">
        <v>0</v>
      </c>
      <c r="F14" s="6">
        <f t="shared" si="5"/>
        <v>18750</v>
      </c>
      <c r="G14" s="6">
        <v>2000</v>
      </c>
      <c r="H14" s="6">
        <v>0</v>
      </c>
      <c r="I14" s="6">
        <v>4000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5000</v>
      </c>
      <c r="P14" s="6">
        <v>0</v>
      </c>
      <c r="Q14" s="6">
        <v>0</v>
      </c>
      <c r="R14" s="6">
        <v>7000</v>
      </c>
      <c r="S14" s="6">
        <v>0</v>
      </c>
      <c r="T14" s="6">
        <v>0</v>
      </c>
      <c r="U14" s="6">
        <f t="shared" si="0"/>
        <v>36750</v>
      </c>
      <c r="V14" s="6">
        <v>36750</v>
      </c>
      <c r="W14" s="6">
        <f t="shared" si="1"/>
        <v>0</v>
      </c>
    </row>
    <row r="15" spans="1:23" ht="14.5" x14ac:dyDescent="0.35">
      <c r="A15" s="5" t="s">
        <v>55</v>
      </c>
      <c r="B15" s="5" t="s">
        <v>387</v>
      </c>
      <c r="C15" s="5" t="s">
        <v>57</v>
      </c>
      <c r="D15" s="6">
        <v>37000</v>
      </c>
      <c r="E15" s="6">
        <v>0</v>
      </c>
      <c r="F15" s="6">
        <f>D15</f>
        <v>37000</v>
      </c>
      <c r="G15" s="6">
        <v>2500</v>
      </c>
      <c r="H15" s="6">
        <v>1500</v>
      </c>
      <c r="I15" s="6">
        <v>5000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7000</v>
      </c>
      <c r="S15" s="6">
        <v>0</v>
      </c>
      <c r="T15" s="6">
        <v>15350</v>
      </c>
      <c r="U15" s="6">
        <f t="shared" si="0"/>
        <v>68350</v>
      </c>
      <c r="V15" s="6">
        <v>65000</v>
      </c>
      <c r="W15" s="6">
        <f t="shared" si="1"/>
        <v>3350</v>
      </c>
    </row>
    <row r="16" spans="1:23" ht="14.5" x14ac:dyDescent="0.35">
      <c r="A16" s="5" t="s">
        <v>58</v>
      </c>
      <c r="B16" s="5" t="s">
        <v>59</v>
      </c>
      <c r="C16" s="5" t="s">
        <v>54</v>
      </c>
      <c r="D16" s="6">
        <v>23000</v>
      </c>
      <c r="E16" s="6">
        <v>0</v>
      </c>
      <c r="F16" s="6">
        <f t="shared" ref="F16:F20" si="6">D16*0.75</f>
        <v>17250</v>
      </c>
      <c r="G16" s="6">
        <v>1500</v>
      </c>
      <c r="H16" s="6">
        <v>0</v>
      </c>
      <c r="I16" s="6">
        <v>2000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7000</v>
      </c>
      <c r="S16" s="6">
        <v>0</v>
      </c>
      <c r="T16" s="6">
        <v>0</v>
      </c>
      <c r="U16" s="6">
        <f t="shared" si="0"/>
        <v>27750</v>
      </c>
      <c r="V16" s="6">
        <v>27750</v>
      </c>
      <c r="W16" s="6">
        <f t="shared" si="1"/>
        <v>0</v>
      </c>
    </row>
    <row r="17" spans="1:23" ht="14.5" x14ac:dyDescent="0.35">
      <c r="A17" s="5" t="s">
        <v>58</v>
      </c>
      <c r="B17" s="5" t="s">
        <v>60</v>
      </c>
      <c r="C17" s="5" t="s">
        <v>54</v>
      </c>
      <c r="D17" s="6">
        <v>23000</v>
      </c>
      <c r="E17" s="6">
        <v>0</v>
      </c>
      <c r="F17" s="6">
        <f t="shared" si="6"/>
        <v>17250</v>
      </c>
      <c r="G17" s="6">
        <v>1500</v>
      </c>
      <c r="H17" s="6">
        <v>0</v>
      </c>
      <c r="I17" s="6">
        <v>2000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7000</v>
      </c>
      <c r="S17" s="6">
        <v>0</v>
      </c>
      <c r="T17" s="6">
        <v>0</v>
      </c>
      <c r="U17" s="6">
        <f t="shared" si="0"/>
        <v>27750</v>
      </c>
      <c r="V17" s="6">
        <v>27750</v>
      </c>
      <c r="W17" s="6">
        <f t="shared" si="1"/>
        <v>0</v>
      </c>
    </row>
    <row r="18" spans="1:23" ht="15.75" customHeight="1" x14ac:dyDescent="0.35">
      <c r="A18" s="5" t="s">
        <v>58</v>
      </c>
      <c r="B18" s="5" t="s">
        <v>61</v>
      </c>
      <c r="C18" s="5" t="s">
        <v>32</v>
      </c>
      <c r="D18" s="6">
        <v>25000</v>
      </c>
      <c r="E18" s="6">
        <v>0</v>
      </c>
      <c r="F18" s="6">
        <f t="shared" si="6"/>
        <v>18750</v>
      </c>
      <c r="G18" s="6">
        <v>2000</v>
      </c>
      <c r="H18" s="6">
        <v>0</v>
      </c>
      <c r="I18" s="6">
        <v>4000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7000</v>
      </c>
      <c r="S18" s="6">
        <v>0</v>
      </c>
      <c r="T18" s="6">
        <v>0</v>
      </c>
      <c r="U18" s="6">
        <f t="shared" si="0"/>
        <v>31750</v>
      </c>
      <c r="V18" s="6">
        <v>32000</v>
      </c>
      <c r="W18" s="6">
        <f t="shared" si="1"/>
        <v>-250</v>
      </c>
    </row>
    <row r="19" spans="1:23" ht="15.75" customHeight="1" x14ac:dyDescent="0.35">
      <c r="A19" s="5" t="s">
        <v>388</v>
      </c>
      <c r="B19" s="5" t="s">
        <v>389</v>
      </c>
      <c r="C19" s="5" t="s">
        <v>25</v>
      </c>
      <c r="D19" s="6">
        <v>23000</v>
      </c>
      <c r="E19" s="6">
        <v>1500</v>
      </c>
      <c r="F19" s="6">
        <f t="shared" si="6"/>
        <v>17250</v>
      </c>
      <c r="G19" s="6">
        <v>1500</v>
      </c>
      <c r="H19" s="6">
        <v>1000</v>
      </c>
      <c r="I19" s="6">
        <v>0</v>
      </c>
      <c r="J19" s="6">
        <v>0</v>
      </c>
      <c r="K19" s="6">
        <v>0</v>
      </c>
      <c r="L19" s="6">
        <v>7000</v>
      </c>
      <c r="M19" s="6">
        <v>0</v>
      </c>
      <c r="N19" s="6">
        <v>4000</v>
      </c>
      <c r="O19" s="6">
        <v>5000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f t="shared" si="0"/>
        <v>37250</v>
      </c>
      <c r="V19" s="6">
        <v>37250</v>
      </c>
      <c r="W19" s="6">
        <f t="shared" si="1"/>
        <v>0</v>
      </c>
    </row>
    <row r="20" spans="1:23" ht="15.75" customHeight="1" x14ac:dyDescent="0.35">
      <c r="A20" s="5" t="s">
        <v>388</v>
      </c>
      <c r="B20" s="5" t="s">
        <v>390</v>
      </c>
      <c r="C20" s="5" t="s">
        <v>28</v>
      </c>
      <c r="D20" s="6">
        <v>25000</v>
      </c>
      <c r="E20" s="6">
        <v>1500</v>
      </c>
      <c r="F20" s="6">
        <f t="shared" si="6"/>
        <v>18750</v>
      </c>
      <c r="G20" s="6">
        <v>2000</v>
      </c>
      <c r="H20" s="6">
        <v>1500</v>
      </c>
      <c r="I20" s="6">
        <v>0</v>
      </c>
      <c r="J20" s="6">
        <v>0</v>
      </c>
      <c r="K20" s="6">
        <v>0</v>
      </c>
      <c r="L20" s="6">
        <v>7000</v>
      </c>
      <c r="M20" s="6">
        <v>0</v>
      </c>
      <c r="N20" s="6">
        <v>4000</v>
      </c>
      <c r="O20" s="6">
        <v>5000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f t="shared" si="0"/>
        <v>39750</v>
      </c>
      <c r="V20" s="6">
        <v>43750</v>
      </c>
      <c r="W20" s="6">
        <f t="shared" si="1"/>
        <v>-4000</v>
      </c>
    </row>
    <row r="21" spans="1:23" ht="15.75" customHeight="1" x14ac:dyDescent="0.35">
      <c r="A21" s="5" t="s">
        <v>62</v>
      </c>
      <c r="B21" s="5" t="s">
        <v>63</v>
      </c>
      <c r="C21" s="5" t="s">
        <v>28</v>
      </c>
      <c r="D21" s="6">
        <v>25000</v>
      </c>
      <c r="E21" s="6">
        <v>0</v>
      </c>
      <c r="F21" s="6">
        <f t="shared" ref="F21:F23" si="7">D21</f>
        <v>25000</v>
      </c>
      <c r="G21" s="6">
        <v>2000</v>
      </c>
      <c r="H21" s="6">
        <v>0</v>
      </c>
      <c r="I21" s="6">
        <v>4000</v>
      </c>
      <c r="J21" s="6">
        <v>0</v>
      </c>
      <c r="K21" s="6">
        <v>3900</v>
      </c>
      <c r="L21" s="6">
        <v>0</v>
      </c>
      <c r="M21" s="6">
        <v>1000</v>
      </c>
      <c r="N21" s="6">
        <v>0</v>
      </c>
      <c r="O21" s="6">
        <v>5000</v>
      </c>
      <c r="P21" s="6">
        <v>0</v>
      </c>
      <c r="Q21" s="6">
        <v>0</v>
      </c>
      <c r="R21" s="6">
        <v>7000</v>
      </c>
      <c r="S21" s="6">
        <v>0</v>
      </c>
      <c r="T21" s="6">
        <v>4000</v>
      </c>
      <c r="U21" s="6">
        <f t="shared" si="0"/>
        <v>51900</v>
      </c>
      <c r="V21" s="6">
        <v>51900</v>
      </c>
      <c r="W21" s="6">
        <f t="shared" si="1"/>
        <v>0</v>
      </c>
    </row>
    <row r="22" spans="1:23" ht="15.75" customHeight="1" x14ac:dyDescent="0.35">
      <c r="A22" s="5" t="s">
        <v>64</v>
      </c>
      <c r="B22" s="5" t="s">
        <v>65</v>
      </c>
      <c r="C22" s="5" t="s">
        <v>66</v>
      </c>
      <c r="D22" s="6">
        <v>25000</v>
      </c>
      <c r="E22" s="6">
        <v>0</v>
      </c>
      <c r="F22" s="6">
        <f t="shared" si="7"/>
        <v>25000</v>
      </c>
      <c r="G22" s="6">
        <v>2000</v>
      </c>
      <c r="H22" s="6">
        <v>0</v>
      </c>
      <c r="I22" s="6">
        <v>4000</v>
      </c>
      <c r="J22" s="6">
        <v>0</v>
      </c>
      <c r="K22" s="6">
        <v>3900</v>
      </c>
      <c r="L22" s="6">
        <v>0</v>
      </c>
      <c r="M22" s="6">
        <v>0</v>
      </c>
      <c r="N22" s="6">
        <v>0</v>
      </c>
      <c r="O22" s="6">
        <v>5000</v>
      </c>
      <c r="P22" s="6">
        <v>0</v>
      </c>
      <c r="Q22" s="6">
        <v>0</v>
      </c>
      <c r="R22" s="6">
        <v>7000</v>
      </c>
      <c r="S22" s="6">
        <v>0</v>
      </c>
      <c r="T22" s="6">
        <v>0</v>
      </c>
      <c r="U22" s="6">
        <f t="shared" si="0"/>
        <v>46900</v>
      </c>
      <c r="V22" s="6">
        <v>46900</v>
      </c>
      <c r="W22" s="6">
        <f t="shared" si="1"/>
        <v>0</v>
      </c>
    </row>
    <row r="23" spans="1:23" ht="15.75" customHeight="1" x14ac:dyDescent="0.35">
      <c r="A23" s="5" t="s">
        <v>67</v>
      </c>
      <c r="B23" s="5" t="s">
        <v>391</v>
      </c>
      <c r="C23" s="5" t="s">
        <v>57</v>
      </c>
      <c r="D23" s="6">
        <v>37000</v>
      </c>
      <c r="E23" s="6">
        <v>0</v>
      </c>
      <c r="F23" s="6">
        <f t="shared" si="7"/>
        <v>37000</v>
      </c>
      <c r="G23" s="6">
        <v>2500</v>
      </c>
      <c r="H23" s="6">
        <v>1500</v>
      </c>
      <c r="I23" s="6">
        <v>5000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6000</v>
      </c>
      <c r="P23" s="6">
        <v>0</v>
      </c>
      <c r="Q23" s="6">
        <v>0</v>
      </c>
      <c r="R23" s="6">
        <v>7000</v>
      </c>
      <c r="S23" s="6">
        <v>0</v>
      </c>
      <c r="T23" s="6">
        <v>0</v>
      </c>
      <c r="U23" s="6">
        <f t="shared" si="0"/>
        <v>59000</v>
      </c>
      <c r="V23" s="6">
        <v>59000</v>
      </c>
      <c r="W23" s="6">
        <f t="shared" si="1"/>
        <v>0</v>
      </c>
    </row>
    <row r="24" spans="1:23" ht="15.75" customHeight="1" x14ac:dyDescent="0.35">
      <c r="A24" s="5" t="s">
        <v>69</v>
      </c>
      <c r="B24" s="5" t="s">
        <v>59</v>
      </c>
      <c r="C24" s="5" t="s">
        <v>71</v>
      </c>
      <c r="D24" s="6">
        <v>23000</v>
      </c>
      <c r="E24" s="6">
        <v>0</v>
      </c>
      <c r="F24" s="6">
        <f t="shared" ref="F24:F26" si="8">D24*0.75</f>
        <v>17250</v>
      </c>
      <c r="G24" s="6">
        <v>1000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6">
        <v>4000</v>
      </c>
      <c r="N24" s="6">
        <v>4000</v>
      </c>
      <c r="O24" s="6">
        <v>0</v>
      </c>
      <c r="P24" s="6">
        <v>0</v>
      </c>
      <c r="Q24" s="6">
        <v>0</v>
      </c>
      <c r="R24" s="6">
        <v>7000</v>
      </c>
      <c r="S24" s="6">
        <v>0</v>
      </c>
      <c r="T24" s="6">
        <v>970</v>
      </c>
      <c r="U24" s="6">
        <f t="shared" si="0"/>
        <v>34220</v>
      </c>
      <c r="V24" s="6">
        <v>34000</v>
      </c>
      <c r="W24" s="6">
        <f t="shared" si="1"/>
        <v>220</v>
      </c>
    </row>
    <row r="25" spans="1:23" ht="15.75" customHeight="1" x14ac:dyDescent="0.35">
      <c r="A25" s="5" t="s">
        <v>69</v>
      </c>
      <c r="B25" s="5" t="s">
        <v>72</v>
      </c>
      <c r="C25" s="5" t="s">
        <v>52</v>
      </c>
      <c r="D25" s="6">
        <v>25000</v>
      </c>
      <c r="E25" s="6">
        <v>0</v>
      </c>
      <c r="F25" s="6">
        <f t="shared" si="8"/>
        <v>18750</v>
      </c>
      <c r="G25" s="6">
        <v>2000</v>
      </c>
      <c r="H25" s="6">
        <v>0</v>
      </c>
      <c r="I25" s="6">
        <v>4000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5000</v>
      </c>
      <c r="P25" s="6">
        <v>0</v>
      </c>
      <c r="Q25" s="6">
        <v>0</v>
      </c>
      <c r="R25" s="6">
        <v>7000</v>
      </c>
      <c r="S25" s="6">
        <v>0</v>
      </c>
      <c r="T25" s="6">
        <v>0</v>
      </c>
      <c r="U25" s="6">
        <f t="shared" si="0"/>
        <v>36750</v>
      </c>
      <c r="V25" s="6">
        <v>36750</v>
      </c>
      <c r="W25" s="6">
        <f t="shared" si="1"/>
        <v>0</v>
      </c>
    </row>
    <row r="26" spans="1:23" ht="15.75" customHeight="1" x14ac:dyDescent="0.35">
      <c r="A26" s="5" t="s">
        <v>69</v>
      </c>
      <c r="B26" s="5" t="s">
        <v>70</v>
      </c>
      <c r="C26" s="5" t="s">
        <v>28</v>
      </c>
      <c r="D26" s="6">
        <v>25000</v>
      </c>
      <c r="E26" s="6">
        <v>0</v>
      </c>
      <c r="F26" s="6">
        <f t="shared" si="8"/>
        <v>18750</v>
      </c>
      <c r="G26" s="6">
        <v>2000</v>
      </c>
      <c r="H26" s="6">
        <v>0</v>
      </c>
      <c r="I26" s="6">
        <v>4000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5000</v>
      </c>
      <c r="P26" s="6">
        <v>0</v>
      </c>
      <c r="Q26" s="6">
        <v>0</v>
      </c>
      <c r="R26" s="6">
        <v>7000</v>
      </c>
      <c r="S26" s="6">
        <v>0</v>
      </c>
      <c r="T26" s="6">
        <v>0</v>
      </c>
      <c r="U26" s="6">
        <f t="shared" si="0"/>
        <v>36750</v>
      </c>
      <c r="V26" s="6">
        <v>36750</v>
      </c>
      <c r="W26" s="6">
        <f t="shared" si="1"/>
        <v>0</v>
      </c>
    </row>
    <row r="27" spans="1:23" ht="15.75" customHeight="1" x14ac:dyDescent="0.35">
      <c r="A27" s="5" t="s">
        <v>73</v>
      </c>
      <c r="B27" s="5" t="s">
        <v>392</v>
      </c>
      <c r="C27" s="5" t="s">
        <v>75</v>
      </c>
      <c r="D27" s="6">
        <v>0</v>
      </c>
      <c r="E27" s="6">
        <v>0</v>
      </c>
      <c r="F27" s="6">
        <f t="shared" ref="F27:F34" si="9">D27</f>
        <v>0</v>
      </c>
      <c r="G27" s="6">
        <f>D27</f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1500</v>
      </c>
      <c r="U27" s="6">
        <f t="shared" si="0"/>
        <v>1500</v>
      </c>
      <c r="V27" s="6">
        <v>3000</v>
      </c>
      <c r="W27" s="6">
        <f t="shared" si="1"/>
        <v>-1500</v>
      </c>
    </row>
    <row r="28" spans="1:23" ht="15.75" customHeight="1" x14ac:dyDescent="0.35">
      <c r="A28" s="5" t="s">
        <v>78</v>
      </c>
      <c r="B28" s="5" t="s">
        <v>393</v>
      </c>
      <c r="C28" s="5" t="s">
        <v>80</v>
      </c>
      <c r="D28" s="6">
        <v>37000</v>
      </c>
      <c r="E28" s="6">
        <v>0</v>
      </c>
      <c r="F28" s="6">
        <f t="shared" si="9"/>
        <v>37000</v>
      </c>
      <c r="G28" s="6">
        <v>2500</v>
      </c>
      <c r="H28" s="6">
        <v>1500</v>
      </c>
      <c r="I28" s="6">
        <v>5000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7000</v>
      </c>
      <c r="S28" s="6">
        <v>0</v>
      </c>
      <c r="T28" s="6">
        <v>35350</v>
      </c>
      <c r="U28" s="6">
        <f t="shared" si="0"/>
        <v>88350</v>
      </c>
      <c r="V28" s="6">
        <v>90000</v>
      </c>
      <c r="W28" s="6">
        <f t="shared" si="1"/>
        <v>-1650</v>
      </c>
    </row>
    <row r="29" spans="1:23" ht="15.75" customHeight="1" x14ac:dyDescent="0.35">
      <c r="A29" s="5" t="s">
        <v>81</v>
      </c>
      <c r="B29" s="5" t="s">
        <v>394</v>
      </c>
      <c r="C29" s="5" t="s">
        <v>75</v>
      </c>
      <c r="D29" s="6">
        <v>29500</v>
      </c>
      <c r="E29" s="6">
        <v>0</v>
      </c>
      <c r="F29" s="6">
        <f t="shared" si="9"/>
        <v>29500</v>
      </c>
      <c r="G29" s="6">
        <v>2500</v>
      </c>
      <c r="H29" s="6">
        <v>1500</v>
      </c>
      <c r="I29" s="6">
        <v>5000</v>
      </c>
      <c r="J29" s="6">
        <v>0</v>
      </c>
      <c r="K29" s="6">
        <v>9500</v>
      </c>
      <c r="L29" s="6">
        <v>0</v>
      </c>
      <c r="M29" s="6">
        <v>0</v>
      </c>
      <c r="N29" s="6">
        <v>0</v>
      </c>
      <c r="O29" s="6">
        <v>6000</v>
      </c>
      <c r="P29" s="6">
        <v>0</v>
      </c>
      <c r="Q29" s="6">
        <v>0</v>
      </c>
      <c r="R29" s="6">
        <v>7000</v>
      </c>
      <c r="S29" s="6">
        <v>0</v>
      </c>
      <c r="T29" s="6">
        <v>6060</v>
      </c>
      <c r="U29" s="6">
        <f t="shared" si="0"/>
        <v>67060</v>
      </c>
      <c r="V29" s="6">
        <v>70000</v>
      </c>
      <c r="W29" s="6">
        <f t="shared" si="1"/>
        <v>-2940</v>
      </c>
    </row>
    <row r="30" spans="1:23" ht="15.75" customHeight="1" x14ac:dyDescent="0.35">
      <c r="A30" s="5" t="s">
        <v>81</v>
      </c>
      <c r="B30" s="5" t="s">
        <v>82</v>
      </c>
      <c r="C30" s="5" t="s">
        <v>25</v>
      </c>
      <c r="D30" s="6">
        <v>23000</v>
      </c>
      <c r="E30" s="6">
        <v>0</v>
      </c>
      <c r="F30" s="6">
        <f t="shared" si="9"/>
        <v>23000</v>
      </c>
      <c r="G30" s="6">
        <v>1500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5000</v>
      </c>
      <c r="P30" s="6">
        <v>0</v>
      </c>
      <c r="Q30" s="6">
        <v>0</v>
      </c>
      <c r="R30" s="6">
        <v>7000</v>
      </c>
      <c r="S30" s="6">
        <v>0</v>
      </c>
      <c r="T30" s="6">
        <v>255</v>
      </c>
      <c r="U30" s="6">
        <f t="shared" si="0"/>
        <v>36755</v>
      </c>
      <c r="V30" s="6">
        <v>35000</v>
      </c>
      <c r="W30" s="6">
        <f t="shared" si="1"/>
        <v>1755</v>
      </c>
    </row>
    <row r="31" spans="1:23" ht="15.75" customHeight="1" x14ac:dyDescent="0.35">
      <c r="A31" s="5" t="s">
        <v>59</v>
      </c>
      <c r="B31" s="5" t="s">
        <v>395</v>
      </c>
      <c r="C31" s="5" t="s">
        <v>80</v>
      </c>
      <c r="D31" s="6">
        <v>37000</v>
      </c>
      <c r="E31" s="6">
        <v>0</v>
      </c>
      <c r="F31" s="6">
        <f t="shared" si="9"/>
        <v>37000</v>
      </c>
      <c r="G31" s="6">
        <v>2500</v>
      </c>
      <c r="H31" s="6">
        <v>1500</v>
      </c>
      <c r="I31" s="6">
        <v>5000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7000</v>
      </c>
      <c r="S31" s="6">
        <v>0</v>
      </c>
      <c r="T31" s="6">
        <v>0</v>
      </c>
      <c r="U31" s="6">
        <f t="shared" si="0"/>
        <v>53000</v>
      </c>
      <c r="V31" s="6">
        <v>53000</v>
      </c>
      <c r="W31" s="6">
        <f t="shared" si="1"/>
        <v>0</v>
      </c>
    </row>
    <row r="32" spans="1:23" ht="15.75" customHeight="1" x14ac:dyDescent="0.35">
      <c r="A32" s="5" t="s">
        <v>72</v>
      </c>
      <c r="B32" s="5" t="s">
        <v>99</v>
      </c>
      <c r="C32" s="5" t="s">
        <v>36</v>
      </c>
      <c r="D32" s="6">
        <v>23000</v>
      </c>
      <c r="E32" s="6">
        <v>0</v>
      </c>
      <c r="F32" s="6">
        <f t="shared" si="9"/>
        <v>23000</v>
      </c>
      <c r="G32" s="6">
        <v>1500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6">
        <v>5000</v>
      </c>
      <c r="P32" s="6">
        <v>0</v>
      </c>
      <c r="Q32" s="6">
        <v>0</v>
      </c>
      <c r="R32" s="6">
        <v>7000</v>
      </c>
      <c r="S32" s="6">
        <v>0</v>
      </c>
      <c r="T32" s="6">
        <v>14595</v>
      </c>
      <c r="U32" s="6">
        <f t="shared" si="0"/>
        <v>51095</v>
      </c>
      <c r="V32" s="6">
        <v>51000</v>
      </c>
      <c r="W32" s="6">
        <f t="shared" si="1"/>
        <v>95</v>
      </c>
    </row>
    <row r="33" spans="1:23" ht="15.75" customHeight="1" x14ac:dyDescent="0.35">
      <c r="A33" s="5" t="s">
        <v>72</v>
      </c>
      <c r="B33" s="5" t="s">
        <v>85</v>
      </c>
      <c r="C33" s="5" t="s">
        <v>28</v>
      </c>
      <c r="D33" s="6">
        <v>25000</v>
      </c>
      <c r="E33" s="6">
        <v>0</v>
      </c>
      <c r="F33" s="6">
        <f t="shared" si="9"/>
        <v>25000</v>
      </c>
      <c r="G33" s="6">
        <v>2000</v>
      </c>
      <c r="H33" s="6">
        <v>0</v>
      </c>
      <c r="I33" s="6">
        <v>4000</v>
      </c>
      <c r="J33" s="6">
        <v>0</v>
      </c>
      <c r="K33" s="6">
        <v>3900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7000</v>
      </c>
      <c r="S33" s="6">
        <v>0</v>
      </c>
      <c r="T33" s="6">
        <v>0</v>
      </c>
      <c r="U33" s="6">
        <f t="shared" si="0"/>
        <v>41900</v>
      </c>
      <c r="V33" s="6">
        <v>41900</v>
      </c>
      <c r="W33" s="6">
        <f t="shared" si="1"/>
        <v>0</v>
      </c>
    </row>
    <row r="34" spans="1:23" ht="15.75" customHeight="1" x14ac:dyDescent="0.35">
      <c r="A34" s="5" t="s">
        <v>86</v>
      </c>
      <c r="B34" s="5" t="s">
        <v>87</v>
      </c>
      <c r="C34" s="5" t="s">
        <v>25</v>
      </c>
      <c r="D34" s="6">
        <v>23000</v>
      </c>
      <c r="E34" s="6">
        <v>0</v>
      </c>
      <c r="F34" s="6">
        <f t="shared" si="9"/>
        <v>23000</v>
      </c>
      <c r="G34" s="6">
        <v>1500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5000</v>
      </c>
      <c r="P34" s="6">
        <v>0</v>
      </c>
      <c r="Q34" s="6">
        <v>0</v>
      </c>
      <c r="R34" s="6">
        <v>7000</v>
      </c>
      <c r="S34" s="6">
        <v>0</v>
      </c>
      <c r="T34" s="6">
        <v>8000</v>
      </c>
      <c r="U34" s="6">
        <f t="shared" si="0"/>
        <v>44500</v>
      </c>
      <c r="V34" s="6">
        <v>44500</v>
      </c>
      <c r="W34" s="6">
        <f t="shared" si="1"/>
        <v>0</v>
      </c>
    </row>
    <row r="35" spans="1:23" ht="15.75" customHeight="1" x14ac:dyDescent="0.35">
      <c r="A35" s="5" t="s">
        <v>88</v>
      </c>
      <c r="B35" s="5" t="s">
        <v>89</v>
      </c>
      <c r="C35" s="5" t="s">
        <v>25</v>
      </c>
      <c r="D35" s="6">
        <v>23000</v>
      </c>
      <c r="E35" s="6">
        <v>0</v>
      </c>
      <c r="F35" s="6">
        <f t="shared" ref="F35:F36" si="10">D35*0.75</f>
        <v>17250</v>
      </c>
      <c r="G35" s="6">
        <v>1500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5000</v>
      </c>
      <c r="P35" s="6">
        <v>0</v>
      </c>
      <c r="Q35" s="6">
        <v>0</v>
      </c>
      <c r="R35" s="6">
        <v>7000</v>
      </c>
      <c r="S35" s="6">
        <v>0</v>
      </c>
      <c r="T35" s="6">
        <v>0</v>
      </c>
      <c r="U35" s="6">
        <f t="shared" si="0"/>
        <v>30750</v>
      </c>
      <c r="V35" s="6">
        <v>30750</v>
      </c>
      <c r="W35" s="6">
        <f t="shared" si="1"/>
        <v>0</v>
      </c>
    </row>
    <row r="36" spans="1:23" ht="15.75" customHeight="1" x14ac:dyDescent="0.35">
      <c r="A36" s="5" t="s">
        <v>91</v>
      </c>
      <c r="B36" s="5" t="s">
        <v>92</v>
      </c>
      <c r="C36" s="5" t="s">
        <v>28</v>
      </c>
      <c r="D36" s="6">
        <v>25000</v>
      </c>
      <c r="E36" s="6">
        <v>0</v>
      </c>
      <c r="F36" s="6">
        <f t="shared" si="10"/>
        <v>18750</v>
      </c>
      <c r="G36" s="6">
        <v>2000</v>
      </c>
      <c r="H36" s="6">
        <v>0</v>
      </c>
      <c r="I36" s="6">
        <v>4000</v>
      </c>
      <c r="J36" s="6">
        <v>0</v>
      </c>
      <c r="K36" s="6">
        <v>3900</v>
      </c>
      <c r="L36" s="6">
        <v>0</v>
      </c>
      <c r="M36" s="6">
        <v>0</v>
      </c>
      <c r="N36" s="6">
        <v>0</v>
      </c>
      <c r="O36" s="6">
        <v>5000</v>
      </c>
      <c r="P36" s="6">
        <v>0</v>
      </c>
      <c r="Q36" s="6">
        <v>0</v>
      </c>
      <c r="R36" s="6">
        <v>7000</v>
      </c>
      <c r="S36" s="6">
        <v>0</v>
      </c>
      <c r="T36" s="6">
        <v>60</v>
      </c>
      <c r="U36" s="6">
        <f t="shared" si="0"/>
        <v>40710</v>
      </c>
      <c r="V36" s="6">
        <v>33800</v>
      </c>
      <c r="W36" s="6">
        <f t="shared" si="1"/>
        <v>6910</v>
      </c>
    </row>
    <row r="37" spans="1:23" ht="15.75" customHeight="1" x14ac:dyDescent="0.35">
      <c r="A37" s="5" t="s">
        <v>93</v>
      </c>
      <c r="B37" s="5" t="s">
        <v>396</v>
      </c>
      <c r="C37" s="5" t="s">
        <v>75</v>
      </c>
      <c r="D37" s="6">
        <v>0</v>
      </c>
      <c r="E37" s="6">
        <v>0</v>
      </c>
      <c r="F37" s="6">
        <f>D37*1</f>
        <v>0</v>
      </c>
      <c r="G37" s="6">
        <f>D37</f>
        <v>0</v>
      </c>
      <c r="H37" s="6">
        <v>0</v>
      </c>
      <c r="I37" s="6">
        <v>0</v>
      </c>
      <c r="J37" s="6">
        <v>0</v>
      </c>
      <c r="K37" s="6">
        <v>5000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7000</v>
      </c>
      <c r="S37" s="6">
        <v>0</v>
      </c>
      <c r="T37" s="6">
        <v>0</v>
      </c>
      <c r="U37" s="6">
        <f t="shared" si="0"/>
        <v>12000</v>
      </c>
      <c r="V37" s="6">
        <v>12000</v>
      </c>
      <c r="W37" s="6">
        <f t="shared" si="1"/>
        <v>0</v>
      </c>
    </row>
    <row r="38" spans="1:23" ht="15.75" customHeight="1" x14ac:dyDescent="0.35">
      <c r="A38" s="5" t="s">
        <v>93</v>
      </c>
      <c r="B38" s="5" t="s">
        <v>397</v>
      </c>
      <c r="C38" s="5" t="s">
        <v>34</v>
      </c>
      <c r="D38" s="6">
        <v>23000</v>
      </c>
      <c r="E38" s="6">
        <v>0</v>
      </c>
      <c r="F38" s="6">
        <f t="shared" ref="F38:F40" si="11">D38*0.75</f>
        <v>17250</v>
      </c>
      <c r="G38" s="6">
        <v>1500</v>
      </c>
      <c r="H38" s="6">
        <v>0</v>
      </c>
      <c r="I38" s="6">
        <v>2000</v>
      </c>
      <c r="J38" s="6">
        <v>0</v>
      </c>
      <c r="K38" s="6">
        <v>3500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10000</v>
      </c>
      <c r="S38" s="6">
        <v>0</v>
      </c>
      <c r="T38" s="6">
        <v>-20</v>
      </c>
      <c r="U38" s="6">
        <f t="shared" si="0"/>
        <v>34230</v>
      </c>
      <c r="V38" s="6">
        <v>20000</v>
      </c>
      <c r="W38" s="6">
        <f t="shared" si="1"/>
        <v>14230</v>
      </c>
    </row>
    <row r="39" spans="1:23" ht="15.75" customHeight="1" x14ac:dyDescent="0.35">
      <c r="A39" s="5" t="s">
        <v>93</v>
      </c>
      <c r="B39" s="5" t="s">
        <v>398</v>
      </c>
      <c r="C39" s="5" t="s">
        <v>32</v>
      </c>
      <c r="D39" s="6">
        <v>25000</v>
      </c>
      <c r="E39" s="6">
        <v>0</v>
      </c>
      <c r="F39" s="6">
        <f t="shared" si="11"/>
        <v>18750</v>
      </c>
      <c r="G39" s="6">
        <v>2000</v>
      </c>
      <c r="H39" s="6">
        <v>0</v>
      </c>
      <c r="I39" s="6">
        <v>4000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7000</v>
      </c>
      <c r="S39" s="6">
        <v>0</v>
      </c>
      <c r="T39" s="6">
        <v>0</v>
      </c>
      <c r="U39" s="6">
        <f t="shared" si="0"/>
        <v>31750</v>
      </c>
      <c r="V39" s="6">
        <v>20000</v>
      </c>
      <c r="W39" s="6">
        <f t="shared" si="1"/>
        <v>11750</v>
      </c>
    </row>
    <row r="40" spans="1:23" ht="15.75" customHeight="1" x14ac:dyDescent="0.35">
      <c r="A40" s="5" t="s">
        <v>93</v>
      </c>
      <c r="B40" s="5" t="s">
        <v>399</v>
      </c>
      <c r="C40" s="5" t="s">
        <v>57</v>
      </c>
      <c r="D40" s="6">
        <v>37000</v>
      </c>
      <c r="E40" s="6">
        <v>0</v>
      </c>
      <c r="F40" s="6">
        <f t="shared" si="11"/>
        <v>27750</v>
      </c>
      <c r="G40" s="6">
        <v>2500</v>
      </c>
      <c r="H40" s="6">
        <v>1500</v>
      </c>
      <c r="I40" s="6">
        <v>5000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7000</v>
      </c>
      <c r="S40" s="6">
        <v>0</v>
      </c>
      <c r="T40" s="6">
        <v>0</v>
      </c>
      <c r="U40" s="6">
        <f t="shared" si="0"/>
        <v>43750</v>
      </c>
      <c r="V40" s="6">
        <v>38000</v>
      </c>
      <c r="W40" s="6">
        <f t="shared" si="1"/>
        <v>5750</v>
      </c>
    </row>
    <row r="41" spans="1:23" ht="15.75" customHeight="1" x14ac:dyDescent="0.35">
      <c r="A41" s="5" t="s">
        <v>100</v>
      </c>
      <c r="B41" s="5" t="s">
        <v>101</v>
      </c>
      <c r="C41" s="5" t="s">
        <v>71</v>
      </c>
      <c r="D41" s="6">
        <v>23000</v>
      </c>
      <c r="E41" s="6">
        <v>0</v>
      </c>
      <c r="F41" s="6">
        <f>D41*1</f>
        <v>23000</v>
      </c>
      <c r="G41" s="6">
        <v>1000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7000</v>
      </c>
      <c r="S41" s="6">
        <v>0</v>
      </c>
      <c r="T41" s="6">
        <v>1200</v>
      </c>
      <c r="U41" s="6">
        <f t="shared" si="0"/>
        <v>32200</v>
      </c>
      <c r="V41" s="6">
        <v>26200</v>
      </c>
      <c r="W41" s="6">
        <f t="shared" si="1"/>
        <v>6000</v>
      </c>
    </row>
    <row r="42" spans="1:23" ht="15.75" customHeight="1" x14ac:dyDescent="0.35">
      <c r="A42" s="5" t="s">
        <v>102</v>
      </c>
      <c r="B42" s="5" t="s">
        <v>103</v>
      </c>
      <c r="C42" s="5" t="s">
        <v>54</v>
      </c>
      <c r="D42" s="6">
        <v>23000</v>
      </c>
      <c r="E42" s="6">
        <v>0</v>
      </c>
      <c r="F42" s="6">
        <f t="shared" ref="F42:F45" si="12">D42*0.75</f>
        <v>17250</v>
      </c>
      <c r="G42" s="6">
        <v>1500</v>
      </c>
      <c r="H42" s="6">
        <v>0</v>
      </c>
      <c r="I42" s="6">
        <v>2000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1200</v>
      </c>
      <c r="Q42" s="6">
        <v>0</v>
      </c>
      <c r="R42" s="6">
        <v>0</v>
      </c>
      <c r="S42" s="6">
        <v>0</v>
      </c>
      <c r="T42" s="6">
        <v>3065</v>
      </c>
      <c r="U42" s="6">
        <f t="shared" si="0"/>
        <v>25015</v>
      </c>
      <c r="V42" s="6">
        <v>0</v>
      </c>
      <c r="W42" s="6">
        <f t="shared" si="1"/>
        <v>25015</v>
      </c>
    </row>
    <row r="43" spans="1:23" ht="15.75" customHeight="1" x14ac:dyDescent="0.35">
      <c r="A43" s="5" t="s">
        <v>102</v>
      </c>
      <c r="B43" s="5" t="s">
        <v>104</v>
      </c>
      <c r="C43" s="5" t="s">
        <v>25</v>
      </c>
      <c r="D43" s="6">
        <v>23000</v>
      </c>
      <c r="E43" s="6">
        <v>0</v>
      </c>
      <c r="F43" s="6">
        <f t="shared" si="12"/>
        <v>17250</v>
      </c>
      <c r="G43" s="6">
        <v>1500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1200</v>
      </c>
      <c r="Q43" s="6">
        <v>0</v>
      </c>
      <c r="R43" s="6">
        <v>0</v>
      </c>
      <c r="S43" s="6">
        <v>0</v>
      </c>
      <c r="T43" s="6">
        <v>0</v>
      </c>
      <c r="U43" s="6">
        <f t="shared" si="0"/>
        <v>19950</v>
      </c>
      <c r="V43" s="6">
        <v>0</v>
      </c>
      <c r="W43" s="6">
        <f t="shared" si="1"/>
        <v>19950</v>
      </c>
    </row>
    <row r="44" spans="1:23" ht="15.75" customHeight="1" x14ac:dyDescent="0.35">
      <c r="A44" s="5" t="s">
        <v>105</v>
      </c>
      <c r="B44" s="5" t="s">
        <v>400</v>
      </c>
      <c r="C44" s="5" t="s">
        <v>107</v>
      </c>
      <c r="D44" s="6">
        <v>29500</v>
      </c>
      <c r="E44" s="6">
        <v>0</v>
      </c>
      <c r="F44" s="6">
        <f t="shared" si="12"/>
        <v>22125</v>
      </c>
      <c r="G44" s="6">
        <v>2500</v>
      </c>
      <c r="H44" s="6">
        <v>1500</v>
      </c>
      <c r="I44" s="6">
        <v>5000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10000</v>
      </c>
      <c r="R44" s="6">
        <v>7000</v>
      </c>
      <c r="S44" s="6">
        <v>0</v>
      </c>
      <c r="T44" s="6">
        <v>7225</v>
      </c>
      <c r="U44" s="6">
        <f t="shared" si="0"/>
        <v>55350</v>
      </c>
      <c r="V44" s="6">
        <v>50000</v>
      </c>
      <c r="W44" s="6">
        <f t="shared" si="1"/>
        <v>5350</v>
      </c>
    </row>
    <row r="45" spans="1:23" ht="15.75" customHeight="1" x14ac:dyDescent="0.35">
      <c r="A45" s="5" t="s">
        <v>105</v>
      </c>
      <c r="B45" s="5" t="s">
        <v>401</v>
      </c>
      <c r="C45" s="5" t="s">
        <v>80</v>
      </c>
      <c r="D45" s="6">
        <v>37000</v>
      </c>
      <c r="E45" s="6">
        <v>0</v>
      </c>
      <c r="F45" s="6">
        <f t="shared" si="12"/>
        <v>27750</v>
      </c>
      <c r="G45" s="6">
        <v>2500</v>
      </c>
      <c r="H45" s="6">
        <v>1500</v>
      </c>
      <c r="I45" s="6">
        <v>5000</v>
      </c>
      <c r="J45" s="6">
        <v>0</v>
      </c>
      <c r="K45" s="6">
        <v>0</v>
      </c>
      <c r="L45" s="6">
        <v>5500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7000</v>
      </c>
      <c r="S45" s="6">
        <v>0</v>
      </c>
      <c r="T45" s="6">
        <v>1900</v>
      </c>
      <c r="U45" s="6">
        <f t="shared" si="0"/>
        <v>51150</v>
      </c>
      <c r="V45" s="6">
        <v>45000</v>
      </c>
      <c r="W45" s="6">
        <f t="shared" si="1"/>
        <v>6150</v>
      </c>
    </row>
    <row r="46" spans="1:23" ht="15.75" customHeight="1" x14ac:dyDescent="0.35">
      <c r="A46" s="5" t="s">
        <v>108</v>
      </c>
      <c r="B46" s="5" t="s">
        <v>109</v>
      </c>
      <c r="C46" s="5" t="s">
        <v>25</v>
      </c>
      <c r="D46" s="6">
        <v>23000</v>
      </c>
      <c r="E46" s="6">
        <v>0</v>
      </c>
      <c r="F46" s="6">
        <f t="shared" ref="F46:F49" si="13">D46</f>
        <v>23000</v>
      </c>
      <c r="G46" s="6">
        <v>1500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7000</v>
      </c>
      <c r="S46" s="6">
        <v>0</v>
      </c>
      <c r="T46" s="6">
        <v>0</v>
      </c>
      <c r="U46" s="6">
        <f t="shared" si="0"/>
        <v>31500</v>
      </c>
      <c r="V46" s="6">
        <v>31500</v>
      </c>
      <c r="W46" s="6">
        <f t="shared" si="1"/>
        <v>0</v>
      </c>
    </row>
    <row r="47" spans="1:23" ht="15.75" customHeight="1" x14ac:dyDescent="0.35">
      <c r="A47" s="5" t="s">
        <v>302</v>
      </c>
      <c r="B47" s="5" t="s">
        <v>303</v>
      </c>
      <c r="C47" s="5" t="s">
        <v>71</v>
      </c>
      <c r="D47" s="6">
        <v>23000</v>
      </c>
      <c r="E47" s="6">
        <v>0</v>
      </c>
      <c r="F47" s="6">
        <f t="shared" si="13"/>
        <v>23000</v>
      </c>
      <c r="G47" s="6">
        <v>1000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7000</v>
      </c>
      <c r="S47" s="6">
        <v>0</v>
      </c>
      <c r="T47" s="6">
        <v>0</v>
      </c>
      <c r="U47" s="6">
        <f t="shared" si="0"/>
        <v>31000</v>
      </c>
      <c r="V47" s="6">
        <v>31000</v>
      </c>
      <c r="W47" s="6">
        <f t="shared" si="1"/>
        <v>0</v>
      </c>
    </row>
    <row r="48" spans="1:23" ht="15.75" customHeight="1" x14ac:dyDescent="0.35">
      <c r="A48" s="5" t="s">
        <v>110</v>
      </c>
      <c r="B48" s="5" t="s">
        <v>111</v>
      </c>
      <c r="C48" s="5" t="s">
        <v>57</v>
      </c>
      <c r="D48" s="6">
        <v>37000</v>
      </c>
      <c r="E48" s="6">
        <v>0</v>
      </c>
      <c r="F48" s="6">
        <f t="shared" si="13"/>
        <v>37000</v>
      </c>
      <c r="G48" s="6">
        <v>2500</v>
      </c>
      <c r="H48" s="6">
        <v>1500</v>
      </c>
      <c r="I48" s="6">
        <v>5000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7000</v>
      </c>
      <c r="S48" s="6">
        <v>0</v>
      </c>
      <c r="T48" s="6">
        <v>0</v>
      </c>
      <c r="U48" s="6">
        <f t="shared" si="0"/>
        <v>53000</v>
      </c>
      <c r="V48" s="6">
        <v>53000</v>
      </c>
      <c r="W48" s="6">
        <f t="shared" si="1"/>
        <v>0</v>
      </c>
    </row>
    <row r="49" spans="1:23" ht="15.75" customHeight="1" x14ac:dyDescent="0.35">
      <c r="A49" s="5" t="s">
        <v>402</v>
      </c>
      <c r="B49" s="5" t="s">
        <v>403</v>
      </c>
      <c r="C49" s="5" t="s">
        <v>71</v>
      </c>
      <c r="D49" s="6">
        <v>23000</v>
      </c>
      <c r="E49" s="6">
        <v>1500</v>
      </c>
      <c r="F49" s="6">
        <f t="shared" si="13"/>
        <v>23000</v>
      </c>
      <c r="G49" s="6">
        <v>1000</v>
      </c>
      <c r="H49" s="6">
        <v>0</v>
      </c>
      <c r="I49" s="6">
        <v>0</v>
      </c>
      <c r="J49" s="6">
        <v>0</v>
      </c>
      <c r="K49" s="6">
        <v>0</v>
      </c>
      <c r="L49" s="6">
        <v>12000</v>
      </c>
      <c r="M49" s="6">
        <v>4000</v>
      </c>
      <c r="N49" s="6">
        <v>0</v>
      </c>
      <c r="O49" s="6">
        <v>0</v>
      </c>
      <c r="P49" s="6">
        <v>0</v>
      </c>
      <c r="Q49" s="6">
        <v>0</v>
      </c>
      <c r="R49" s="6">
        <v>7000</v>
      </c>
      <c r="S49" s="6">
        <v>0</v>
      </c>
      <c r="T49" s="6">
        <v>0</v>
      </c>
      <c r="U49" s="6">
        <f t="shared" si="0"/>
        <v>48500</v>
      </c>
      <c r="V49" s="6">
        <v>48500</v>
      </c>
      <c r="W49" s="6">
        <f t="shared" si="1"/>
        <v>0</v>
      </c>
    </row>
    <row r="50" spans="1:23" ht="15.75" customHeight="1" x14ac:dyDescent="0.35">
      <c r="A50" s="5" t="s">
        <v>112</v>
      </c>
      <c r="B50" s="5" t="s">
        <v>114</v>
      </c>
      <c r="C50" s="5" t="s">
        <v>34</v>
      </c>
      <c r="D50" s="6">
        <v>23000</v>
      </c>
      <c r="E50" s="6">
        <v>0</v>
      </c>
      <c r="F50" s="6">
        <f t="shared" ref="F50:F56" si="14">D50*0.75</f>
        <v>17250</v>
      </c>
      <c r="G50" s="6">
        <v>1500</v>
      </c>
      <c r="H50" s="6">
        <v>0</v>
      </c>
      <c r="I50" s="6">
        <v>2000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5000</v>
      </c>
      <c r="P50" s="6">
        <v>0</v>
      </c>
      <c r="Q50" s="6">
        <v>0</v>
      </c>
      <c r="R50" s="6">
        <v>10000</v>
      </c>
      <c r="S50" s="6">
        <v>0</v>
      </c>
      <c r="T50" s="6">
        <v>-610</v>
      </c>
      <c r="U50" s="6">
        <f t="shared" si="0"/>
        <v>35140</v>
      </c>
      <c r="V50" s="6">
        <v>35000</v>
      </c>
      <c r="W50" s="6">
        <f t="shared" si="1"/>
        <v>140</v>
      </c>
    </row>
    <row r="51" spans="1:23" ht="15.75" customHeight="1" x14ac:dyDescent="0.35">
      <c r="A51" s="5" t="s">
        <v>112</v>
      </c>
      <c r="B51" s="5" t="s">
        <v>113</v>
      </c>
      <c r="C51" s="5" t="s">
        <v>28</v>
      </c>
      <c r="D51" s="6">
        <v>25000</v>
      </c>
      <c r="E51" s="6">
        <v>0</v>
      </c>
      <c r="F51" s="6">
        <f t="shared" si="14"/>
        <v>18750</v>
      </c>
      <c r="G51" s="6">
        <v>2000</v>
      </c>
      <c r="H51" s="6">
        <v>0</v>
      </c>
      <c r="I51" s="6">
        <v>4000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5000</v>
      </c>
      <c r="P51" s="6">
        <v>0</v>
      </c>
      <c r="Q51" s="6">
        <v>0</v>
      </c>
      <c r="R51" s="6">
        <v>7000</v>
      </c>
      <c r="S51" s="6">
        <v>0</v>
      </c>
      <c r="T51" s="6">
        <v>0</v>
      </c>
      <c r="U51" s="6">
        <f t="shared" si="0"/>
        <v>36750</v>
      </c>
      <c r="V51" s="6">
        <v>36000</v>
      </c>
      <c r="W51" s="6">
        <f t="shared" si="1"/>
        <v>750</v>
      </c>
    </row>
    <row r="52" spans="1:23" ht="15.75" customHeight="1" x14ac:dyDescent="0.35">
      <c r="A52" s="5" t="s">
        <v>115</v>
      </c>
      <c r="B52" s="5" t="s">
        <v>118</v>
      </c>
      <c r="C52" s="5" t="s">
        <v>71</v>
      </c>
      <c r="D52" s="6">
        <v>23000</v>
      </c>
      <c r="E52" s="6">
        <v>0</v>
      </c>
      <c r="F52" s="6">
        <f t="shared" si="14"/>
        <v>17250</v>
      </c>
      <c r="G52" s="6">
        <v>1000</v>
      </c>
      <c r="H52" s="6">
        <v>0</v>
      </c>
      <c r="I52" s="6">
        <v>0</v>
      </c>
      <c r="J52" s="6">
        <v>0</v>
      </c>
      <c r="K52" s="6">
        <v>0</v>
      </c>
      <c r="L52" s="6">
        <v>24000</v>
      </c>
      <c r="M52" s="6">
        <v>4000</v>
      </c>
      <c r="N52" s="6">
        <v>4000</v>
      </c>
      <c r="O52" s="6">
        <v>0</v>
      </c>
      <c r="P52" s="6">
        <v>0</v>
      </c>
      <c r="Q52" s="6">
        <v>0</v>
      </c>
      <c r="R52" s="6">
        <v>7000</v>
      </c>
      <c r="S52" s="6">
        <v>0</v>
      </c>
      <c r="T52" s="6">
        <v>0</v>
      </c>
      <c r="U52" s="6">
        <f t="shared" si="0"/>
        <v>57250</v>
      </c>
      <c r="V52" s="6">
        <v>57250</v>
      </c>
      <c r="W52" s="6">
        <f t="shared" si="1"/>
        <v>0</v>
      </c>
    </row>
    <row r="53" spans="1:23" ht="15.75" customHeight="1" x14ac:dyDescent="0.35">
      <c r="A53" s="5" t="s">
        <v>115</v>
      </c>
      <c r="B53" s="5" t="s">
        <v>116</v>
      </c>
      <c r="C53" s="5" t="s">
        <v>34</v>
      </c>
      <c r="D53" s="6">
        <v>23000</v>
      </c>
      <c r="E53" s="6">
        <v>0</v>
      </c>
      <c r="F53" s="6">
        <f t="shared" si="14"/>
        <v>17250</v>
      </c>
      <c r="G53" s="6">
        <v>1500</v>
      </c>
      <c r="H53" s="6">
        <v>0</v>
      </c>
      <c r="I53" s="6">
        <v>2000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5000</v>
      </c>
      <c r="P53" s="6">
        <v>0</v>
      </c>
      <c r="Q53" s="6">
        <v>0</v>
      </c>
      <c r="R53" s="6">
        <v>10000</v>
      </c>
      <c r="S53" s="6">
        <v>0</v>
      </c>
      <c r="T53" s="6">
        <v>0</v>
      </c>
      <c r="U53" s="6">
        <f t="shared" si="0"/>
        <v>35750</v>
      </c>
      <c r="V53" s="6">
        <v>35750</v>
      </c>
      <c r="W53" s="6">
        <f t="shared" si="1"/>
        <v>0</v>
      </c>
    </row>
    <row r="54" spans="1:23" ht="15.75" customHeight="1" x14ac:dyDescent="0.35">
      <c r="A54" s="5" t="s">
        <v>115</v>
      </c>
      <c r="B54" s="5" t="s">
        <v>117</v>
      </c>
      <c r="C54" s="5" t="s">
        <v>25</v>
      </c>
      <c r="D54" s="6">
        <v>23000</v>
      </c>
      <c r="E54" s="6">
        <v>0</v>
      </c>
      <c r="F54" s="6">
        <f t="shared" si="14"/>
        <v>17250</v>
      </c>
      <c r="G54" s="6">
        <v>1500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5000</v>
      </c>
      <c r="P54" s="6">
        <v>0</v>
      </c>
      <c r="Q54" s="6">
        <v>0</v>
      </c>
      <c r="R54" s="6">
        <v>7000</v>
      </c>
      <c r="S54" s="6">
        <v>0</v>
      </c>
      <c r="T54" s="6">
        <v>0</v>
      </c>
      <c r="U54" s="6">
        <f t="shared" si="0"/>
        <v>30750</v>
      </c>
      <c r="V54" s="6">
        <v>30750</v>
      </c>
      <c r="W54" s="6">
        <f t="shared" si="1"/>
        <v>0</v>
      </c>
    </row>
    <row r="55" spans="1:23" ht="15.75" customHeight="1" x14ac:dyDescent="0.35">
      <c r="A55" s="5" t="s">
        <v>119</v>
      </c>
      <c r="B55" s="5" t="s">
        <v>121</v>
      </c>
      <c r="C55" s="5" t="s">
        <v>52</v>
      </c>
      <c r="D55" s="6">
        <v>25000</v>
      </c>
      <c r="E55" s="6">
        <v>0</v>
      </c>
      <c r="F55" s="6">
        <f t="shared" si="14"/>
        <v>18750</v>
      </c>
      <c r="G55" s="6">
        <v>2000</v>
      </c>
      <c r="H55" s="6">
        <v>0</v>
      </c>
      <c r="I55" s="6">
        <v>4000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5000</v>
      </c>
      <c r="P55" s="6">
        <v>-1200</v>
      </c>
      <c r="Q55" s="6">
        <v>0</v>
      </c>
      <c r="R55" s="6">
        <v>7000</v>
      </c>
      <c r="S55" s="6">
        <v>0</v>
      </c>
      <c r="T55" s="6">
        <v>675</v>
      </c>
      <c r="U55" s="6">
        <f t="shared" si="0"/>
        <v>36225</v>
      </c>
      <c r="V55" s="6">
        <v>36200</v>
      </c>
      <c r="W55" s="6">
        <f t="shared" si="1"/>
        <v>25</v>
      </c>
    </row>
    <row r="56" spans="1:23" ht="15.75" customHeight="1" x14ac:dyDescent="0.35">
      <c r="A56" s="5" t="s">
        <v>119</v>
      </c>
      <c r="B56" s="5" t="s">
        <v>120</v>
      </c>
      <c r="C56" s="5" t="s">
        <v>66</v>
      </c>
      <c r="D56" s="6">
        <v>25000</v>
      </c>
      <c r="E56" s="6">
        <v>0</v>
      </c>
      <c r="F56" s="6">
        <f t="shared" si="14"/>
        <v>18750</v>
      </c>
      <c r="G56" s="6">
        <v>2000</v>
      </c>
      <c r="H56" s="6">
        <v>0</v>
      </c>
      <c r="I56" s="6">
        <v>4000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6">
        <v>5000</v>
      </c>
      <c r="P56" s="6">
        <v>-1200</v>
      </c>
      <c r="Q56" s="6">
        <v>0</v>
      </c>
      <c r="R56" s="6">
        <v>7000</v>
      </c>
      <c r="S56" s="6">
        <v>0</v>
      </c>
      <c r="T56" s="6">
        <v>800</v>
      </c>
      <c r="U56" s="6">
        <f t="shared" si="0"/>
        <v>36350</v>
      </c>
      <c r="V56" s="6">
        <v>36300</v>
      </c>
      <c r="W56" s="6">
        <f t="shared" si="1"/>
        <v>50</v>
      </c>
    </row>
    <row r="57" spans="1:23" ht="15.75" customHeight="1" x14ac:dyDescent="0.35">
      <c r="A57" s="5" t="s">
        <v>122</v>
      </c>
      <c r="B57" s="5" t="s">
        <v>404</v>
      </c>
      <c r="C57" s="5" t="s">
        <v>52</v>
      </c>
      <c r="D57" s="6">
        <v>0</v>
      </c>
      <c r="E57" s="6">
        <v>0</v>
      </c>
      <c r="F57" s="6">
        <f t="shared" ref="F57:F62" si="15">D57</f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6">
        <v>5000</v>
      </c>
      <c r="P57" s="6">
        <v>0</v>
      </c>
      <c r="Q57" s="6">
        <v>0</v>
      </c>
      <c r="R57" s="6">
        <v>7000</v>
      </c>
      <c r="S57" s="6">
        <v>0</v>
      </c>
      <c r="T57" s="6">
        <v>0</v>
      </c>
      <c r="U57" s="6">
        <f t="shared" si="0"/>
        <v>12000</v>
      </c>
      <c r="V57" s="6">
        <v>12000</v>
      </c>
      <c r="W57" s="6">
        <f t="shared" si="1"/>
        <v>0</v>
      </c>
    </row>
    <row r="58" spans="1:23" ht="15.75" customHeight="1" x14ac:dyDescent="0.35">
      <c r="A58" s="5" t="s">
        <v>122</v>
      </c>
      <c r="B58" s="5" t="s">
        <v>405</v>
      </c>
      <c r="C58" s="5" t="s">
        <v>80</v>
      </c>
      <c r="D58" s="6">
        <v>0</v>
      </c>
      <c r="E58" s="6">
        <v>0</v>
      </c>
      <c r="F58" s="6">
        <f t="shared" si="15"/>
        <v>0</v>
      </c>
      <c r="G58" s="6">
        <f>D58</f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7000</v>
      </c>
      <c r="S58" s="6">
        <v>0</v>
      </c>
      <c r="T58" s="6">
        <v>0</v>
      </c>
      <c r="U58" s="6">
        <f t="shared" si="0"/>
        <v>7000</v>
      </c>
      <c r="V58" s="6">
        <v>7000</v>
      </c>
      <c r="W58" s="6">
        <f t="shared" si="1"/>
        <v>0</v>
      </c>
    </row>
    <row r="59" spans="1:23" ht="15.75" customHeight="1" x14ac:dyDescent="0.35">
      <c r="A59" s="5" t="s">
        <v>124</v>
      </c>
      <c r="B59" s="5" t="s">
        <v>304</v>
      </c>
      <c r="C59" s="5" t="s">
        <v>25</v>
      </c>
      <c r="D59" s="6">
        <v>23000</v>
      </c>
      <c r="E59" s="6">
        <v>0</v>
      </c>
      <c r="F59" s="6">
        <f t="shared" si="15"/>
        <v>23000</v>
      </c>
      <c r="G59" s="6">
        <v>1500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6">
        <v>0</v>
      </c>
      <c r="N59" s="6">
        <v>4000</v>
      </c>
      <c r="O59" s="6">
        <v>0</v>
      </c>
      <c r="P59" s="6">
        <v>0</v>
      </c>
      <c r="Q59" s="6">
        <v>0</v>
      </c>
      <c r="R59" s="6">
        <v>7000</v>
      </c>
      <c r="S59" s="6">
        <v>0</v>
      </c>
      <c r="T59" s="6">
        <v>0</v>
      </c>
      <c r="U59" s="6">
        <f t="shared" si="0"/>
        <v>35500</v>
      </c>
      <c r="V59" s="6">
        <v>35500</v>
      </c>
      <c r="W59" s="6">
        <f t="shared" si="1"/>
        <v>0</v>
      </c>
    </row>
    <row r="60" spans="1:23" ht="15.75" customHeight="1" x14ac:dyDescent="0.35">
      <c r="A60" s="5" t="s">
        <v>125</v>
      </c>
      <c r="B60" s="5" t="s">
        <v>126</v>
      </c>
      <c r="C60" s="5" t="s">
        <v>127</v>
      </c>
      <c r="D60" s="6">
        <v>25000</v>
      </c>
      <c r="E60" s="6">
        <v>0</v>
      </c>
      <c r="F60" s="6">
        <f t="shared" si="15"/>
        <v>25000</v>
      </c>
      <c r="G60" s="6">
        <v>2000</v>
      </c>
      <c r="H60" s="6">
        <v>0</v>
      </c>
      <c r="I60" s="6">
        <v>4000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6">
        <v>5000</v>
      </c>
      <c r="P60" s="6">
        <v>0</v>
      </c>
      <c r="Q60" s="6">
        <v>10000</v>
      </c>
      <c r="R60" s="6">
        <v>10000</v>
      </c>
      <c r="S60" s="6">
        <v>0</v>
      </c>
      <c r="T60" s="6">
        <v>275</v>
      </c>
      <c r="U60" s="6">
        <f t="shared" si="0"/>
        <v>56275</v>
      </c>
      <c r="V60" s="6">
        <v>30000</v>
      </c>
      <c r="W60" s="6">
        <f t="shared" si="1"/>
        <v>26275</v>
      </c>
    </row>
    <row r="61" spans="1:23" ht="15.75" customHeight="1" x14ac:dyDescent="0.35">
      <c r="A61" s="5" t="s">
        <v>305</v>
      </c>
      <c r="B61" s="5" t="s">
        <v>306</v>
      </c>
      <c r="C61" s="5" t="s">
        <v>36</v>
      </c>
      <c r="D61" s="6">
        <v>23000</v>
      </c>
      <c r="E61" s="6">
        <v>0</v>
      </c>
      <c r="F61" s="6">
        <f t="shared" si="15"/>
        <v>23000</v>
      </c>
      <c r="G61" s="22">
        <v>1500</v>
      </c>
      <c r="H61" s="22">
        <v>0</v>
      </c>
      <c r="I61" s="22">
        <v>0</v>
      </c>
      <c r="J61" s="6">
        <v>0</v>
      </c>
      <c r="K61" s="6">
        <v>0</v>
      </c>
      <c r="L61" s="6">
        <v>0</v>
      </c>
      <c r="M61" s="6">
        <v>1000</v>
      </c>
      <c r="N61" s="6">
        <v>0</v>
      </c>
      <c r="O61" s="22">
        <v>0</v>
      </c>
      <c r="P61" s="22">
        <v>0</v>
      </c>
      <c r="Q61" s="6">
        <v>0</v>
      </c>
      <c r="R61" s="6">
        <v>7000</v>
      </c>
      <c r="S61" s="6">
        <v>0</v>
      </c>
      <c r="T61" s="6">
        <v>4000</v>
      </c>
      <c r="U61" s="6">
        <f t="shared" si="0"/>
        <v>36500</v>
      </c>
      <c r="V61" s="6">
        <v>35500</v>
      </c>
      <c r="W61" s="6">
        <f t="shared" si="1"/>
        <v>1000</v>
      </c>
    </row>
    <row r="62" spans="1:23" ht="15.75" customHeight="1" x14ac:dyDescent="0.35">
      <c r="A62" s="5" t="s">
        <v>128</v>
      </c>
      <c r="B62" s="5" t="s">
        <v>129</v>
      </c>
      <c r="C62" s="5" t="s">
        <v>54</v>
      </c>
      <c r="D62" s="6">
        <v>23000</v>
      </c>
      <c r="E62" s="6">
        <v>0</v>
      </c>
      <c r="F62" s="6">
        <f t="shared" si="15"/>
        <v>23000</v>
      </c>
      <c r="G62" s="6">
        <v>1500</v>
      </c>
      <c r="H62" s="6">
        <v>0</v>
      </c>
      <c r="I62" s="6">
        <v>2000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6">
        <v>5000</v>
      </c>
      <c r="P62" s="6">
        <v>0</v>
      </c>
      <c r="Q62" s="6">
        <v>0</v>
      </c>
      <c r="R62" s="6">
        <v>7000</v>
      </c>
      <c r="S62" s="6">
        <v>0</v>
      </c>
      <c r="T62" s="6">
        <v>0</v>
      </c>
      <c r="U62" s="6">
        <f t="shared" si="0"/>
        <v>38500</v>
      </c>
      <c r="V62" s="6">
        <v>38500</v>
      </c>
      <c r="W62" s="6">
        <f t="shared" si="1"/>
        <v>0</v>
      </c>
    </row>
    <row r="63" spans="1:23" ht="15.75" customHeight="1" x14ac:dyDescent="0.35">
      <c r="A63" s="5" t="s">
        <v>130</v>
      </c>
      <c r="B63" s="5" t="s">
        <v>133</v>
      </c>
      <c r="C63" s="5" t="s">
        <v>132</v>
      </c>
      <c r="D63" s="6">
        <v>37000</v>
      </c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15000</v>
      </c>
      <c r="S63" s="6">
        <v>0</v>
      </c>
      <c r="T63" s="6">
        <v>8000</v>
      </c>
      <c r="U63" s="6">
        <f t="shared" si="0"/>
        <v>23000</v>
      </c>
      <c r="V63" s="6">
        <v>15000</v>
      </c>
      <c r="W63" s="6">
        <f t="shared" si="1"/>
        <v>8000</v>
      </c>
    </row>
    <row r="64" spans="1:23" ht="15.75" customHeight="1" x14ac:dyDescent="0.35">
      <c r="A64" s="5" t="s">
        <v>130</v>
      </c>
      <c r="B64" s="5" t="s">
        <v>131</v>
      </c>
      <c r="C64" s="5" t="s">
        <v>132</v>
      </c>
      <c r="D64" s="6">
        <v>37000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15000</v>
      </c>
      <c r="S64" s="6">
        <v>0</v>
      </c>
      <c r="T64" s="6">
        <v>11400</v>
      </c>
      <c r="U64" s="6">
        <f t="shared" si="0"/>
        <v>26400</v>
      </c>
      <c r="V64" s="6">
        <v>15000</v>
      </c>
      <c r="W64" s="6">
        <f t="shared" si="1"/>
        <v>11400</v>
      </c>
    </row>
    <row r="65" spans="1:23" ht="15.75" customHeight="1" x14ac:dyDescent="0.35">
      <c r="A65" s="5" t="s">
        <v>134</v>
      </c>
      <c r="B65" s="5" t="s">
        <v>406</v>
      </c>
      <c r="C65" s="5" t="s">
        <v>75</v>
      </c>
      <c r="D65" s="6">
        <v>29500</v>
      </c>
      <c r="E65" s="6">
        <v>0</v>
      </c>
      <c r="F65" s="6">
        <f t="shared" ref="F65:F66" si="16">D65*0.75</f>
        <v>22125</v>
      </c>
      <c r="G65" s="6">
        <v>2500</v>
      </c>
      <c r="H65" s="6">
        <v>1500</v>
      </c>
      <c r="I65" s="6">
        <v>5000</v>
      </c>
      <c r="J65" s="6">
        <v>0</v>
      </c>
      <c r="K65" s="6">
        <v>5000</v>
      </c>
      <c r="L65" s="6">
        <v>0</v>
      </c>
      <c r="M65" s="6">
        <v>0</v>
      </c>
      <c r="N65" s="6">
        <v>0</v>
      </c>
      <c r="O65" s="6">
        <v>6000</v>
      </c>
      <c r="P65" s="6">
        <v>0</v>
      </c>
      <c r="Q65" s="6">
        <v>0</v>
      </c>
      <c r="R65" s="6">
        <v>7000</v>
      </c>
      <c r="S65" s="6">
        <v>0</v>
      </c>
      <c r="T65" s="6">
        <v>0</v>
      </c>
      <c r="U65" s="6">
        <f t="shared" si="0"/>
        <v>49125</v>
      </c>
      <c r="V65" s="6">
        <v>47000</v>
      </c>
      <c r="W65" s="6">
        <f t="shared" si="1"/>
        <v>2125</v>
      </c>
    </row>
    <row r="66" spans="1:23" ht="15.75" customHeight="1" x14ac:dyDescent="0.35">
      <c r="A66" s="5" t="s">
        <v>134</v>
      </c>
      <c r="B66" s="5" t="s">
        <v>97</v>
      </c>
      <c r="C66" s="5" t="s">
        <v>28</v>
      </c>
      <c r="D66" s="6">
        <v>25000</v>
      </c>
      <c r="E66" s="6">
        <v>0</v>
      </c>
      <c r="F66" s="6">
        <f t="shared" si="16"/>
        <v>18750</v>
      </c>
      <c r="G66" s="6">
        <v>2000</v>
      </c>
      <c r="H66" s="6">
        <v>0</v>
      </c>
      <c r="I66" s="6">
        <v>4000</v>
      </c>
      <c r="J66" s="6">
        <v>0</v>
      </c>
      <c r="K66" s="6">
        <v>3900</v>
      </c>
      <c r="L66" s="6">
        <v>0</v>
      </c>
      <c r="M66" s="6">
        <v>0</v>
      </c>
      <c r="N66" s="6">
        <v>0</v>
      </c>
      <c r="O66" s="6">
        <v>5000</v>
      </c>
      <c r="P66" s="6">
        <v>0</v>
      </c>
      <c r="Q66" s="6">
        <v>0</v>
      </c>
      <c r="R66" s="6">
        <v>7000</v>
      </c>
      <c r="S66" s="6">
        <v>0</v>
      </c>
      <c r="T66" s="6">
        <v>13300</v>
      </c>
      <c r="U66" s="6">
        <f t="shared" si="0"/>
        <v>53950</v>
      </c>
      <c r="V66" s="6">
        <v>48000</v>
      </c>
      <c r="W66" s="6">
        <f t="shared" si="1"/>
        <v>5950</v>
      </c>
    </row>
    <row r="67" spans="1:23" ht="15.75" customHeight="1" x14ac:dyDescent="0.35">
      <c r="A67" s="5" t="s">
        <v>307</v>
      </c>
      <c r="B67" s="5" t="s">
        <v>308</v>
      </c>
      <c r="C67" s="5" t="s">
        <v>36</v>
      </c>
      <c r="D67" s="6">
        <v>23000</v>
      </c>
      <c r="E67" s="6">
        <v>0</v>
      </c>
      <c r="F67" s="6">
        <f>D67</f>
        <v>23000</v>
      </c>
      <c r="G67" s="22">
        <v>1500</v>
      </c>
      <c r="H67" s="22">
        <v>0</v>
      </c>
      <c r="I67" s="22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22">
        <v>5000</v>
      </c>
      <c r="P67" s="22">
        <v>0</v>
      </c>
      <c r="Q67" s="6">
        <v>0</v>
      </c>
      <c r="R67" s="6">
        <v>7000</v>
      </c>
      <c r="S67" s="6">
        <v>0</v>
      </c>
      <c r="T67" s="6">
        <v>-905</v>
      </c>
      <c r="U67" s="6">
        <f t="shared" si="0"/>
        <v>35595</v>
      </c>
      <c r="V67" s="6">
        <v>35595</v>
      </c>
      <c r="W67" s="6">
        <f t="shared" si="1"/>
        <v>0</v>
      </c>
    </row>
    <row r="68" spans="1:23" ht="15.75" customHeight="1" x14ac:dyDescent="0.35">
      <c r="A68" s="5" t="s">
        <v>136</v>
      </c>
      <c r="B68" s="5" t="s">
        <v>407</v>
      </c>
      <c r="C68" s="5" t="s">
        <v>75</v>
      </c>
      <c r="D68" s="6">
        <v>29500</v>
      </c>
      <c r="E68" s="6">
        <v>0</v>
      </c>
      <c r="F68" s="6">
        <f t="shared" ref="F68:F71" si="17">D68*0.75</f>
        <v>22125</v>
      </c>
      <c r="G68" s="6">
        <v>2500</v>
      </c>
      <c r="H68" s="6">
        <v>1500</v>
      </c>
      <c r="I68" s="6">
        <v>5000</v>
      </c>
      <c r="J68" s="6">
        <v>0</v>
      </c>
      <c r="K68" s="6">
        <v>4500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7000</v>
      </c>
      <c r="S68" s="6">
        <v>0</v>
      </c>
      <c r="T68" s="6">
        <v>0</v>
      </c>
      <c r="U68" s="6">
        <f t="shared" si="0"/>
        <v>42625</v>
      </c>
      <c r="V68" s="6">
        <v>40000</v>
      </c>
      <c r="W68" s="6">
        <f t="shared" si="1"/>
        <v>2625</v>
      </c>
    </row>
    <row r="69" spans="1:23" ht="15.75" customHeight="1" x14ac:dyDescent="0.35">
      <c r="A69" s="5" t="s">
        <v>136</v>
      </c>
      <c r="B69" s="5" t="s">
        <v>408</v>
      </c>
      <c r="C69" s="5" t="s">
        <v>127</v>
      </c>
      <c r="D69" s="6">
        <v>25000</v>
      </c>
      <c r="E69" s="6">
        <v>0</v>
      </c>
      <c r="F69" s="6">
        <f t="shared" si="17"/>
        <v>18750</v>
      </c>
      <c r="G69" s="6">
        <v>2000</v>
      </c>
      <c r="H69" s="6">
        <v>0</v>
      </c>
      <c r="I69" s="6">
        <v>4000</v>
      </c>
      <c r="J69" s="6">
        <v>0</v>
      </c>
      <c r="K69" s="6">
        <v>3900</v>
      </c>
      <c r="L69" s="6">
        <v>0</v>
      </c>
      <c r="M69" s="6">
        <v>0</v>
      </c>
      <c r="N69" s="6">
        <v>0</v>
      </c>
      <c r="O69" s="6">
        <v>5000</v>
      </c>
      <c r="P69" s="6">
        <v>0</v>
      </c>
      <c r="Q69" s="6">
        <v>10000</v>
      </c>
      <c r="R69" s="6">
        <v>10000</v>
      </c>
      <c r="S69" s="6">
        <v>0</v>
      </c>
      <c r="T69" s="6">
        <v>780</v>
      </c>
      <c r="U69" s="6">
        <f t="shared" si="0"/>
        <v>54430</v>
      </c>
      <c r="V69" s="6">
        <v>50000</v>
      </c>
      <c r="W69" s="6">
        <f t="shared" si="1"/>
        <v>4430</v>
      </c>
    </row>
    <row r="70" spans="1:23" ht="15.75" customHeight="1" x14ac:dyDescent="0.35">
      <c r="A70" s="5" t="s">
        <v>138</v>
      </c>
      <c r="B70" s="5" t="s">
        <v>140</v>
      </c>
      <c r="C70" s="5" t="s">
        <v>34</v>
      </c>
      <c r="D70" s="6">
        <v>23000</v>
      </c>
      <c r="E70" s="6">
        <v>0</v>
      </c>
      <c r="F70" s="6">
        <f t="shared" si="17"/>
        <v>17250</v>
      </c>
      <c r="G70" s="6">
        <v>2000</v>
      </c>
      <c r="H70" s="6">
        <v>0</v>
      </c>
      <c r="I70" s="6">
        <v>2000</v>
      </c>
      <c r="J70" s="6">
        <v>0</v>
      </c>
      <c r="K70" s="6">
        <v>3500</v>
      </c>
      <c r="L70" s="6">
        <v>7000</v>
      </c>
      <c r="M70" s="6">
        <v>0</v>
      </c>
      <c r="N70" s="6">
        <v>0</v>
      </c>
      <c r="O70" s="6">
        <v>5000</v>
      </c>
      <c r="P70" s="6">
        <v>0</v>
      </c>
      <c r="Q70" s="6">
        <v>0</v>
      </c>
      <c r="R70" s="6">
        <v>10000</v>
      </c>
      <c r="S70" s="6">
        <v>0</v>
      </c>
      <c r="T70" s="6">
        <v>0</v>
      </c>
      <c r="U70" s="6">
        <f t="shared" si="0"/>
        <v>46750</v>
      </c>
      <c r="V70" s="6">
        <v>45000</v>
      </c>
      <c r="W70" s="6">
        <f t="shared" si="1"/>
        <v>1750</v>
      </c>
    </row>
    <row r="71" spans="1:23" ht="15.75" customHeight="1" x14ac:dyDescent="0.35">
      <c r="A71" s="5" t="s">
        <v>138</v>
      </c>
      <c r="B71" s="5" t="s">
        <v>139</v>
      </c>
      <c r="C71" s="5" t="s">
        <v>32</v>
      </c>
      <c r="D71" s="6">
        <v>25000</v>
      </c>
      <c r="E71" s="6">
        <v>0</v>
      </c>
      <c r="F71" s="6">
        <f t="shared" si="17"/>
        <v>18750</v>
      </c>
      <c r="G71" s="6">
        <v>2000</v>
      </c>
      <c r="H71" s="6">
        <v>0</v>
      </c>
      <c r="I71" s="6">
        <v>4000</v>
      </c>
      <c r="J71" s="6">
        <v>0</v>
      </c>
      <c r="K71" s="6">
        <v>3900</v>
      </c>
      <c r="L71" s="6">
        <v>0</v>
      </c>
      <c r="M71" s="6">
        <v>0</v>
      </c>
      <c r="N71" s="6">
        <v>0</v>
      </c>
      <c r="O71" s="6">
        <v>5000</v>
      </c>
      <c r="P71" s="6">
        <v>0</v>
      </c>
      <c r="Q71" s="6">
        <v>0</v>
      </c>
      <c r="R71" s="6">
        <v>7000</v>
      </c>
      <c r="S71" s="6">
        <v>0</v>
      </c>
      <c r="T71" s="6">
        <v>10760</v>
      </c>
      <c r="U71" s="6">
        <f t="shared" si="0"/>
        <v>51410</v>
      </c>
      <c r="V71" s="6">
        <v>50000</v>
      </c>
      <c r="W71" s="6">
        <f t="shared" si="1"/>
        <v>1410</v>
      </c>
    </row>
    <row r="72" spans="1:23" ht="15.75" customHeight="1" x14ac:dyDescent="0.35">
      <c r="A72" s="1"/>
      <c r="B72" s="1"/>
      <c r="C72" s="1"/>
      <c r="D72" s="2"/>
      <c r="E72" s="2"/>
      <c r="F72" s="2">
        <f t="shared" ref="F72:W72" si="18">SUM(F2:F71)</f>
        <v>1380125</v>
      </c>
      <c r="G72" s="2">
        <f t="shared" si="18"/>
        <v>114000</v>
      </c>
      <c r="H72" s="2">
        <f t="shared" si="18"/>
        <v>20500</v>
      </c>
      <c r="I72" s="2">
        <f t="shared" si="18"/>
        <v>156000</v>
      </c>
      <c r="J72" s="2">
        <f t="shared" si="18"/>
        <v>0</v>
      </c>
      <c r="K72" s="2">
        <f t="shared" si="18"/>
        <v>69600</v>
      </c>
      <c r="L72" s="2">
        <f t="shared" si="18"/>
        <v>62500</v>
      </c>
      <c r="M72" s="2">
        <f t="shared" si="18"/>
        <v>14000</v>
      </c>
      <c r="N72" s="2">
        <f t="shared" si="18"/>
        <v>20000</v>
      </c>
      <c r="O72" s="2">
        <f t="shared" si="18"/>
        <v>179000</v>
      </c>
      <c r="P72" s="2">
        <f t="shared" si="18"/>
        <v>0</v>
      </c>
      <c r="Q72" s="2">
        <f t="shared" si="18"/>
        <v>30000</v>
      </c>
      <c r="R72" s="2">
        <f t="shared" si="18"/>
        <v>498000</v>
      </c>
      <c r="S72" s="2">
        <f t="shared" si="18"/>
        <v>0</v>
      </c>
      <c r="T72" s="2">
        <f t="shared" si="18"/>
        <v>113540</v>
      </c>
      <c r="U72" s="2">
        <f t="shared" si="18"/>
        <v>2661765</v>
      </c>
      <c r="V72" s="2">
        <f t="shared" si="18"/>
        <v>2490325</v>
      </c>
      <c r="W72" s="2">
        <f t="shared" si="18"/>
        <v>171440</v>
      </c>
    </row>
    <row r="73" spans="1:23" ht="15.75" customHeight="1" x14ac:dyDescent="0.35">
      <c r="A73" s="3"/>
      <c r="B73" s="3"/>
      <c r="C73" s="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</row>
    <row r="74" spans="1:23" ht="15.75" customHeight="1" x14ac:dyDescent="0.35">
      <c r="A74" s="3"/>
      <c r="B74" s="3"/>
      <c r="C74" s="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</row>
    <row r="75" spans="1:23" ht="15.75" customHeight="1" x14ac:dyDescent="0.35">
      <c r="A75" s="3"/>
      <c r="B75" s="3"/>
      <c r="C75" s="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</row>
    <row r="76" spans="1:23" ht="15.75" customHeight="1" x14ac:dyDescent="0.35">
      <c r="A76" s="3"/>
      <c r="B76" s="3"/>
      <c r="C76" s="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</row>
    <row r="77" spans="1:23" ht="15.75" customHeight="1" x14ac:dyDescent="0.35">
      <c r="A77" s="3"/>
      <c r="B77" s="3"/>
      <c r="C77" s="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</row>
    <row r="78" spans="1:23" ht="15.75" customHeight="1" x14ac:dyDescent="0.35">
      <c r="A78" s="3"/>
      <c r="B78" s="3"/>
      <c r="C78" s="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</row>
    <row r="79" spans="1:23" ht="15.75" customHeight="1" x14ac:dyDescent="0.35">
      <c r="A79" s="3"/>
      <c r="B79" s="3"/>
      <c r="C79" s="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</row>
    <row r="80" spans="1:23" ht="15.75" customHeight="1" x14ac:dyDescent="0.35">
      <c r="A80" s="3"/>
      <c r="B80" s="3"/>
      <c r="C80" s="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</row>
    <row r="81" spans="1:23" ht="15.75" customHeight="1" x14ac:dyDescent="0.35">
      <c r="A81" s="3"/>
      <c r="B81" s="3"/>
      <c r="C81" s="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</row>
    <row r="82" spans="1:23" ht="15.75" customHeight="1" x14ac:dyDescent="0.35">
      <c r="A82" s="3"/>
      <c r="B82" s="3"/>
      <c r="C82" s="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</row>
    <row r="83" spans="1:23" ht="15.75" customHeight="1" x14ac:dyDescent="0.35">
      <c r="A83" s="3"/>
      <c r="B83" s="3"/>
      <c r="C83" s="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</row>
    <row r="84" spans="1:23" ht="15.75" customHeight="1" x14ac:dyDescent="0.35">
      <c r="A84" s="3"/>
      <c r="B84" s="3"/>
      <c r="C84" s="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</row>
    <row r="85" spans="1:23" ht="15.75" customHeight="1" x14ac:dyDescent="0.35">
      <c r="A85" s="3"/>
      <c r="B85" s="3"/>
      <c r="C85" s="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 ht="15.75" customHeight="1" x14ac:dyDescent="0.35">
      <c r="A86" s="3"/>
      <c r="B86" s="3"/>
      <c r="C86" s="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 ht="15.75" customHeight="1" x14ac:dyDescent="0.35">
      <c r="A87" s="3"/>
      <c r="B87" s="3"/>
      <c r="C87" s="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 ht="15.75" customHeight="1" x14ac:dyDescent="0.35">
      <c r="A88" s="3"/>
      <c r="B88" s="3"/>
      <c r="C88" s="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89" spans="1:23" ht="15.75" customHeight="1" x14ac:dyDescent="0.35">
      <c r="A89" s="3"/>
      <c r="B89" s="3"/>
      <c r="C89" s="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</row>
    <row r="90" spans="1:23" ht="15.75" customHeight="1" x14ac:dyDescent="0.35">
      <c r="A90" s="3"/>
      <c r="B90" s="3"/>
      <c r="C90" s="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</row>
    <row r="91" spans="1:23" ht="15.75" customHeight="1" x14ac:dyDescent="0.35">
      <c r="A91" s="3"/>
      <c r="B91" s="3"/>
      <c r="C91" s="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</row>
    <row r="92" spans="1:23" ht="15.75" customHeight="1" x14ac:dyDescent="0.35">
      <c r="A92" s="3"/>
      <c r="B92" s="3"/>
      <c r="C92" s="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</row>
    <row r="93" spans="1:23" ht="15.75" customHeight="1" x14ac:dyDescent="0.35">
      <c r="A93" s="3"/>
      <c r="B93" s="3"/>
      <c r="C93" s="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</row>
    <row r="94" spans="1:23" ht="15.75" customHeight="1" x14ac:dyDescent="0.35">
      <c r="A94" s="3"/>
      <c r="B94" s="3"/>
      <c r="C94" s="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</row>
    <row r="95" spans="1:23" ht="15.75" customHeight="1" x14ac:dyDescent="0.35">
      <c r="A95" s="3"/>
      <c r="B95" s="3"/>
      <c r="C95" s="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</row>
    <row r="96" spans="1:23" ht="15.75" customHeight="1" x14ac:dyDescent="0.35">
      <c r="A96" s="3"/>
      <c r="B96" s="3"/>
      <c r="C96" s="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</row>
    <row r="97" spans="1:23" ht="15.75" customHeight="1" x14ac:dyDescent="0.35">
      <c r="A97" s="3"/>
      <c r="B97" s="3"/>
      <c r="C97" s="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</row>
    <row r="98" spans="1:23" ht="15.75" customHeight="1" x14ac:dyDescent="0.35">
      <c r="A98" s="3"/>
      <c r="B98" s="3"/>
      <c r="C98" s="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 ht="15.75" customHeight="1" x14ac:dyDescent="0.35">
      <c r="A99" s="3"/>
      <c r="B99" s="3"/>
      <c r="C99" s="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</row>
    <row r="100" spans="1:23" ht="15.75" customHeight="1" x14ac:dyDescent="0.35">
      <c r="A100" s="3"/>
      <c r="B100" s="3"/>
      <c r="C100" s="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</row>
    <row r="101" spans="1:23" ht="15.75" customHeight="1" x14ac:dyDescent="0.35">
      <c r="A101" s="3"/>
      <c r="B101" s="3"/>
      <c r="C101" s="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</row>
    <row r="102" spans="1:23" ht="15.75" customHeight="1" x14ac:dyDescent="0.35">
      <c r="A102" s="3"/>
      <c r="B102" s="3"/>
      <c r="C102" s="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</row>
    <row r="103" spans="1:23" ht="15.75" customHeight="1" x14ac:dyDescent="0.35">
      <c r="A103" s="3"/>
      <c r="B103" s="3"/>
      <c r="C103" s="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</row>
    <row r="104" spans="1:23" ht="15.75" customHeight="1" x14ac:dyDescent="0.35">
      <c r="A104" s="3"/>
      <c r="B104" s="3"/>
      <c r="C104" s="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</row>
    <row r="105" spans="1:23" ht="15.75" customHeight="1" x14ac:dyDescent="0.35">
      <c r="A105" s="3"/>
      <c r="B105" s="3"/>
      <c r="C105" s="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</row>
    <row r="106" spans="1:23" ht="15.75" customHeight="1" x14ac:dyDescent="0.35">
      <c r="A106" s="3"/>
      <c r="B106" s="3"/>
      <c r="C106" s="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</row>
    <row r="107" spans="1:23" ht="15.75" customHeight="1" x14ac:dyDescent="0.35">
      <c r="A107" s="3"/>
      <c r="B107" s="3"/>
      <c r="C107" s="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</row>
    <row r="108" spans="1:23" ht="15.75" customHeight="1" x14ac:dyDescent="0.35">
      <c r="A108" s="3"/>
      <c r="B108" s="3"/>
      <c r="C108" s="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</row>
    <row r="109" spans="1:23" ht="15.75" customHeight="1" x14ac:dyDescent="0.35">
      <c r="A109" s="3"/>
      <c r="B109" s="3"/>
      <c r="C109" s="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</row>
    <row r="110" spans="1:23" ht="15.75" customHeight="1" x14ac:dyDescent="0.35">
      <c r="A110" s="3"/>
      <c r="B110" s="3"/>
      <c r="C110" s="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 ht="15.75" customHeight="1" x14ac:dyDescent="0.35">
      <c r="A111" s="3"/>
      <c r="B111" s="3"/>
      <c r="C111" s="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 ht="15.75" customHeight="1" x14ac:dyDescent="0.35">
      <c r="A112" s="3"/>
      <c r="B112" s="3"/>
      <c r="C112" s="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1:23" ht="15.75" customHeight="1" x14ac:dyDescent="0.35">
      <c r="A113" s="3"/>
      <c r="B113" s="3"/>
      <c r="C113" s="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4" spans="1:23" ht="15.75" customHeight="1" x14ac:dyDescent="0.35">
      <c r="A114" s="3"/>
      <c r="B114" s="3"/>
      <c r="C114" s="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</row>
    <row r="115" spans="1:23" ht="15.75" customHeight="1" x14ac:dyDescent="0.35">
      <c r="A115" s="3"/>
      <c r="B115" s="3"/>
      <c r="C115" s="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</row>
    <row r="116" spans="1:23" ht="15.75" customHeight="1" x14ac:dyDescent="0.35">
      <c r="A116" s="3"/>
      <c r="B116" s="3"/>
      <c r="C116" s="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</row>
    <row r="117" spans="1:23" ht="15.75" customHeight="1" x14ac:dyDescent="0.35">
      <c r="A117" s="3"/>
      <c r="B117" s="3"/>
      <c r="C117" s="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</row>
    <row r="118" spans="1:23" ht="15.75" customHeight="1" x14ac:dyDescent="0.35">
      <c r="A118" s="3"/>
      <c r="B118" s="3"/>
      <c r="C118" s="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</row>
    <row r="119" spans="1:23" ht="15.75" customHeight="1" x14ac:dyDescent="0.35">
      <c r="A119" s="3"/>
      <c r="B119" s="3"/>
      <c r="C119" s="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</row>
    <row r="120" spans="1:23" ht="15.75" customHeight="1" x14ac:dyDescent="0.35">
      <c r="A120" s="3"/>
      <c r="B120" s="3"/>
      <c r="C120" s="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</row>
    <row r="121" spans="1:23" ht="15.75" customHeight="1" x14ac:dyDescent="0.35">
      <c r="A121" s="3"/>
      <c r="B121" s="3"/>
      <c r="C121" s="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</row>
    <row r="122" spans="1:23" ht="15.75" customHeight="1" x14ac:dyDescent="0.35">
      <c r="A122" s="3"/>
      <c r="B122" s="3"/>
      <c r="C122" s="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</row>
    <row r="123" spans="1:23" ht="15.75" customHeight="1" x14ac:dyDescent="0.35">
      <c r="A123" s="3"/>
      <c r="B123" s="3"/>
      <c r="C123" s="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 ht="15.75" customHeight="1" x14ac:dyDescent="0.35">
      <c r="A124" s="3"/>
      <c r="B124" s="3"/>
      <c r="C124" s="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</row>
    <row r="125" spans="1:23" ht="15.75" customHeight="1" x14ac:dyDescent="0.35">
      <c r="A125" s="3"/>
      <c r="B125" s="3"/>
      <c r="C125" s="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</row>
    <row r="126" spans="1:23" ht="15.75" customHeight="1" x14ac:dyDescent="0.35">
      <c r="A126" s="3"/>
      <c r="B126" s="3"/>
      <c r="C126" s="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</row>
    <row r="127" spans="1:23" ht="15.75" customHeight="1" x14ac:dyDescent="0.35">
      <c r="A127" s="3"/>
      <c r="B127" s="3"/>
      <c r="C127" s="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</row>
    <row r="128" spans="1:23" ht="15.75" customHeight="1" x14ac:dyDescent="0.35">
      <c r="A128" s="3"/>
      <c r="B128" s="3"/>
      <c r="C128" s="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</row>
    <row r="129" spans="1:23" ht="15.75" customHeight="1" x14ac:dyDescent="0.35">
      <c r="A129" s="3"/>
      <c r="B129" s="3"/>
      <c r="C129" s="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</row>
    <row r="130" spans="1:23" ht="15.75" customHeight="1" x14ac:dyDescent="0.35">
      <c r="A130" s="3"/>
      <c r="B130" s="3"/>
      <c r="C130" s="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</row>
    <row r="131" spans="1:23" ht="15.75" customHeight="1" x14ac:dyDescent="0.35">
      <c r="A131" s="3"/>
      <c r="B131" s="3"/>
      <c r="C131" s="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</row>
    <row r="132" spans="1:23" ht="15.75" customHeight="1" x14ac:dyDescent="0.35">
      <c r="A132" s="3"/>
      <c r="B132" s="3"/>
      <c r="C132" s="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</row>
    <row r="133" spans="1:23" ht="15.75" customHeight="1" x14ac:dyDescent="0.35">
      <c r="A133" s="3"/>
      <c r="B133" s="3"/>
      <c r="C133" s="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</row>
    <row r="134" spans="1:23" ht="15.75" customHeight="1" x14ac:dyDescent="0.35">
      <c r="A134" s="3"/>
      <c r="B134" s="3"/>
      <c r="C134" s="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</row>
    <row r="135" spans="1:23" ht="15.75" customHeight="1" x14ac:dyDescent="0.35">
      <c r="A135" s="3"/>
      <c r="B135" s="3"/>
      <c r="C135" s="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</row>
    <row r="136" spans="1:23" ht="15.75" customHeight="1" x14ac:dyDescent="0.35">
      <c r="A136" s="3"/>
      <c r="B136" s="3"/>
      <c r="C136" s="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</row>
    <row r="137" spans="1:23" ht="15.75" customHeight="1" x14ac:dyDescent="0.35">
      <c r="A137" s="3"/>
      <c r="B137" s="3"/>
      <c r="C137" s="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</row>
    <row r="138" spans="1:23" ht="15.75" customHeight="1" x14ac:dyDescent="0.35">
      <c r="A138" s="3"/>
      <c r="B138" s="3"/>
      <c r="C138" s="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</row>
    <row r="139" spans="1:23" ht="15.75" customHeight="1" x14ac:dyDescent="0.35">
      <c r="A139" s="3"/>
      <c r="B139" s="3"/>
      <c r="C139" s="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</row>
    <row r="140" spans="1:23" ht="15.75" customHeight="1" x14ac:dyDescent="0.35">
      <c r="A140" s="3"/>
      <c r="B140" s="3"/>
      <c r="C140" s="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</row>
    <row r="141" spans="1:23" ht="15.75" customHeight="1" x14ac:dyDescent="0.35">
      <c r="A141" s="3"/>
      <c r="B141" s="3"/>
      <c r="C141" s="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</row>
    <row r="142" spans="1:23" ht="15.75" customHeight="1" x14ac:dyDescent="0.35">
      <c r="A142" s="3"/>
      <c r="B142" s="3"/>
      <c r="C142" s="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</row>
    <row r="143" spans="1:23" ht="15.75" customHeight="1" x14ac:dyDescent="0.35">
      <c r="A143" s="3"/>
      <c r="B143" s="3"/>
      <c r="C143" s="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</row>
    <row r="144" spans="1:23" ht="15.75" customHeight="1" x14ac:dyDescent="0.35">
      <c r="A144" s="3"/>
      <c r="B144" s="3"/>
      <c r="C144" s="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</row>
    <row r="145" spans="1:23" ht="15.75" customHeight="1" x14ac:dyDescent="0.35">
      <c r="A145" s="3"/>
      <c r="B145" s="3"/>
      <c r="C145" s="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</row>
    <row r="146" spans="1:23" ht="15.75" customHeight="1" x14ac:dyDescent="0.35">
      <c r="A146" s="3"/>
      <c r="B146" s="3"/>
      <c r="C146" s="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</row>
    <row r="147" spans="1:23" ht="15.75" customHeight="1" x14ac:dyDescent="0.35">
      <c r="A147" s="3"/>
      <c r="B147" s="3"/>
      <c r="C147" s="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</row>
    <row r="148" spans="1:23" ht="15.75" customHeight="1" x14ac:dyDescent="0.35">
      <c r="A148" s="3"/>
      <c r="B148" s="3"/>
      <c r="C148" s="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</row>
    <row r="149" spans="1:23" ht="15.75" customHeight="1" x14ac:dyDescent="0.35">
      <c r="A149" s="3"/>
      <c r="B149" s="3"/>
      <c r="C149" s="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</row>
    <row r="150" spans="1:23" ht="15.75" customHeight="1" x14ac:dyDescent="0.35">
      <c r="A150" s="3"/>
      <c r="B150" s="3"/>
      <c r="C150" s="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</row>
    <row r="151" spans="1:23" ht="15.75" customHeight="1" x14ac:dyDescent="0.35">
      <c r="A151" s="3"/>
      <c r="B151" s="3"/>
      <c r="C151" s="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</row>
    <row r="152" spans="1:23" ht="15.75" customHeight="1" x14ac:dyDescent="0.35">
      <c r="A152" s="3"/>
      <c r="B152" s="3"/>
      <c r="C152" s="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</row>
    <row r="153" spans="1:23" ht="15.75" customHeight="1" x14ac:dyDescent="0.35">
      <c r="A153" s="3"/>
      <c r="B153" s="3"/>
      <c r="C153" s="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</row>
    <row r="154" spans="1:23" ht="15.75" customHeight="1" x14ac:dyDescent="0.35">
      <c r="A154" s="3"/>
      <c r="B154" s="3"/>
      <c r="C154" s="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</row>
    <row r="155" spans="1:23" ht="15.75" customHeight="1" x14ac:dyDescent="0.35">
      <c r="A155" s="3"/>
      <c r="B155" s="3"/>
      <c r="C155" s="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</row>
    <row r="156" spans="1:23" ht="15.75" customHeight="1" x14ac:dyDescent="0.35">
      <c r="A156" s="3"/>
      <c r="B156" s="3"/>
      <c r="C156" s="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</row>
    <row r="157" spans="1:23" ht="15.75" customHeight="1" x14ac:dyDescent="0.35">
      <c r="A157" s="3"/>
      <c r="B157" s="3"/>
      <c r="C157" s="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</row>
    <row r="158" spans="1:23" ht="15.75" customHeight="1" x14ac:dyDescent="0.35">
      <c r="A158" s="3"/>
      <c r="B158" s="3"/>
      <c r="C158" s="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</row>
    <row r="159" spans="1:23" ht="15.75" customHeight="1" x14ac:dyDescent="0.35">
      <c r="A159" s="3"/>
      <c r="B159" s="3"/>
      <c r="C159" s="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</row>
    <row r="160" spans="1:23" ht="15.75" customHeight="1" x14ac:dyDescent="0.35">
      <c r="A160" s="3"/>
      <c r="B160" s="3"/>
      <c r="C160" s="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</row>
    <row r="161" spans="1:23" ht="15.75" customHeight="1" x14ac:dyDescent="0.35">
      <c r="A161" s="3"/>
      <c r="B161" s="3"/>
      <c r="C161" s="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</row>
    <row r="162" spans="1:23" ht="15.75" customHeight="1" x14ac:dyDescent="0.35">
      <c r="A162" s="3"/>
      <c r="B162" s="3"/>
      <c r="C162" s="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</row>
    <row r="163" spans="1:23" ht="15.75" customHeight="1" x14ac:dyDescent="0.35">
      <c r="A163" s="3"/>
      <c r="B163" s="3"/>
      <c r="C163" s="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</row>
    <row r="164" spans="1:23" ht="15.75" customHeight="1" x14ac:dyDescent="0.35">
      <c r="A164" s="3"/>
      <c r="B164" s="3"/>
      <c r="C164" s="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</row>
    <row r="165" spans="1:23" ht="15.75" customHeight="1" x14ac:dyDescent="0.35">
      <c r="A165" s="3"/>
      <c r="B165" s="3"/>
      <c r="C165" s="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</row>
    <row r="166" spans="1:23" ht="15.75" customHeight="1" x14ac:dyDescent="0.35">
      <c r="A166" s="3"/>
      <c r="B166" s="3"/>
      <c r="C166" s="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</row>
    <row r="167" spans="1:23" ht="15.75" customHeight="1" x14ac:dyDescent="0.35">
      <c r="A167" s="3"/>
      <c r="B167" s="3"/>
      <c r="C167" s="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</row>
    <row r="168" spans="1:23" ht="15.75" customHeight="1" x14ac:dyDescent="0.35">
      <c r="A168" s="3"/>
      <c r="B168" s="3"/>
      <c r="C168" s="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</row>
    <row r="169" spans="1:23" ht="15.75" customHeight="1" x14ac:dyDescent="0.35">
      <c r="A169" s="3"/>
      <c r="B169" s="3"/>
      <c r="C169" s="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</row>
    <row r="170" spans="1:23" ht="15.75" customHeight="1" x14ac:dyDescent="0.35">
      <c r="A170" s="3"/>
      <c r="B170" s="3"/>
      <c r="C170" s="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</row>
    <row r="171" spans="1:23" ht="15.75" customHeight="1" x14ac:dyDescent="0.35">
      <c r="A171" s="3"/>
      <c r="B171" s="3"/>
      <c r="C171" s="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</row>
    <row r="172" spans="1:23" ht="15.75" customHeight="1" x14ac:dyDescent="0.35">
      <c r="A172" s="3"/>
      <c r="B172" s="3"/>
      <c r="C172" s="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</row>
    <row r="173" spans="1:23" ht="15.75" customHeight="1" x14ac:dyDescent="0.35">
      <c r="A173" s="3"/>
      <c r="B173" s="3"/>
      <c r="C173" s="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</row>
    <row r="174" spans="1:23" ht="15.75" customHeight="1" x14ac:dyDescent="0.35">
      <c r="A174" s="3"/>
      <c r="B174" s="3"/>
      <c r="C174" s="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</row>
    <row r="175" spans="1:23" ht="15.75" customHeight="1" x14ac:dyDescent="0.35">
      <c r="A175" s="3"/>
      <c r="B175" s="3"/>
      <c r="C175" s="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</row>
    <row r="176" spans="1:23" ht="15.75" customHeight="1" x14ac:dyDescent="0.35">
      <c r="A176" s="3"/>
      <c r="B176" s="3"/>
      <c r="C176" s="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</row>
    <row r="177" spans="1:23" ht="15.75" customHeight="1" x14ac:dyDescent="0.35">
      <c r="A177" s="3"/>
      <c r="B177" s="3"/>
      <c r="C177" s="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</row>
    <row r="178" spans="1:23" ht="15.75" customHeight="1" x14ac:dyDescent="0.35">
      <c r="A178" s="3"/>
      <c r="B178" s="3"/>
      <c r="C178" s="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</row>
    <row r="179" spans="1:23" ht="15.75" customHeight="1" x14ac:dyDescent="0.35">
      <c r="A179" s="3"/>
      <c r="B179" s="3"/>
      <c r="C179" s="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</row>
    <row r="180" spans="1:23" ht="15.75" customHeight="1" x14ac:dyDescent="0.35">
      <c r="A180" s="3"/>
      <c r="B180" s="3"/>
      <c r="C180" s="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</row>
    <row r="181" spans="1:23" ht="15.75" customHeight="1" x14ac:dyDescent="0.35">
      <c r="A181" s="3"/>
      <c r="B181" s="3"/>
      <c r="C181" s="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</row>
    <row r="182" spans="1:23" ht="15.75" customHeight="1" x14ac:dyDescent="0.35">
      <c r="A182" s="3"/>
      <c r="B182" s="3"/>
      <c r="C182" s="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</row>
    <row r="183" spans="1:23" ht="15.75" customHeight="1" x14ac:dyDescent="0.35">
      <c r="A183" s="3"/>
      <c r="B183" s="3"/>
      <c r="C183" s="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</row>
    <row r="184" spans="1:23" ht="15.75" customHeight="1" x14ac:dyDescent="0.35">
      <c r="A184" s="3"/>
      <c r="B184" s="3"/>
      <c r="C184" s="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</row>
    <row r="185" spans="1:23" ht="15.75" customHeight="1" x14ac:dyDescent="0.35">
      <c r="A185" s="3"/>
      <c r="B185" s="3"/>
      <c r="C185" s="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</row>
    <row r="186" spans="1:23" ht="15.75" customHeight="1" x14ac:dyDescent="0.35">
      <c r="A186" s="3"/>
      <c r="B186" s="3"/>
      <c r="C186" s="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</row>
    <row r="187" spans="1:23" ht="15.75" customHeight="1" x14ac:dyDescent="0.35">
      <c r="A187" s="3"/>
      <c r="B187" s="3"/>
      <c r="C187" s="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</row>
    <row r="188" spans="1:23" ht="15.75" customHeight="1" x14ac:dyDescent="0.35">
      <c r="A188" s="3"/>
      <c r="B188" s="3"/>
      <c r="C188" s="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</row>
    <row r="189" spans="1:23" ht="15.75" customHeight="1" x14ac:dyDescent="0.35">
      <c r="A189" s="3"/>
      <c r="B189" s="3"/>
      <c r="C189" s="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</row>
    <row r="190" spans="1:23" ht="15.75" customHeight="1" x14ac:dyDescent="0.35">
      <c r="A190" s="3"/>
      <c r="B190" s="3"/>
      <c r="C190" s="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</row>
    <row r="191" spans="1:23" ht="15.75" customHeight="1" x14ac:dyDescent="0.35">
      <c r="A191" s="3"/>
      <c r="B191" s="3"/>
      <c r="C191" s="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</row>
    <row r="192" spans="1:23" ht="15.75" customHeight="1" x14ac:dyDescent="0.35">
      <c r="A192" s="3"/>
      <c r="B192" s="3"/>
      <c r="C192" s="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</row>
    <row r="193" spans="1:23" ht="15.75" customHeight="1" x14ac:dyDescent="0.35">
      <c r="A193" s="3"/>
      <c r="B193" s="3"/>
      <c r="C193" s="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</row>
    <row r="194" spans="1:23" ht="15.75" customHeight="1" x14ac:dyDescent="0.35">
      <c r="A194" s="3"/>
      <c r="B194" s="3"/>
      <c r="C194" s="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</row>
    <row r="195" spans="1:23" ht="15.75" customHeight="1" x14ac:dyDescent="0.35">
      <c r="A195" s="3"/>
      <c r="B195" s="3"/>
      <c r="C195" s="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</row>
    <row r="196" spans="1:23" ht="15.75" customHeight="1" x14ac:dyDescent="0.35">
      <c r="A196" s="3"/>
      <c r="B196" s="3"/>
      <c r="C196" s="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</row>
    <row r="197" spans="1:23" ht="15.75" customHeight="1" x14ac:dyDescent="0.35">
      <c r="A197" s="3"/>
      <c r="B197" s="3"/>
      <c r="C197" s="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</row>
    <row r="198" spans="1:23" ht="15.75" customHeight="1" x14ac:dyDescent="0.35">
      <c r="A198" s="3"/>
      <c r="B198" s="3"/>
      <c r="C198" s="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</row>
    <row r="199" spans="1:23" ht="15.75" customHeight="1" x14ac:dyDescent="0.35">
      <c r="A199" s="3"/>
      <c r="B199" s="3"/>
      <c r="C199" s="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</row>
    <row r="200" spans="1:23" ht="15.75" customHeight="1" x14ac:dyDescent="0.35">
      <c r="A200" s="3"/>
      <c r="B200" s="3"/>
      <c r="C200" s="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</row>
    <row r="201" spans="1:23" ht="15.75" customHeight="1" x14ac:dyDescent="0.35">
      <c r="A201" s="3"/>
      <c r="B201" s="3"/>
      <c r="C201" s="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</row>
    <row r="202" spans="1:23" ht="15.75" customHeight="1" x14ac:dyDescent="0.35">
      <c r="A202" s="3"/>
      <c r="B202" s="3"/>
      <c r="C202" s="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</row>
    <row r="203" spans="1:23" ht="15.75" customHeight="1" x14ac:dyDescent="0.35">
      <c r="A203" s="3"/>
      <c r="B203" s="3"/>
      <c r="C203" s="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</row>
    <row r="204" spans="1:23" ht="15.75" customHeight="1" x14ac:dyDescent="0.35">
      <c r="A204" s="3"/>
      <c r="B204" s="3"/>
      <c r="C204" s="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</row>
    <row r="205" spans="1:23" ht="15.75" customHeight="1" x14ac:dyDescent="0.35">
      <c r="A205" s="3"/>
      <c r="B205" s="3"/>
      <c r="C205" s="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</row>
    <row r="206" spans="1:23" ht="15.75" customHeight="1" x14ac:dyDescent="0.35">
      <c r="A206" s="3"/>
      <c r="B206" s="3"/>
      <c r="C206" s="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</row>
    <row r="207" spans="1:23" ht="15.75" customHeight="1" x14ac:dyDescent="0.35">
      <c r="A207" s="3"/>
      <c r="B207" s="3"/>
      <c r="C207" s="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</row>
    <row r="208" spans="1:23" ht="15.75" customHeight="1" x14ac:dyDescent="0.35">
      <c r="A208" s="3"/>
      <c r="B208" s="3"/>
      <c r="C208" s="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</row>
    <row r="209" spans="1:23" ht="15.75" customHeight="1" x14ac:dyDescent="0.35">
      <c r="A209" s="3"/>
      <c r="B209" s="3"/>
      <c r="C209" s="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</row>
    <row r="210" spans="1:23" ht="15.75" customHeight="1" x14ac:dyDescent="0.35">
      <c r="A210" s="3"/>
      <c r="B210" s="3"/>
      <c r="C210" s="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</row>
    <row r="211" spans="1:23" ht="15.75" customHeight="1" x14ac:dyDescent="0.35">
      <c r="A211" s="3"/>
      <c r="B211" s="3"/>
      <c r="C211" s="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</row>
    <row r="212" spans="1:23" ht="15.75" customHeight="1" x14ac:dyDescent="0.35">
      <c r="A212" s="3"/>
      <c r="B212" s="3"/>
      <c r="C212" s="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</row>
    <row r="213" spans="1:23" ht="15.75" customHeight="1" x14ac:dyDescent="0.35">
      <c r="A213" s="3"/>
      <c r="B213" s="3"/>
      <c r="C213" s="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</row>
    <row r="214" spans="1:23" ht="15.75" customHeight="1" x14ac:dyDescent="0.35">
      <c r="A214" s="3"/>
      <c r="B214" s="3"/>
      <c r="C214" s="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</row>
    <row r="215" spans="1:23" ht="15.75" customHeight="1" x14ac:dyDescent="0.35">
      <c r="A215" s="3"/>
      <c r="B215" s="3"/>
      <c r="C215" s="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</row>
    <row r="216" spans="1:23" ht="15.75" customHeight="1" x14ac:dyDescent="0.35">
      <c r="A216" s="3"/>
      <c r="B216" s="3"/>
      <c r="C216" s="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</row>
    <row r="217" spans="1:23" ht="15.75" customHeight="1" x14ac:dyDescent="0.35">
      <c r="A217" s="3"/>
      <c r="B217" s="3"/>
      <c r="C217" s="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</row>
    <row r="218" spans="1:23" ht="15.75" customHeight="1" x14ac:dyDescent="0.35">
      <c r="A218" s="3"/>
      <c r="B218" s="3"/>
      <c r="C218" s="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</row>
    <row r="219" spans="1:23" ht="15.75" customHeight="1" x14ac:dyDescent="0.35">
      <c r="A219" s="3"/>
      <c r="B219" s="3"/>
      <c r="C219" s="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</row>
    <row r="220" spans="1:23" ht="15.75" customHeight="1" x14ac:dyDescent="0.35">
      <c r="A220" s="3"/>
      <c r="B220" s="3"/>
      <c r="C220" s="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</row>
    <row r="221" spans="1:23" ht="15.75" customHeight="1" x14ac:dyDescent="0.35">
      <c r="A221" s="3"/>
      <c r="B221" s="3"/>
      <c r="C221" s="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</row>
    <row r="222" spans="1:23" ht="15.75" customHeight="1" x14ac:dyDescent="0.35">
      <c r="A222" s="3"/>
      <c r="B222" s="3"/>
      <c r="C222" s="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</row>
    <row r="223" spans="1:23" ht="15.75" customHeight="1" x14ac:dyDescent="0.35">
      <c r="A223" s="3"/>
      <c r="B223" s="3"/>
      <c r="C223" s="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</row>
    <row r="224" spans="1:23" ht="15.75" customHeight="1" x14ac:dyDescent="0.35">
      <c r="A224" s="3"/>
      <c r="B224" s="3"/>
      <c r="C224" s="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</row>
    <row r="225" spans="1:23" ht="15.75" customHeight="1" x14ac:dyDescent="0.35">
      <c r="A225" s="3"/>
      <c r="B225" s="3"/>
      <c r="C225" s="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</row>
    <row r="226" spans="1:23" ht="15.75" customHeight="1" x14ac:dyDescent="0.35">
      <c r="A226" s="3"/>
      <c r="B226" s="3"/>
      <c r="C226" s="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</row>
    <row r="227" spans="1:23" ht="15.75" customHeight="1" x14ac:dyDescent="0.35">
      <c r="A227" s="3"/>
      <c r="B227" s="3"/>
      <c r="C227" s="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</row>
    <row r="228" spans="1:23" ht="15.75" customHeight="1" x14ac:dyDescent="0.35">
      <c r="A228" s="3"/>
      <c r="B228" s="3"/>
      <c r="C228" s="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</row>
    <row r="229" spans="1:23" ht="15.75" customHeight="1" x14ac:dyDescent="0.35">
      <c r="A229" s="3"/>
      <c r="B229" s="3"/>
      <c r="C229" s="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</row>
    <row r="230" spans="1:23" ht="15.75" customHeight="1" x14ac:dyDescent="0.35">
      <c r="A230" s="3"/>
      <c r="B230" s="3"/>
      <c r="C230" s="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</row>
    <row r="231" spans="1:23" ht="15.75" customHeight="1" x14ac:dyDescent="0.35">
      <c r="A231" s="3"/>
      <c r="B231" s="3"/>
      <c r="C231" s="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</row>
    <row r="232" spans="1:23" ht="15.75" customHeight="1" x14ac:dyDescent="0.35">
      <c r="A232" s="3"/>
      <c r="B232" s="3"/>
      <c r="C232" s="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</row>
    <row r="233" spans="1:23" ht="15.75" customHeight="1" x14ac:dyDescent="0.35">
      <c r="A233" s="3"/>
      <c r="B233" s="3"/>
      <c r="C233" s="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</row>
    <row r="234" spans="1:23" ht="15.75" customHeight="1" x14ac:dyDescent="0.35">
      <c r="A234" s="3"/>
      <c r="B234" s="3"/>
      <c r="C234" s="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</row>
    <row r="235" spans="1:23" ht="15.75" customHeight="1" x14ac:dyDescent="0.35">
      <c r="A235" s="3"/>
      <c r="B235" s="3"/>
      <c r="C235" s="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</row>
    <row r="236" spans="1:23" ht="15.75" customHeight="1" x14ac:dyDescent="0.35">
      <c r="A236" s="3"/>
      <c r="B236" s="3"/>
      <c r="C236" s="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</row>
    <row r="237" spans="1:23" ht="15.75" customHeight="1" x14ac:dyDescent="0.35">
      <c r="A237" s="3"/>
      <c r="B237" s="3"/>
      <c r="C237" s="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</row>
    <row r="238" spans="1:23" ht="15.75" customHeight="1" x14ac:dyDescent="0.35">
      <c r="A238" s="3"/>
      <c r="B238" s="3"/>
      <c r="C238" s="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</row>
    <row r="239" spans="1:23" ht="15.75" customHeight="1" x14ac:dyDescent="0.35">
      <c r="A239" s="3"/>
      <c r="B239" s="3"/>
      <c r="C239" s="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</row>
    <row r="240" spans="1:23" ht="15.75" customHeight="1" x14ac:dyDescent="0.35">
      <c r="A240" s="3"/>
      <c r="B240" s="3"/>
      <c r="C240" s="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</row>
    <row r="241" spans="1:23" ht="15.75" customHeight="1" x14ac:dyDescent="0.35">
      <c r="A241" s="3"/>
      <c r="B241" s="3"/>
      <c r="C241" s="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</row>
    <row r="242" spans="1:23" ht="15.75" customHeight="1" x14ac:dyDescent="0.35">
      <c r="A242" s="3"/>
      <c r="B242" s="3"/>
      <c r="C242" s="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</row>
    <row r="243" spans="1:23" ht="15.75" customHeight="1" x14ac:dyDescent="0.35">
      <c r="A243" s="3"/>
      <c r="B243" s="3"/>
      <c r="C243" s="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</row>
    <row r="244" spans="1:23" ht="15.75" customHeight="1" x14ac:dyDescent="0.35">
      <c r="A244" s="3"/>
      <c r="B244" s="3"/>
      <c r="C244" s="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</row>
    <row r="245" spans="1:23" ht="15.75" customHeight="1" x14ac:dyDescent="0.35">
      <c r="A245" s="3"/>
      <c r="B245" s="3"/>
      <c r="C245" s="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</row>
    <row r="246" spans="1:23" ht="15.75" customHeight="1" x14ac:dyDescent="0.35">
      <c r="A246" s="3"/>
      <c r="B246" s="3"/>
      <c r="C246" s="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</row>
    <row r="247" spans="1:23" ht="15.75" customHeight="1" x14ac:dyDescent="0.35">
      <c r="A247" s="3"/>
      <c r="B247" s="3"/>
      <c r="C247" s="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</row>
    <row r="248" spans="1:23" ht="15.75" customHeight="1" x14ac:dyDescent="0.35">
      <c r="A248" s="3"/>
      <c r="B248" s="3"/>
      <c r="C248" s="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</row>
    <row r="249" spans="1:23" ht="15.75" customHeight="1" x14ac:dyDescent="0.35">
      <c r="A249" s="3"/>
      <c r="B249" s="3"/>
      <c r="C249" s="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</row>
    <row r="250" spans="1:23" ht="15.75" customHeight="1" x14ac:dyDescent="0.35">
      <c r="A250" s="3"/>
      <c r="B250" s="3"/>
      <c r="C250" s="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</row>
    <row r="251" spans="1:23" ht="15.75" customHeight="1" x14ac:dyDescent="0.35">
      <c r="A251" s="3"/>
      <c r="B251" s="3"/>
      <c r="C251" s="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</row>
    <row r="252" spans="1:23" ht="15.75" customHeight="1" x14ac:dyDescent="0.35">
      <c r="A252" s="3"/>
      <c r="B252" s="3"/>
      <c r="C252" s="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</row>
    <row r="253" spans="1:23" ht="15.75" customHeight="1" x14ac:dyDescent="0.35">
      <c r="A253" s="3"/>
      <c r="B253" s="3"/>
      <c r="C253" s="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</row>
    <row r="254" spans="1:23" ht="15.75" customHeight="1" x14ac:dyDescent="0.35">
      <c r="A254" s="3"/>
      <c r="B254" s="3"/>
      <c r="C254" s="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</row>
    <row r="255" spans="1:23" ht="15.75" customHeight="1" x14ac:dyDescent="0.35">
      <c r="A255" s="3"/>
      <c r="B255" s="3"/>
      <c r="C255" s="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</row>
    <row r="256" spans="1:23" ht="15.75" customHeight="1" x14ac:dyDescent="0.35">
      <c r="A256" s="3"/>
      <c r="B256" s="3"/>
      <c r="C256" s="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</row>
    <row r="257" spans="1:23" ht="15.75" customHeight="1" x14ac:dyDescent="0.35">
      <c r="A257" s="3"/>
      <c r="B257" s="3"/>
      <c r="C257" s="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</row>
    <row r="258" spans="1:23" ht="15.75" customHeight="1" x14ac:dyDescent="0.35">
      <c r="A258" s="3"/>
      <c r="B258" s="3"/>
      <c r="C258" s="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</row>
    <row r="259" spans="1:23" ht="15.75" customHeight="1" x14ac:dyDescent="0.35">
      <c r="A259" s="3"/>
      <c r="B259" s="3"/>
      <c r="C259" s="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</row>
    <row r="260" spans="1:23" ht="15.75" customHeight="1" x14ac:dyDescent="0.35">
      <c r="A260" s="3"/>
      <c r="B260" s="3"/>
      <c r="C260" s="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</row>
    <row r="261" spans="1:23" ht="15.75" customHeight="1" x14ac:dyDescent="0.3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</row>
    <row r="262" spans="1:23" ht="15.75" customHeight="1" x14ac:dyDescent="0.3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</row>
    <row r="263" spans="1:23" ht="15.75" customHeight="1" x14ac:dyDescent="0.3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</row>
    <row r="264" spans="1:23" ht="15.75" customHeight="1" x14ac:dyDescent="0.3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</row>
    <row r="265" spans="1:23" ht="15.75" customHeight="1" x14ac:dyDescent="0.3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</row>
    <row r="266" spans="1:23" ht="15.75" customHeight="1" x14ac:dyDescent="0.3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1:23" ht="15.75" customHeight="1" x14ac:dyDescent="0.3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1:23" ht="15.75" customHeight="1" x14ac:dyDescent="0.3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1:23" ht="15.75" customHeight="1" x14ac:dyDescent="0.3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1:23" ht="15.75" customHeight="1" x14ac:dyDescent="0.3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1:23" ht="15.75" customHeight="1" x14ac:dyDescent="0.3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1:23" ht="15.75" customHeight="1" x14ac:dyDescent="0.3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1:23" ht="15.75" customHeight="1" x14ac:dyDescent="0.3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1:23" ht="15.75" customHeight="1" x14ac:dyDescent="0.3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1:23" ht="15.75" customHeight="1" x14ac:dyDescent="0.3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1:23" ht="15.75" customHeight="1" x14ac:dyDescent="0.3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1:23" ht="15.75" customHeight="1" x14ac:dyDescent="0.3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1:23" ht="15.75" customHeight="1" x14ac:dyDescent="0.3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1:23" ht="15.75" customHeight="1" x14ac:dyDescent="0.3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1:23" ht="15.75" customHeight="1" x14ac:dyDescent="0.3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1:23" ht="15.75" customHeight="1" x14ac:dyDescent="0.3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1:23" ht="15.75" customHeight="1" x14ac:dyDescent="0.3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1:23" ht="15.75" customHeight="1" x14ac:dyDescent="0.3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1:23" ht="15.75" customHeight="1" x14ac:dyDescent="0.3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1:23" ht="15.75" customHeight="1" x14ac:dyDescent="0.3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1:23" ht="15.75" customHeight="1" x14ac:dyDescent="0.3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1:23" ht="15.75" customHeight="1" x14ac:dyDescent="0.3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1:23" ht="15.75" customHeight="1" x14ac:dyDescent="0.3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1:23" ht="15.75" customHeight="1" x14ac:dyDescent="0.3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1:23" ht="15.75" customHeight="1" x14ac:dyDescent="0.3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1:23" ht="15.75" customHeight="1" x14ac:dyDescent="0.3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1:23" ht="15.75" customHeight="1" x14ac:dyDescent="0.3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1:23" ht="15.75" customHeight="1" x14ac:dyDescent="0.3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1:23" ht="15.75" customHeight="1" x14ac:dyDescent="0.3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1:23" ht="15.75" customHeight="1" x14ac:dyDescent="0.3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1:23" ht="15.75" customHeight="1" x14ac:dyDescent="0.3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1:23" ht="15.75" customHeight="1" x14ac:dyDescent="0.3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1:23" ht="15.75" customHeight="1" x14ac:dyDescent="0.3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1:23" ht="15.75" customHeight="1" x14ac:dyDescent="0.3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1:23" ht="15.75" customHeight="1" x14ac:dyDescent="0.3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3" ht="15.75" customHeight="1" x14ac:dyDescent="0.3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1:23" ht="15.75" customHeight="1" x14ac:dyDescent="0.3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1:23" ht="15.75" customHeight="1" x14ac:dyDescent="0.3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1:23" ht="15.75" customHeight="1" x14ac:dyDescent="0.3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3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3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3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3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3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3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3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3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3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3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3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3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3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3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3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3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3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3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3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3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3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3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3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3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3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3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3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3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3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3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3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3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3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3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3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3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3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3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3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3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3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3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3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3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3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3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3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3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3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3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3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3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3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3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3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3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3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3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3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3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3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3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3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3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3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3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3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3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3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3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3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3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3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3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3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3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3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3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3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3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3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3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3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3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3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3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3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3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3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3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3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3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3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3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3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3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3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3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3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3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3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3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3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3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3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3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3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3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3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3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3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3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3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3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3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3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3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3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3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3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3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3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3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3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3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3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3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3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3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3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3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3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3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3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3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3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3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3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3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3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3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3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3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3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3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3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3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3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3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3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3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3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3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3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3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3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3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3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3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3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3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3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3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3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3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3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3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3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3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3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3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3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3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3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3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3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3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3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3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3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3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3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3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3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3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3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3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3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3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3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3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3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3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3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3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3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3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3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3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3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3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3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3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3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3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3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3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3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3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3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3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3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3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3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3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3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3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3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3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3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3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3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3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3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3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3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3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3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3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3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3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3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3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3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3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3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3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3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3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3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3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3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3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3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3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3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3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3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3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3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3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3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3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3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3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3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3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3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3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3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3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3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3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3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3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3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3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3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3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3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3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3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3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3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3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3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3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3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3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3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3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3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3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3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3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3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3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3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3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3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3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3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3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3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3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3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3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3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3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3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3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3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3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3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3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3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3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3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3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3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3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3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3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3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3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3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3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3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3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3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3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3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3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3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3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3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3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3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3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3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3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3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3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3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3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3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3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3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3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3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3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3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3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3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3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3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3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3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3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3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3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3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3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3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3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3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3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3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3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3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3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3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3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3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3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3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3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3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3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3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3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3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3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3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3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3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3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3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3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3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3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3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3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3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3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3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3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3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3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3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3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3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3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3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3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3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3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3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3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3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3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3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3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3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3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3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3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3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3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3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3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3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3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3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3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3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3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3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3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3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3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3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3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3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3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3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3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3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3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3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3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3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3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3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3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3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3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3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3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3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3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3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3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3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3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3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3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3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3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3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3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3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3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3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3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3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3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3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3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3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3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3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3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3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3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3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3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3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3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3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3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3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3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3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3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3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3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3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3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3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3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3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3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3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3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3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3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3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3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3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3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3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3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3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3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3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3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3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3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3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3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3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3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3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3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3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3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3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3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3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3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3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3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3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3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3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3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3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3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3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3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3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3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3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3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3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3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3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3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3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3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3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3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3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3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3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3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3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3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3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3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3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3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3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3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3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3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3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3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3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3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3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3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3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3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3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3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3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3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3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3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3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3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3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3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3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3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3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3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3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3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3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3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3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3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3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3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3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3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3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3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3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3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3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3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3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3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3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3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3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3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3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3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3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3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3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3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3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3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3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3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3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3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3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3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3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3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3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3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3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3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3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3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3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3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3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3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3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3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3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3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3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3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3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3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3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3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3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3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3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3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3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3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3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3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3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3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3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3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3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3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3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3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3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3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3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3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3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3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3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3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3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3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3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3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3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3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3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3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3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3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3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3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3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3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3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3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3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3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3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3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3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3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3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3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3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3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3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3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3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3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3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3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3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3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3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3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3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3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</sheetData>
  <conditionalFormatting sqref="W2:W71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rintOptions horizontalCentered="1" gridLines="1"/>
  <pageMargins left="0.23622047244094491" right="0.23622047244094491" top="0.74803149606299213" bottom="0.74803149606299213" header="0" footer="0"/>
  <pageSetup paperSize="9" fitToHeight="0" orientation="portrait"/>
  <headerFooter>
    <oddHeader>&amp;L&amp;D&amp;CLIST OF STUDENTS PAYMENT STATUS&amp;R&amp;T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9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53125" defaultRowHeight="15" customHeight="1" x14ac:dyDescent="0.35"/>
  <cols>
    <col min="1" max="1" width="27.54296875" customWidth="1"/>
    <col min="2" max="2" width="62.453125" customWidth="1"/>
    <col min="3" max="3" width="25.7265625" customWidth="1"/>
    <col min="4" max="4" width="31.7265625" customWidth="1"/>
    <col min="5" max="5" width="25.26953125" customWidth="1"/>
    <col min="6" max="23" width="24.08984375" customWidth="1"/>
  </cols>
  <sheetData>
    <row r="1" spans="1:24" ht="17.5" x14ac:dyDescent="0.35">
      <c r="A1" s="30" t="s">
        <v>141</v>
      </c>
      <c r="B1" s="31" t="s">
        <v>142</v>
      </c>
      <c r="C1" s="31" t="s">
        <v>143</v>
      </c>
      <c r="D1" s="32" t="s">
        <v>144</v>
      </c>
      <c r="E1" s="33">
        <f>SUM(C2:C997)</f>
        <v>2460325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4.5" x14ac:dyDescent="0.35">
      <c r="A2" s="34">
        <v>45387</v>
      </c>
      <c r="B2" s="35" t="s">
        <v>333</v>
      </c>
      <c r="C2" s="36">
        <v>22500</v>
      </c>
      <c r="D2" s="3" t="s">
        <v>309</v>
      </c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4" ht="14.5" x14ac:dyDescent="0.35">
      <c r="A3" s="37">
        <v>45411</v>
      </c>
      <c r="B3" s="19" t="s">
        <v>173</v>
      </c>
      <c r="C3" s="28">
        <v>69500</v>
      </c>
      <c r="D3" s="19" t="s">
        <v>310</v>
      </c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</row>
    <row r="4" spans="1:24" ht="14.5" x14ac:dyDescent="0.35">
      <c r="A4" s="37">
        <v>45411</v>
      </c>
      <c r="B4" s="19" t="s">
        <v>409</v>
      </c>
      <c r="C4" s="28">
        <v>30000</v>
      </c>
      <c r="D4" s="19" t="s">
        <v>410</v>
      </c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</row>
    <row r="5" spans="1:24" ht="14.5" x14ac:dyDescent="0.35">
      <c r="A5" s="37">
        <v>45411</v>
      </c>
      <c r="B5" s="19" t="s">
        <v>381</v>
      </c>
      <c r="C5" s="28">
        <v>25000</v>
      </c>
      <c r="D5" s="19" t="s">
        <v>338</v>
      </c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</row>
    <row r="6" spans="1:24" ht="14.5" x14ac:dyDescent="0.35">
      <c r="A6" s="37">
        <v>45412</v>
      </c>
      <c r="B6" s="19" t="s">
        <v>411</v>
      </c>
      <c r="C6" s="28">
        <v>50000</v>
      </c>
      <c r="D6" s="19" t="s">
        <v>412</v>
      </c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</row>
    <row r="7" spans="1:24" ht="14.5" x14ac:dyDescent="0.35">
      <c r="A7" s="37">
        <v>45415</v>
      </c>
      <c r="B7" s="19" t="s">
        <v>413</v>
      </c>
      <c r="C7" s="28">
        <v>31500</v>
      </c>
      <c r="D7" s="19" t="s">
        <v>328</v>
      </c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</row>
    <row r="8" spans="1:24" ht="14.5" x14ac:dyDescent="0.35">
      <c r="A8" s="37">
        <v>45415</v>
      </c>
      <c r="B8" s="19" t="s">
        <v>333</v>
      </c>
      <c r="C8" s="28">
        <v>5000</v>
      </c>
      <c r="D8" s="19" t="s">
        <v>309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</row>
    <row r="9" spans="1:24" ht="14.5" x14ac:dyDescent="0.35">
      <c r="A9" s="37">
        <v>45417</v>
      </c>
      <c r="B9" s="19" t="s">
        <v>414</v>
      </c>
      <c r="C9" s="28">
        <v>20000</v>
      </c>
      <c r="D9" s="19" t="s">
        <v>157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</row>
    <row r="10" spans="1:24" ht="14.5" x14ac:dyDescent="0.35">
      <c r="A10" s="37">
        <v>45417</v>
      </c>
      <c r="B10" s="19" t="s">
        <v>415</v>
      </c>
      <c r="C10" s="28">
        <v>40000</v>
      </c>
      <c r="D10" s="19" t="s">
        <v>316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</row>
    <row r="11" spans="1:24" ht="14.5" x14ac:dyDescent="0.35">
      <c r="A11" s="37">
        <v>45418</v>
      </c>
      <c r="B11" s="19" t="s">
        <v>200</v>
      </c>
      <c r="C11" s="28">
        <v>20000</v>
      </c>
      <c r="D11" s="19" t="s">
        <v>201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</row>
    <row r="12" spans="1:24" ht="14.5" x14ac:dyDescent="0.35">
      <c r="A12" s="37">
        <v>45418</v>
      </c>
      <c r="B12" s="19" t="s">
        <v>287</v>
      </c>
      <c r="C12" s="28">
        <v>15000</v>
      </c>
      <c r="D12" s="19" t="s">
        <v>172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</row>
    <row r="13" spans="1:24" ht="14.5" x14ac:dyDescent="0.35">
      <c r="A13" s="37">
        <v>45418</v>
      </c>
      <c r="B13" s="19" t="s">
        <v>416</v>
      </c>
      <c r="C13" s="28">
        <v>25000</v>
      </c>
      <c r="D13" s="19" t="s">
        <v>167</v>
      </c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</row>
    <row r="14" spans="1:24" ht="14.5" x14ac:dyDescent="0.35">
      <c r="A14" s="37">
        <v>45418</v>
      </c>
      <c r="B14" s="19" t="s">
        <v>417</v>
      </c>
      <c r="C14" s="28">
        <v>10000</v>
      </c>
      <c r="D14" s="19" t="s">
        <v>418</v>
      </c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</row>
    <row r="15" spans="1:24" ht="14.5" x14ac:dyDescent="0.35">
      <c r="A15" s="37">
        <v>45418</v>
      </c>
      <c r="B15" s="19" t="s">
        <v>419</v>
      </c>
      <c r="C15" s="28">
        <v>15000</v>
      </c>
      <c r="D15" s="19" t="s">
        <v>325</v>
      </c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</row>
    <row r="16" spans="1:24" ht="14.5" x14ac:dyDescent="0.35">
      <c r="A16" s="37">
        <v>45419</v>
      </c>
      <c r="B16" s="19" t="s">
        <v>420</v>
      </c>
      <c r="C16" s="28">
        <v>50000</v>
      </c>
      <c r="D16" s="19" t="s">
        <v>421</v>
      </c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</row>
    <row r="17" spans="1:18" ht="14.5" x14ac:dyDescent="0.35">
      <c r="A17" s="37">
        <v>45419</v>
      </c>
      <c r="B17" s="19" t="s">
        <v>422</v>
      </c>
      <c r="C17" s="28">
        <v>10000</v>
      </c>
      <c r="D17" s="19" t="s">
        <v>331</v>
      </c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</row>
    <row r="18" spans="1:18" ht="14.5" x14ac:dyDescent="0.35">
      <c r="A18" s="37">
        <v>45419</v>
      </c>
      <c r="B18" s="19" t="s">
        <v>423</v>
      </c>
      <c r="C18" s="28">
        <v>10000</v>
      </c>
      <c r="D18" s="19" t="s">
        <v>331</v>
      </c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</row>
    <row r="19" spans="1:18" ht="14.5" x14ac:dyDescent="0.35">
      <c r="A19" s="37">
        <v>45420</v>
      </c>
      <c r="B19" s="19" t="s">
        <v>350</v>
      </c>
      <c r="C19" s="28">
        <v>40000</v>
      </c>
      <c r="D19" s="19" t="s">
        <v>351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</row>
    <row r="20" spans="1:18" ht="14.5" x14ac:dyDescent="0.35">
      <c r="A20" s="37">
        <v>45420</v>
      </c>
      <c r="B20" s="19" t="s">
        <v>424</v>
      </c>
      <c r="C20" s="28">
        <v>10000</v>
      </c>
      <c r="D20" s="19" t="s">
        <v>245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</row>
    <row r="21" spans="1:18" ht="15.75" customHeight="1" x14ac:dyDescent="0.35">
      <c r="A21" s="37">
        <v>45420</v>
      </c>
      <c r="B21" s="19" t="s">
        <v>425</v>
      </c>
      <c r="C21" s="28">
        <v>20000</v>
      </c>
      <c r="D21" s="19" t="s">
        <v>195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</row>
    <row r="22" spans="1:18" ht="15.75" customHeight="1" x14ac:dyDescent="0.35">
      <c r="A22" s="37">
        <v>45420</v>
      </c>
      <c r="B22" s="19" t="s">
        <v>426</v>
      </c>
      <c r="C22" s="28">
        <v>30000</v>
      </c>
      <c r="D22" s="19" t="s">
        <v>280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</row>
    <row r="23" spans="1:18" ht="15.75" customHeight="1" x14ac:dyDescent="0.35">
      <c r="A23" s="37">
        <v>45420</v>
      </c>
      <c r="B23" s="19" t="s">
        <v>164</v>
      </c>
      <c r="C23" s="28">
        <v>31500</v>
      </c>
      <c r="D23" s="19" t="s">
        <v>427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</row>
    <row r="24" spans="1:18" ht="15.75" customHeight="1" x14ac:dyDescent="0.35">
      <c r="A24" s="37">
        <v>45421</v>
      </c>
      <c r="B24" s="19" t="s">
        <v>381</v>
      </c>
      <c r="C24" s="28">
        <v>16000</v>
      </c>
      <c r="D24" s="19" t="s">
        <v>338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</row>
    <row r="25" spans="1:18" ht="15.75" customHeight="1" x14ac:dyDescent="0.35">
      <c r="A25" s="37">
        <v>45422</v>
      </c>
      <c r="B25" s="19" t="s">
        <v>342</v>
      </c>
      <c r="C25" s="28">
        <v>15000</v>
      </c>
      <c r="D25" s="19" t="s">
        <v>428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</row>
    <row r="26" spans="1:18" ht="15.75" customHeight="1" x14ac:dyDescent="0.35">
      <c r="A26" s="37">
        <v>45424</v>
      </c>
      <c r="B26" s="19" t="s">
        <v>332</v>
      </c>
      <c r="C26" s="28">
        <v>25000</v>
      </c>
      <c r="D26" s="19" t="s">
        <v>181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</row>
    <row r="27" spans="1:18" ht="15.75" customHeight="1" x14ac:dyDescent="0.35">
      <c r="A27" s="37">
        <v>45425</v>
      </c>
      <c r="B27" s="19" t="s">
        <v>250</v>
      </c>
      <c r="C27" s="28">
        <v>40000</v>
      </c>
      <c r="D27" s="19" t="s">
        <v>317</v>
      </c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</row>
    <row r="28" spans="1:18" ht="15.75" customHeight="1" x14ac:dyDescent="0.35">
      <c r="A28" s="37">
        <v>45425</v>
      </c>
      <c r="B28" s="19" t="s">
        <v>429</v>
      </c>
      <c r="C28" s="28">
        <v>24500</v>
      </c>
      <c r="D28" s="19" t="s">
        <v>205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</row>
    <row r="29" spans="1:18" ht="15.75" customHeight="1" x14ac:dyDescent="0.35">
      <c r="A29" s="37">
        <v>45426</v>
      </c>
      <c r="B29" s="19" t="s">
        <v>430</v>
      </c>
      <c r="C29" s="28">
        <v>8000</v>
      </c>
      <c r="D29" s="19" t="s">
        <v>431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</row>
    <row r="30" spans="1:18" ht="15.75" customHeight="1" x14ac:dyDescent="0.35">
      <c r="A30" s="37">
        <v>45427</v>
      </c>
      <c r="B30" s="19" t="s">
        <v>253</v>
      </c>
      <c r="C30" s="28">
        <v>30000</v>
      </c>
      <c r="D30" s="19" t="s">
        <v>334</v>
      </c>
      <c r="E30" s="19"/>
      <c r="F30" s="19"/>
      <c r="G30" s="19"/>
      <c r="H30" s="40"/>
      <c r="I30" s="19"/>
      <c r="J30" s="19"/>
      <c r="K30" s="19"/>
      <c r="L30" s="19"/>
      <c r="M30" s="19"/>
      <c r="N30" s="19"/>
      <c r="O30" s="19"/>
      <c r="P30" s="19"/>
      <c r="Q30" s="19"/>
      <c r="R30" s="19"/>
    </row>
    <row r="31" spans="1:18" ht="15.75" customHeight="1" x14ac:dyDescent="0.35">
      <c r="A31" s="37">
        <v>45428</v>
      </c>
      <c r="B31" s="19" t="s">
        <v>432</v>
      </c>
      <c r="C31" s="28">
        <v>18500</v>
      </c>
      <c r="D31" s="19" t="s">
        <v>195</v>
      </c>
      <c r="E31" s="19"/>
      <c r="F31" s="19"/>
      <c r="G31" s="19"/>
      <c r="H31" s="40"/>
      <c r="I31" s="19"/>
      <c r="J31" s="19"/>
      <c r="K31" s="19"/>
      <c r="L31" s="19"/>
      <c r="M31" s="19"/>
      <c r="N31" s="19"/>
      <c r="O31" s="19"/>
      <c r="P31" s="19"/>
      <c r="Q31" s="19"/>
      <c r="R31" s="19"/>
    </row>
    <row r="32" spans="1:18" ht="15.75" customHeight="1" x14ac:dyDescent="0.35">
      <c r="A32" s="37">
        <v>45429</v>
      </c>
      <c r="B32" s="19" t="s">
        <v>433</v>
      </c>
      <c r="C32" s="28">
        <v>38000</v>
      </c>
      <c r="D32" s="19" t="s">
        <v>357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</row>
    <row r="33" spans="1:18" ht="15.75" customHeight="1" x14ac:dyDescent="0.35">
      <c r="A33" s="37">
        <v>45431</v>
      </c>
      <c r="B33" s="19" t="s">
        <v>434</v>
      </c>
      <c r="C33" s="28">
        <v>30000</v>
      </c>
      <c r="D33" s="19" t="s">
        <v>238</v>
      </c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</row>
    <row r="34" spans="1:18" ht="15.75" customHeight="1" x14ac:dyDescent="0.35">
      <c r="A34" s="37">
        <v>45431</v>
      </c>
      <c r="B34" s="19" t="s">
        <v>435</v>
      </c>
      <c r="C34" s="28">
        <v>15000</v>
      </c>
      <c r="D34" s="19" t="s">
        <v>436</v>
      </c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</row>
    <row r="35" spans="1:18" ht="15.75" customHeight="1" x14ac:dyDescent="0.35">
      <c r="A35" s="37">
        <v>45431</v>
      </c>
      <c r="B35" s="19" t="s">
        <v>170</v>
      </c>
      <c r="C35" s="28">
        <v>50000</v>
      </c>
      <c r="D35" s="19" t="s">
        <v>344</v>
      </c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</row>
    <row r="36" spans="1:18" ht="15.75" customHeight="1" x14ac:dyDescent="0.35">
      <c r="A36" s="37">
        <v>45432</v>
      </c>
      <c r="B36" s="19" t="s">
        <v>429</v>
      </c>
      <c r="C36" s="28">
        <v>20000</v>
      </c>
      <c r="D36" s="19" t="s">
        <v>205</v>
      </c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</row>
    <row r="37" spans="1:18" ht="15.75" customHeight="1" x14ac:dyDescent="0.35">
      <c r="A37" s="37">
        <v>45432</v>
      </c>
      <c r="B37" s="19" t="s">
        <v>437</v>
      </c>
      <c r="C37" s="28">
        <v>22000</v>
      </c>
      <c r="D37" s="19" t="s">
        <v>431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</row>
    <row r="38" spans="1:18" ht="15.75" customHeight="1" x14ac:dyDescent="0.35">
      <c r="A38" s="37">
        <v>45434</v>
      </c>
      <c r="B38" s="19" t="s">
        <v>438</v>
      </c>
      <c r="C38" s="28">
        <v>50000</v>
      </c>
      <c r="D38" s="19" t="s">
        <v>324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</row>
    <row r="39" spans="1:18" ht="15.75" customHeight="1" x14ac:dyDescent="0.35">
      <c r="A39" s="37">
        <v>45434</v>
      </c>
      <c r="B39" s="19" t="s">
        <v>439</v>
      </c>
      <c r="C39" s="28">
        <v>30000</v>
      </c>
      <c r="D39" s="19" t="s">
        <v>356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</row>
    <row r="40" spans="1:18" ht="15.75" customHeight="1" x14ac:dyDescent="0.35">
      <c r="A40" s="37">
        <v>45438</v>
      </c>
      <c r="B40" s="19" t="s">
        <v>342</v>
      </c>
      <c r="C40" s="28">
        <v>10500</v>
      </c>
      <c r="D40" s="19" t="s">
        <v>428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</row>
    <row r="41" spans="1:18" ht="15.75" customHeight="1" x14ac:dyDescent="0.35">
      <c r="A41" s="37">
        <v>45438</v>
      </c>
      <c r="B41" s="19" t="s">
        <v>440</v>
      </c>
      <c r="C41" s="28">
        <v>43000</v>
      </c>
      <c r="D41" s="19" t="s">
        <v>227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</row>
    <row r="42" spans="1:18" ht="15.75" customHeight="1" x14ac:dyDescent="0.35">
      <c r="A42" s="37">
        <v>45439</v>
      </c>
      <c r="B42" s="19" t="s">
        <v>441</v>
      </c>
      <c r="C42" s="28">
        <v>15000</v>
      </c>
      <c r="D42" s="19" t="s">
        <v>325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</row>
    <row r="43" spans="1:18" ht="15.75" customHeight="1" x14ac:dyDescent="0.35">
      <c r="A43" s="37">
        <v>45439</v>
      </c>
      <c r="B43" s="19" t="s">
        <v>287</v>
      </c>
      <c r="C43" s="28">
        <v>15000</v>
      </c>
      <c r="D43" s="19" t="s">
        <v>359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</row>
    <row r="44" spans="1:18" ht="15.75" customHeight="1" x14ac:dyDescent="0.35">
      <c r="A44" s="37">
        <v>45440</v>
      </c>
      <c r="B44" s="19" t="s">
        <v>272</v>
      </c>
      <c r="C44" s="28">
        <v>10000</v>
      </c>
      <c r="D44" s="19" t="s">
        <v>245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</row>
    <row r="45" spans="1:18" ht="15.75" customHeight="1" x14ac:dyDescent="0.35">
      <c r="A45" s="37">
        <v>45440</v>
      </c>
      <c r="B45" s="19" t="s">
        <v>442</v>
      </c>
      <c r="C45" s="28">
        <v>35595</v>
      </c>
      <c r="D45" s="19" t="s">
        <v>443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</row>
    <row r="46" spans="1:18" ht="15.75" customHeight="1" x14ac:dyDescent="0.35">
      <c r="A46" s="37">
        <v>45440</v>
      </c>
      <c r="B46" s="19" t="s">
        <v>444</v>
      </c>
      <c r="C46" s="28">
        <v>26200</v>
      </c>
      <c r="D46" s="19" t="s">
        <v>220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</row>
    <row r="47" spans="1:18" ht="15.75" customHeight="1" x14ac:dyDescent="0.35">
      <c r="A47" s="37">
        <v>45440</v>
      </c>
      <c r="B47" s="19" t="s">
        <v>239</v>
      </c>
      <c r="C47" s="28">
        <v>20000</v>
      </c>
      <c r="D47" s="19" t="s">
        <v>240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</row>
    <row r="48" spans="1:18" ht="15.75" customHeight="1" x14ac:dyDescent="0.35">
      <c r="A48" s="37">
        <v>45443</v>
      </c>
      <c r="B48" s="19" t="s">
        <v>445</v>
      </c>
      <c r="C48" s="28">
        <v>3900</v>
      </c>
      <c r="D48" s="19" t="s">
        <v>357</v>
      </c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</row>
    <row r="49" spans="1:18" ht="15.75" customHeight="1" x14ac:dyDescent="0.35">
      <c r="A49" s="37">
        <v>45443</v>
      </c>
      <c r="B49" s="19" t="s">
        <v>446</v>
      </c>
      <c r="C49" s="28">
        <v>10000</v>
      </c>
      <c r="D49" s="19" t="s">
        <v>418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</row>
    <row r="50" spans="1:18" ht="15.75" customHeight="1" x14ac:dyDescent="0.35">
      <c r="A50" s="37">
        <v>45445</v>
      </c>
      <c r="B50" s="19" t="s">
        <v>447</v>
      </c>
      <c r="C50" s="28">
        <v>15000</v>
      </c>
      <c r="D50" s="19" t="s">
        <v>167</v>
      </c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</row>
    <row r="51" spans="1:18" ht="15.75" customHeight="1" x14ac:dyDescent="0.35">
      <c r="A51" s="37">
        <v>45445</v>
      </c>
      <c r="B51" s="19" t="s">
        <v>439</v>
      </c>
      <c r="C51" s="28">
        <v>30000</v>
      </c>
      <c r="D51" s="19" t="s">
        <v>356</v>
      </c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</row>
    <row r="52" spans="1:18" ht="15.75" customHeight="1" x14ac:dyDescent="0.35">
      <c r="A52" s="37">
        <v>45445</v>
      </c>
      <c r="B52" s="19" t="s">
        <v>448</v>
      </c>
      <c r="C52" s="28">
        <v>35030</v>
      </c>
      <c r="D52" s="19" t="s">
        <v>349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</row>
    <row r="53" spans="1:18" ht="15.75" customHeight="1" x14ac:dyDescent="0.35">
      <c r="A53" s="37">
        <v>45445</v>
      </c>
      <c r="B53" s="19" t="s">
        <v>449</v>
      </c>
      <c r="C53" s="28">
        <v>20000</v>
      </c>
      <c r="D53" s="19" t="s">
        <v>243</v>
      </c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</row>
    <row r="54" spans="1:18" ht="15.75" customHeight="1" x14ac:dyDescent="0.35">
      <c r="A54" s="37">
        <v>45446</v>
      </c>
      <c r="B54" s="19" t="s">
        <v>266</v>
      </c>
      <c r="C54" s="28">
        <v>20000</v>
      </c>
      <c r="D54" s="19" t="s">
        <v>193</v>
      </c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</row>
    <row r="55" spans="1:18" ht="15.75" customHeight="1" x14ac:dyDescent="0.35">
      <c r="A55" s="37">
        <v>45446</v>
      </c>
      <c r="B55" s="19" t="s">
        <v>354</v>
      </c>
      <c r="C55" s="28">
        <v>10000</v>
      </c>
      <c r="D55" s="19" t="s">
        <v>325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</row>
    <row r="56" spans="1:18" ht="15.75" customHeight="1" x14ac:dyDescent="0.35">
      <c r="A56" s="37">
        <v>45446</v>
      </c>
      <c r="B56" s="19" t="s">
        <v>450</v>
      </c>
      <c r="C56" s="28">
        <v>46000</v>
      </c>
      <c r="D56" s="19" t="s">
        <v>412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</row>
    <row r="57" spans="1:18" ht="15.75" customHeight="1" x14ac:dyDescent="0.35">
      <c r="A57" s="37">
        <v>45446</v>
      </c>
      <c r="B57" s="19" t="s">
        <v>451</v>
      </c>
      <c r="C57" s="28">
        <v>10000</v>
      </c>
      <c r="D57" s="19" t="s">
        <v>280</v>
      </c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</row>
    <row r="58" spans="1:18" ht="15.75" customHeight="1" x14ac:dyDescent="0.35">
      <c r="A58" s="37">
        <v>45446</v>
      </c>
      <c r="B58" s="19" t="s">
        <v>449</v>
      </c>
      <c r="C58" s="28">
        <v>30000</v>
      </c>
      <c r="D58" s="19" t="s">
        <v>347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</row>
    <row r="59" spans="1:18" ht="15.75" customHeight="1" x14ac:dyDescent="0.35">
      <c r="A59" s="37">
        <v>45447</v>
      </c>
      <c r="B59" s="19" t="s">
        <v>200</v>
      </c>
      <c r="C59" s="28">
        <v>28000</v>
      </c>
      <c r="D59" s="19" t="s">
        <v>201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</row>
    <row r="60" spans="1:18" ht="15.75" customHeight="1" x14ac:dyDescent="0.35">
      <c r="A60" s="37">
        <v>45448</v>
      </c>
      <c r="B60" s="19" t="s">
        <v>260</v>
      </c>
      <c r="C60" s="28">
        <v>35500</v>
      </c>
      <c r="D60" s="19" t="s">
        <v>331</v>
      </c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</row>
    <row r="61" spans="1:18" ht="15.75" customHeight="1" x14ac:dyDescent="0.35">
      <c r="A61" s="37">
        <v>45448</v>
      </c>
      <c r="B61" s="19" t="s">
        <v>430</v>
      </c>
      <c r="C61" s="28">
        <v>30000</v>
      </c>
      <c r="D61" s="19" t="s">
        <v>431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</row>
    <row r="62" spans="1:18" ht="15.75" customHeight="1" x14ac:dyDescent="0.35">
      <c r="A62" s="37">
        <v>45456</v>
      </c>
      <c r="B62" s="19" t="s">
        <v>409</v>
      </c>
      <c r="C62" s="28">
        <v>18500</v>
      </c>
      <c r="D62" s="19" t="s">
        <v>410</v>
      </c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</row>
    <row r="63" spans="1:18" ht="15.75" customHeight="1" x14ac:dyDescent="0.35">
      <c r="A63" s="37">
        <v>45462</v>
      </c>
      <c r="B63" s="19" t="s">
        <v>435</v>
      </c>
      <c r="C63" s="28">
        <v>10000</v>
      </c>
      <c r="D63" s="19" t="s">
        <v>436</v>
      </c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</row>
    <row r="64" spans="1:18" ht="15.75" customHeight="1" x14ac:dyDescent="0.35">
      <c r="A64" s="37">
        <v>45463</v>
      </c>
      <c r="B64" s="19" t="s">
        <v>196</v>
      </c>
      <c r="C64" s="28">
        <v>30000</v>
      </c>
      <c r="D64" s="19" t="s">
        <v>317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</row>
    <row r="65" spans="1:18" ht="15.75" customHeight="1" x14ac:dyDescent="0.35">
      <c r="A65" s="37">
        <v>45466</v>
      </c>
      <c r="B65" s="19" t="s">
        <v>452</v>
      </c>
      <c r="C65" s="28">
        <v>10000</v>
      </c>
      <c r="D65" s="19" t="s">
        <v>428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</row>
    <row r="66" spans="1:18" ht="15.75" customHeight="1" x14ac:dyDescent="0.35">
      <c r="A66" s="37">
        <v>45467</v>
      </c>
      <c r="B66" s="19" t="s">
        <v>453</v>
      </c>
      <c r="C66" s="28">
        <v>25000</v>
      </c>
      <c r="D66" s="19" t="s">
        <v>353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</row>
    <row r="67" spans="1:18" ht="15.75" customHeight="1" x14ac:dyDescent="0.35">
      <c r="A67" s="37">
        <v>45467</v>
      </c>
      <c r="B67" s="19" t="s">
        <v>266</v>
      </c>
      <c r="C67" s="28">
        <v>20000</v>
      </c>
      <c r="D67" s="19" t="s">
        <v>193</v>
      </c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</row>
    <row r="68" spans="1:18" ht="15.75" customHeight="1" x14ac:dyDescent="0.35">
      <c r="A68" s="37">
        <v>45467</v>
      </c>
      <c r="B68" s="19" t="s">
        <v>253</v>
      </c>
      <c r="C68" s="28">
        <v>20000</v>
      </c>
      <c r="D68" s="19" t="s">
        <v>334</v>
      </c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</row>
    <row r="69" spans="1:18" ht="15.75" customHeight="1" x14ac:dyDescent="0.35">
      <c r="A69" s="37">
        <v>45467</v>
      </c>
      <c r="B69" s="19" t="s">
        <v>272</v>
      </c>
      <c r="C69" s="28">
        <v>9000</v>
      </c>
      <c r="D69" s="19" t="s">
        <v>245</v>
      </c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</row>
    <row r="70" spans="1:18" ht="15.75" customHeight="1" x14ac:dyDescent="0.35">
      <c r="A70" s="37">
        <v>45467</v>
      </c>
      <c r="B70" s="19" t="s">
        <v>454</v>
      </c>
      <c r="C70" s="28">
        <v>1000</v>
      </c>
      <c r="D70" s="19" t="s">
        <v>245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</row>
    <row r="71" spans="1:18" ht="15.75" customHeight="1" x14ac:dyDescent="0.35">
      <c r="A71" s="37">
        <v>45467</v>
      </c>
      <c r="B71" s="19" t="s">
        <v>455</v>
      </c>
      <c r="C71" s="28">
        <v>30000</v>
      </c>
      <c r="D71" s="19" t="s">
        <v>243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</row>
    <row r="72" spans="1:18" ht="15.75" customHeight="1" x14ac:dyDescent="0.35">
      <c r="A72" s="37">
        <v>45467</v>
      </c>
      <c r="B72" s="19" t="s">
        <v>439</v>
      </c>
      <c r="C72" s="28">
        <v>40000</v>
      </c>
      <c r="D72" s="19" t="s">
        <v>356</v>
      </c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</row>
    <row r="73" spans="1:18" ht="15.75" customHeight="1" x14ac:dyDescent="0.35">
      <c r="A73" s="37">
        <v>45468</v>
      </c>
      <c r="B73" s="19" t="s">
        <v>435</v>
      </c>
      <c r="C73" s="28">
        <v>10000</v>
      </c>
      <c r="D73" s="19" t="s">
        <v>436</v>
      </c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</row>
    <row r="74" spans="1:18" ht="15.75" customHeight="1" x14ac:dyDescent="0.35">
      <c r="A74" s="37">
        <v>45468</v>
      </c>
      <c r="B74" s="19" t="s">
        <v>456</v>
      </c>
      <c r="C74" s="28">
        <v>30000</v>
      </c>
      <c r="D74" s="19" t="s">
        <v>280</v>
      </c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5.75" customHeight="1" x14ac:dyDescent="0.35">
      <c r="A75" s="37">
        <v>45469</v>
      </c>
      <c r="B75" s="19" t="s">
        <v>287</v>
      </c>
      <c r="C75" s="28">
        <v>15750</v>
      </c>
      <c r="D75" s="19" t="s">
        <v>172</v>
      </c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5.75" customHeight="1" x14ac:dyDescent="0.35">
      <c r="A76" s="37">
        <v>45469</v>
      </c>
      <c r="B76" s="19" t="s">
        <v>332</v>
      </c>
      <c r="C76" s="28">
        <v>20000</v>
      </c>
      <c r="D76" s="19" t="s">
        <v>181</v>
      </c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5.75" customHeight="1" x14ac:dyDescent="0.35">
      <c r="A77" s="37">
        <v>45473</v>
      </c>
      <c r="B77" s="19" t="s">
        <v>415</v>
      </c>
      <c r="C77" s="28">
        <v>32500</v>
      </c>
      <c r="D77" s="19" t="s">
        <v>316</v>
      </c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5.75" customHeight="1" x14ac:dyDescent="0.35">
      <c r="A78" s="37">
        <v>45474</v>
      </c>
      <c r="B78" s="19" t="s">
        <v>354</v>
      </c>
      <c r="C78" s="28">
        <v>20000</v>
      </c>
      <c r="D78" s="19" t="s">
        <v>325</v>
      </c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5.75" customHeight="1" x14ac:dyDescent="0.35">
      <c r="A79" s="37">
        <v>45474</v>
      </c>
      <c r="B79" s="19" t="s">
        <v>239</v>
      </c>
      <c r="C79" s="28">
        <v>10000</v>
      </c>
      <c r="D79" s="19" t="s">
        <v>240</v>
      </c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5.75" customHeight="1" x14ac:dyDescent="0.35">
      <c r="A80" s="37">
        <v>45474</v>
      </c>
      <c r="B80" s="19" t="s">
        <v>154</v>
      </c>
      <c r="C80" s="28">
        <v>12500</v>
      </c>
      <c r="D80" s="19" t="s">
        <v>344</v>
      </c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5.75" customHeight="1" x14ac:dyDescent="0.35">
      <c r="A81" s="37">
        <v>45474</v>
      </c>
      <c r="B81" s="19" t="s">
        <v>298</v>
      </c>
      <c r="C81" s="28">
        <v>30000</v>
      </c>
      <c r="D81" s="19" t="s">
        <v>157</v>
      </c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5.75" customHeight="1" x14ac:dyDescent="0.35">
      <c r="A82" s="37">
        <v>45474</v>
      </c>
      <c r="B82" s="19" t="s">
        <v>457</v>
      </c>
      <c r="C82" s="28">
        <v>12000</v>
      </c>
      <c r="D82" s="19" t="s">
        <v>314</v>
      </c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5.75" customHeight="1" x14ac:dyDescent="0.35">
      <c r="A83" s="37">
        <v>45474</v>
      </c>
      <c r="B83" s="19" t="s">
        <v>458</v>
      </c>
      <c r="C83" s="28">
        <v>3500</v>
      </c>
      <c r="D83" s="19" t="s">
        <v>310</v>
      </c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5.75" customHeight="1" x14ac:dyDescent="0.35">
      <c r="A84" s="37">
        <v>45475</v>
      </c>
      <c r="B84" s="19" t="s">
        <v>435</v>
      </c>
      <c r="C84" s="28">
        <v>10000</v>
      </c>
      <c r="D84" s="19" t="s">
        <v>436</v>
      </c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5.75" customHeight="1" x14ac:dyDescent="0.35">
      <c r="A85" s="37">
        <v>45475</v>
      </c>
      <c r="B85" s="19" t="s">
        <v>459</v>
      </c>
      <c r="C85" s="28">
        <v>40000</v>
      </c>
      <c r="D85" s="19" t="s">
        <v>324</v>
      </c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5.75" customHeight="1" x14ac:dyDescent="0.35">
      <c r="A86" s="37">
        <v>45476</v>
      </c>
      <c r="B86" s="19" t="s">
        <v>435</v>
      </c>
      <c r="C86" s="28">
        <v>2000</v>
      </c>
      <c r="D86" s="19" t="s">
        <v>436</v>
      </c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5.75" customHeight="1" x14ac:dyDescent="0.35">
      <c r="A87" s="37">
        <v>45476</v>
      </c>
      <c r="B87" s="19" t="s">
        <v>460</v>
      </c>
      <c r="C87" s="28">
        <v>16900</v>
      </c>
      <c r="D87" s="19" t="s">
        <v>347</v>
      </c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5.75" customHeight="1" x14ac:dyDescent="0.35">
      <c r="A88" s="37">
        <v>45477</v>
      </c>
      <c r="B88" s="19" t="s">
        <v>461</v>
      </c>
      <c r="C88" s="28">
        <v>40000</v>
      </c>
      <c r="D88" s="19" t="s">
        <v>421</v>
      </c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5.75" customHeight="1" x14ac:dyDescent="0.35">
      <c r="A89" s="37">
        <v>45478</v>
      </c>
      <c r="B89" s="19" t="s">
        <v>439</v>
      </c>
      <c r="C89" s="28">
        <v>7500</v>
      </c>
      <c r="D89" s="19" t="s">
        <v>356</v>
      </c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</row>
    <row r="90" spans="1:18" ht="15.75" customHeight="1" x14ac:dyDescent="0.35">
      <c r="A90" s="37">
        <v>45481</v>
      </c>
      <c r="B90" s="19" t="s">
        <v>447</v>
      </c>
      <c r="C90" s="28">
        <v>13000</v>
      </c>
      <c r="D90" s="19" t="s">
        <v>167</v>
      </c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</row>
    <row r="91" spans="1:18" ht="15.75" customHeight="1" x14ac:dyDescent="0.35">
      <c r="A91" s="37">
        <v>45482</v>
      </c>
      <c r="B91" s="19" t="s">
        <v>200</v>
      </c>
      <c r="C91" s="28">
        <v>3900</v>
      </c>
      <c r="D91" s="19" t="s">
        <v>201</v>
      </c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  <row r="92" spans="1:18" ht="15.75" customHeight="1" x14ac:dyDescent="0.35">
      <c r="A92" s="37">
        <v>45482</v>
      </c>
      <c r="B92" s="19" t="s">
        <v>462</v>
      </c>
      <c r="C92" s="28">
        <v>11000</v>
      </c>
      <c r="D92" s="19" t="s">
        <v>418</v>
      </c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</row>
    <row r="93" spans="1:18" ht="15.75" customHeight="1" x14ac:dyDescent="0.35">
      <c r="A93" s="37">
        <v>45482</v>
      </c>
      <c r="B93" s="19" t="s">
        <v>457</v>
      </c>
      <c r="C93" s="28">
        <v>7000</v>
      </c>
      <c r="D93" s="19" t="s">
        <v>314</v>
      </c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</row>
    <row r="94" spans="1:18" ht="15.75" customHeight="1" x14ac:dyDescent="0.35">
      <c r="A94" s="37">
        <v>45483</v>
      </c>
      <c r="B94" s="19" t="s">
        <v>463</v>
      </c>
      <c r="C94" s="28">
        <v>20000</v>
      </c>
      <c r="D94" s="19" t="s">
        <v>325</v>
      </c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</row>
    <row r="95" spans="1:18" ht="15.75" customHeight="1" x14ac:dyDescent="0.35">
      <c r="A95" s="37">
        <v>45483</v>
      </c>
      <c r="B95" s="19" t="s">
        <v>352</v>
      </c>
      <c r="C95" s="28">
        <v>62500</v>
      </c>
      <c r="D95" s="19" t="s">
        <v>353</v>
      </c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</row>
    <row r="96" spans="1:18" ht="15.75" customHeight="1" x14ac:dyDescent="0.35">
      <c r="A96" s="37">
        <v>45484</v>
      </c>
      <c r="B96" s="19" t="s">
        <v>464</v>
      </c>
      <c r="C96" s="28">
        <v>10000</v>
      </c>
      <c r="D96" s="19" t="s">
        <v>334</v>
      </c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</row>
    <row r="97" spans="1:18" ht="15.75" customHeight="1" x14ac:dyDescent="0.35">
      <c r="A97" s="37">
        <v>45484</v>
      </c>
      <c r="B97" s="19" t="s">
        <v>465</v>
      </c>
      <c r="C97" s="28">
        <v>27750</v>
      </c>
      <c r="D97" s="19" t="s">
        <v>412</v>
      </c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</row>
    <row r="98" spans="1:18" ht="15.75" customHeight="1" x14ac:dyDescent="0.35">
      <c r="A98" s="37">
        <v>45485</v>
      </c>
      <c r="B98" s="19" t="s">
        <v>332</v>
      </c>
      <c r="C98" s="28">
        <v>8000</v>
      </c>
      <c r="D98" s="19" t="s">
        <v>181</v>
      </c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</row>
    <row r="99" spans="1:18" ht="15.75" customHeight="1" x14ac:dyDescent="0.35">
      <c r="A99" s="37">
        <v>45485</v>
      </c>
      <c r="B99" s="19" t="s">
        <v>466</v>
      </c>
      <c r="C99" s="28">
        <v>18800</v>
      </c>
      <c r="D99" s="19" t="s">
        <v>359</v>
      </c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</row>
    <row r="100" spans="1:18" ht="15.75" customHeight="1" x14ac:dyDescent="0.35">
      <c r="A100" s="37">
        <v>45485</v>
      </c>
      <c r="B100" s="19" t="s">
        <v>467</v>
      </c>
      <c r="C100" s="28">
        <v>15000</v>
      </c>
      <c r="D100" s="19" t="s">
        <v>193</v>
      </c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</row>
    <row r="101" spans="1:18" ht="15.75" customHeight="1" x14ac:dyDescent="0.35">
      <c r="A101" s="37">
        <v>45487</v>
      </c>
      <c r="B101" s="19" t="s">
        <v>266</v>
      </c>
      <c r="C101" s="28">
        <v>15000</v>
      </c>
      <c r="D101" s="19" t="s">
        <v>193</v>
      </c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</row>
    <row r="102" spans="1:18" ht="15.75" customHeight="1" x14ac:dyDescent="0.35">
      <c r="A102" s="37">
        <v>45487</v>
      </c>
      <c r="B102" s="19" t="s">
        <v>468</v>
      </c>
      <c r="C102" s="28">
        <v>10000</v>
      </c>
      <c r="D102" s="19" t="s">
        <v>338</v>
      </c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</row>
    <row r="103" spans="1:18" ht="15.75" customHeight="1" x14ac:dyDescent="0.35">
      <c r="A103" s="37">
        <v>45487</v>
      </c>
      <c r="B103" s="19" t="s">
        <v>250</v>
      </c>
      <c r="C103" s="28">
        <v>25000</v>
      </c>
      <c r="D103" s="19" t="s">
        <v>317</v>
      </c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</row>
    <row r="104" spans="1:18" ht="15.75" customHeight="1" x14ac:dyDescent="0.35">
      <c r="A104" s="37">
        <v>45488</v>
      </c>
      <c r="B104" s="19" t="s">
        <v>469</v>
      </c>
      <c r="C104" s="28">
        <v>15000</v>
      </c>
      <c r="D104" s="19" t="s">
        <v>280</v>
      </c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</row>
    <row r="105" spans="1:18" ht="15.75" customHeight="1" x14ac:dyDescent="0.35">
      <c r="A105" s="37">
        <v>45488</v>
      </c>
      <c r="B105" s="19" t="s">
        <v>467</v>
      </c>
      <c r="C105" s="28">
        <v>21000</v>
      </c>
      <c r="D105" s="19" t="s">
        <v>431</v>
      </c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</row>
    <row r="106" spans="1:18" ht="15.75" customHeight="1" x14ac:dyDescent="0.35">
      <c r="A106" s="37">
        <v>45489</v>
      </c>
      <c r="B106" s="19" t="s">
        <v>272</v>
      </c>
      <c r="C106" s="28">
        <v>5000</v>
      </c>
      <c r="D106" s="19" t="s">
        <v>245</v>
      </c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</row>
    <row r="107" spans="1:18" ht="15.75" customHeight="1" x14ac:dyDescent="0.35">
      <c r="A107" s="37">
        <v>45492</v>
      </c>
      <c r="B107" s="19" t="s">
        <v>298</v>
      </c>
      <c r="C107" s="28">
        <v>20000</v>
      </c>
      <c r="D107" s="19" t="s">
        <v>157</v>
      </c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</row>
    <row r="108" spans="1:18" ht="15.75" customHeight="1" x14ac:dyDescent="0.35">
      <c r="A108" s="37">
        <v>45492</v>
      </c>
      <c r="B108" s="19" t="s">
        <v>434</v>
      </c>
      <c r="C108" s="28">
        <v>29000</v>
      </c>
      <c r="D108" s="19" t="s">
        <v>238</v>
      </c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</row>
    <row r="109" spans="1:18" ht="15.75" customHeight="1" x14ac:dyDescent="0.35">
      <c r="A109" s="37">
        <v>45495</v>
      </c>
      <c r="B109" s="19" t="s">
        <v>470</v>
      </c>
      <c r="C109" s="28">
        <v>15000</v>
      </c>
      <c r="D109" s="19" t="s">
        <v>243</v>
      </c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</row>
    <row r="110" spans="1:18" ht="15.75" customHeight="1" x14ac:dyDescent="0.35">
      <c r="A110" s="37">
        <v>45495</v>
      </c>
      <c r="B110" s="19" t="s">
        <v>464</v>
      </c>
      <c r="C110" s="28">
        <v>11000</v>
      </c>
      <c r="D110" s="19" t="s">
        <v>334</v>
      </c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</row>
    <row r="111" spans="1:18" ht="15.75" customHeight="1" x14ac:dyDescent="0.35">
      <c r="A111" s="37">
        <v>45496</v>
      </c>
      <c r="B111" s="19" t="s">
        <v>471</v>
      </c>
      <c r="C111" s="28">
        <v>3000</v>
      </c>
      <c r="D111" s="19" t="s">
        <v>472</v>
      </c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</row>
    <row r="112" spans="1:18" ht="15.75" customHeight="1" x14ac:dyDescent="0.35">
      <c r="A112" s="37">
        <v>45496</v>
      </c>
      <c r="B112" s="19" t="s">
        <v>473</v>
      </c>
      <c r="C112" s="28">
        <v>4000</v>
      </c>
      <c r="D112" s="19" t="s">
        <v>328</v>
      </c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</row>
    <row r="113" spans="1:18" ht="15.75" customHeight="1" x14ac:dyDescent="0.35">
      <c r="A113" s="37">
        <v>45496</v>
      </c>
      <c r="B113" s="19" t="s">
        <v>291</v>
      </c>
      <c r="C113" s="28">
        <v>3000</v>
      </c>
      <c r="D113" s="19" t="s">
        <v>436</v>
      </c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</row>
    <row r="114" spans="1:18" ht="15.75" customHeight="1" x14ac:dyDescent="0.35">
      <c r="A114" s="37">
        <v>45496</v>
      </c>
      <c r="B114" s="19" t="s">
        <v>474</v>
      </c>
      <c r="C114" s="28">
        <v>10000</v>
      </c>
      <c r="D114" s="19" t="s">
        <v>193</v>
      </c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</row>
    <row r="115" spans="1:18" ht="15.75" customHeight="1" x14ac:dyDescent="0.35">
      <c r="A115" s="37">
        <v>45497</v>
      </c>
      <c r="B115" s="19" t="s">
        <v>289</v>
      </c>
      <c r="C115" s="28">
        <v>10000</v>
      </c>
      <c r="D115" s="19" t="s">
        <v>193</v>
      </c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</row>
    <row r="116" spans="1:18" ht="15.75" customHeight="1" x14ac:dyDescent="0.35">
      <c r="A116" s="37">
        <v>45498</v>
      </c>
      <c r="B116" s="19" t="s">
        <v>475</v>
      </c>
      <c r="C116" s="28">
        <v>5500</v>
      </c>
      <c r="D116" s="19" t="s">
        <v>351</v>
      </c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</row>
    <row r="117" spans="1:18" ht="15.75" customHeight="1" x14ac:dyDescent="0.35">
      <c r="A117" s="37">
        <v>45501</v>
      </c>
      <c r="B117" s="19" t="s">
        <v>476</v>
      </c>
      <c r="C117" s="28">
        <v>15000</v>
      </c>
      <c r="D117" s="19" t="s">
        <v>325</v>
      </c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</row>
    <row r="118" spans="1:18" ht="15.75" customHeight="1" x14ac:dyDescent="0.35">
      <c r="A118" s="37">
        <v>45502</v>
      </c>
      <c r="B118" s="19" t="s">
        <v>477</v>
      </c>
      <c r="C118" s="28">
        <v>10000</v>
      </c>
      <c r="D118" s="19" t="s">
        <v>280</v>
      </c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</row>
    <row r="119" spans="1:18" ht="15.75" customHeight="1" x14ac:dyDescent="0.35">
      <c r="A119" s="37"/>
      <c r="B119" s="19"/>
      <c r="C119" s="28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</row>
    <row r="120" spans="1:18" ht="15.75" customHeight="1" x14ac:dyDescent="0.35">
      <c r="A120" s="37"/>
      <c r="B120" s="19"/>
      <c r="C120" s="28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</row>
    <row r="121" spans="1:18" ht="15.75" customHeight="1" x14ac:dyDescent="0.35">
      <c r="A121" s="37"/>
      <c r="B121" s="19"/>
      <c r="C121" s="28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</row>
    <row r="122" spans="1:18" ht="15.75" customHeight="1" x14ac:dyDescent="0.35">
      <c r="A122" s="37"/>
      <c r="B122" s="19"/>
      <c r="C122" s="28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</row>
    <row r="123" spans="1:18" ht="15.75" customHeight="1" x14ac:dyDescent="0.35">
      <c r="A123" s="37"/>
      <c r="B123" s="19"/>
      <c r="C123" s="28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</row>
    <row r="124" spans="1:18" ht="15.75" customHeight="1" x14ac:dyDescent="0.35">
      <c r="A124" s="37"/>
      <c r="B124" s="19"/>
      <c r="C124" s="28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</row>
    <row r="125" spans="1:18" ht="15.75" customHeight="1" x14ac:dyDescent="0.35">
      <c r="A125" s="37"/>
      <c r="B125" s="19"/>
      <c r="C125" s="28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</row>
    <row r="126" spans="1:18" ht="15.75" customHeight="1" x14ac:dyDescent="0.35">
      <c r="A126" s="37"/>
      <c r="B126" s="19"/>
      <c r="C126" s="28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</row>
    <row r="127" spans="1:18" ht="15.75" customHeight="1" x14ac:dyDescent="0.35">
      <c r="A127" s="37"/>
      <c r="B127" s="19"/>
      <c r="C127" s="28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</row>
    <row r="128" spans="1:18" ht="15.75" customHeight="1" x14ac:dyDescent="0.35">
      <c r="A128" s="37"/>
      <c r="B128" s="19"/>
      <c r="C128" s="28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</row>
    <row r="129" spans="1:18" ht="15.75" customHeight="1" x14ac:dyDescent="0.35">
      <c r="A129" s="37"/>
      <c r="B129" s="19"/>
      <c r="C129" s="28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</row>
    <row r="130" spans="1:18" ht="15.75" customHeight="1" x14ac:dyDescent="0.35">
      <c r="A130" s="37"/>
      <c r="B130" s="19"/>
      <c r="C130" s="28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</row>
    <row r="131" spans="1:18" ht="15.75" customHeight="1" x14ac:dyDescent="0.35">
      <c r="A131" s="37"/>
      <c r="B131" s="19"/>
      <c r="C131" s="28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</row>
    <row r="132" spans="1:18" ht="15.75" customHeight="1" x14ac:dyDescent="0.35">
      <c r="A132" s="37"/>
      <c r="B132" s="19"/>
      <c r="C132" s="28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</row>
    <row r="133" spans="1:18" ht="15.75" customHeight="1" x14ac:dyDescent="0.35">
      <c r="A133" s="37"/>
      <c r="B133" s="19"/>
      <c r="C133" s="28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</row>
    <row r="134" spans="1:18" ht="15.75" customHeight="1" x14ac:dyDescent="0.35">
      <c r="A134" s="37"/>
      <c r="B134" s="19"/>
      <c r="C134" s="28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</row>
    <row r="135" spans="1:18" ht="15.75" customHeight="1" x14ac:dyDescent="0.35">
      <c r="A135" s="37"/>
      <c r="B135" s="19"/>
      <c r="C135" s="28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</row>
    <row r="136" spans="1:18" ht="15.75" customHeight="1" x14ac:dyDescent="0.35">
      <c r="A136" s="37"/>
      <c r="B136" s="19"/>
      <c r="C136" s="28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</row>
    <row r="137" spans="1:18" ht="15.75" customHeight="1" x14ac:dyDescent="0.35">
      <c r="A137" s="37"/>
      <c r="B137" s="19"/>
      <c r="C137" s="28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</row>
    <row r="138" spans="1:18" ht="15.75" customHeight="1" x14ac:dyDescent="0.35">
      <c r="A138" s="37"/>
      <c r="B138" s="19"/>
      <c r="C138" s="28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</row>
    <row r="139" spans="1:18" ht="15.75" customHeight="1" x14ac:dyDescent="0.35">
      <c r="A139" s="37"/>
      <c r="B139" s="19"/>
      <c r="C139" s="28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</row>
    <row r="140" spans="1:18" ht="15.75" customHeight="1" x14ac:dyDescent="0.35">
      <c r="A140" s="37"/>
      <c r="B140" s="19"/>
      <c r="C140" s="28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</row>
    <row r="141" spans="1:18" ht="15.75" customHeight="1" x14ac:dyDescent="0.35">
      <c r="A141" s="37"/>
      <c r="B141" s="19"/>
      <c r="C141" s="28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</row>
    <row r="142" spans="1:18" ht="15.75" customHeight="1" x14ac:dyDescent="0.35">
      <c r="A142" s="37"/>
      <c r="B142" s="19"/>
      <c r="C142" s="28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</row>
    <row r="143" spans="1:18" ht="15.75" customHeight="1" x14ac:dyDescent="0.35">
      <c r="A143" s="37"/>
      <c r="B143" s="19"/>
      <c r="C143" s="28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</row>
    <row r="144" spans="1:18" ht="15.75" customHeight="1" x14ac:dyDescent="0.35">
      <c r="A144" s="37"/>
      <c r="B144" s="19"/>
      <c r="C144" s="28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</row>
    <row r="145" spans="1:24" ht="15.75" customHeight="1" x14ac:dyDescent="0.35">
      <c r="A145" s="37"/>
      <c r="B145" s="19"/>
      <c r="C145" s="28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</row>
    <row r="146" spans="1:24" ht="15.75" customHeight="1" x14ac:dyDescent="0.35">
      <c r="A146" s="37"/>
      <c r="B146" s="19"/>
      <c r="C146" s="28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</row>
    <row r="147" spans="1:24" ht="15.75" customHeight="1" x14ac:dyDescent="0.35">
      <c r="A147" s="37"/>
      <c r="B147" s="27"/>
      <c r="C147" s="28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ht="15.75" customHeight="1" x14ac:dyDescent="0.35">
      <c r="A148" s="37"/>
      <c r="B148" s="27"/>
      <c r="C148" s="28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ht="15.75" customHeight="1" x14ac:dyDescent="0.35">
      <c r="A149" s="37"/>
      <c r="B149" s="27"/>
      <c r="C149" s="28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ht="15.75" customHeight="1" x14ac:dyDescent="0.35">
      <c r="A150" s="37"/>
      <c r="B150" s="27"/>
      <c r="C150" s="28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ht="15.75" customHeight="1" x14ac:dyDescent="0.35">
      <c r="A151" s="37"/>
      <c r="B151" s="27"/>
      <c r="C151" s="28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ht="15.75" customHeight="1" x14ac:dyDescent="0.35">
      <c r="A152" s="37"/>
      <c r="B152" s="27"/>
      <c r="C152" s="28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ht="15.75" customHeight="1" x14ac:dyDescent="0.35">
      <c r="A153" s="37"/>
      <c r="B153" s="27"/>
      <c r="C153" s="28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ht="15.75" customHeight="1" x14ac:dyDescent="0.35">
      <c r="A154" s="37"/>
      <c r="B154" s="27"/>
      <c r="C154" s="28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ht="15.75" customHeight="1" x14ac:dyDescent="0.35">
      <c r="A155" s="37"/>
      <c r="B155" s="27"/>
      <c r="C155" s="28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ht="15.75" customHeight="1" x14ac:dyDescent="0.35">
      <c r="A156" s="37"/>
      <c r="B156" s="27"/>
      <c r="C156" s="28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ht="15.75" customHeight="1" x14ac:dyDescent="0.35">
      <c r="A157" s="37"/>
      <c r="B157" s="27"/>
      <c r="C157" s="28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ht="15.75" customHeight="1" x14ac:dyDescent="0.35">
      <c r="A158" s="37"/>
      <c r="B158" s="27"/>
      <c r="C158" s="28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ht="15.75" customHeight="1" x14ac:dyDescent="0.35">
      <c r="A159" s="37"/>
      <c r="B159" s="27"/>
      <c r="C159" s="28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ht="15.75" customHeight="1" x14ac:dyDescent="0.35">
      <c r="A160" s="37"/>
      <c r="B160" s="27"/>
      <c r="C160" s="28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ht="15.75" customHeight="1" x14ac:dyDescent="0.35">
      <c r="A161" s="37"/>
      <c r="B161" s="27"/>
      <c r="C161" s="28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ht="15.75" customHeight="1" x14ac:dyDescent="0.35">
      <c r="A162" s="37"/>
      <c r="B162" s="27"/>
      <c r="C162" s="28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ht="15.75" customHeight="1" x14ac:dyDescent="0.35">
      <c r="A163" s="37"/>
      <c r="B163" s="27"/>
      <c r="C163" s="28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ht="15.75" customHeight="1" x14ac:dyDescent="0.35">
      <c r="A164" s="37"/>
      <c r="B164" s="27"/>
      <c r="C164" s="28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ht="15.75" customHeight="1" x14ac:dyDescent="0.35">
      <c r="A165" s="37"/>
      <c r="B165" s="27"/>
      <c r="C165" s="28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ht="15.75" customHeight="1" x14ac:dyDescent="0.35">
      <c r="A166" s="37"/>
      <c r="B166" s="27"/>
      <c r="C166" s="28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ht="15.75" customHeight="1" x14ac:dyDescent="0.35">
      <c r="A167" s="37"/>
      <c r="B167" s="27"/>
      <c r="C167" s="28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ht="15.75" customHeight="1" x14ac:dyDescent="0.35">
      <c r="A168" s="37"/>
      <c r="B168" s="27"/>
      <c r="C168" s="28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ht="15.75" customHeight="1" x14ac:dyDescent="0.35">
      <c r="A169" s="37"/>
      <c r="B169" s="27"/>
      <c r="C169" s="28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ht="15.75" customHeight="1" x14ac:dyDescent="0.35">
      <c r="A170" s="37"/>
      <c r="B170" s="27"/>
      <c r="C170" s="28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ht="15.75" customHeight="1" x14ac:dyDescent="0.35">
      <c r="A171" s="37"/>
      <c r="B171" s="27"/>
      <c r="C171" s="28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ht="15.75" customHeight="1" x14ac:dyDescent="0.35">
      <c r="A172" s="37"/>
      <c r="B172" s="27"/>
      <c r="C172" s="28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ht="15.75" customHeight="1" x14ac:dyDescent="0.35">
      <c r="A173" s="37"/>
      <c r="B173" s="27"/>
      <c r="C173" s="28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ht="15.75" customHeight="1" x14ac:dyDescent="0.35">
      <c r="A174" s="37"/>
      <c r="B174" s="27"/>
      <c r="C174" s="28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ht="15.75" customHeight="1" x14ac:dyDescent="0.35">
      <c r="A175" s="37"/>
      <c r="B175" s="27"/>
      <c r="C175" s="28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ht="15.75" customHeight="1" x14ac:dyDescent="0.35">
      <c r="A176" s="37"/>
      <c r="B176" s="27"/>
      <c r="C176" s="28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ht="15.75" customHeight="1" x14ac:dyDescent="0.35">
      <c r="A177" s="37"/>
      <c r="B177" s="27"/>
      <c r="C177" s="28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ht="15.75" customHeight="1" x14ac:dyDescent="0.35">
      <c r="A178" s="37"/>
      <c r="B178" s="27"/>
      <c r="C178" s="28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ht="15.75" customHeight="1" x14ac:dyDescent="0.35">
      <c r="A179" s="37"/>
      <c r="B179" s="27"/>
      <c r="C179" s="28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ht="15.75" customHeight="1" x14ac:dyDescent="0.35">
      <c r="A180" s="37"/>
      <c r="B180" s="27"/>
      <c r="C180" s="28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ht="15.75" customHeight="1" x14ac:dyDescent="0.35">
      <c r="A181" s="37"/>
      <c r="B181" s="27"/>
      <c r="C181" s="28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ht="15.75" customHeight="1" x14ac:dyDescent="0.35">
      <c r="A182" s="37"/>
      <c r="B182" s="27"/>
      <c r="C182" s="28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ht="15.75" customHeight="1" x14ac:dyDescent="0.35">
      <c r="A183" s="37"/>
      <c r="B183" s="27"/>
      <c r="C183" s="28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ht="15.75" customHeight="1" x14ac:dyDescent="0.35">
      <c r="A184" s="37"/>
      <c r="B184" s="27"/>
      <c r="C184" s="28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ht="15.75" customHeight="1" x14ac:dyDescent="0.35">
      <c r="A185" s="37"/>
      <c r="B185" s="27"/>
      <c r="C185" s="28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ht="15.75" customHeight="1" x14ac:dyDescent="0.35">
      <c r="A186" s="37"/>
      <c r="B186" s="27"/>
      <c r="C186" s="28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ht="15.75" customHeight="1" x14ac:dyDescent="0.35">
      <c r="A187" s="37"/>
      <c r="B187" s="27"/>
      <c r="C187" s="28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ht="15.75" customHeight="1" x14ac:dyDescent="0.35">
      <c r="A188" s="37"/>
      <c r="B188" s="27"/>
      <c r="C188" s="28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ht="15.75" customHeight="1" x14ac:dyDescent="0.35">
      <c r="A189" s="37"/>
      <c r="B189" s="27"/>
      <c r="C189" s="28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ht="15.75" customHeight="1" x14ac:dyDescent="0.35">
      <c r="A190" s="37"/>
      <c r="B190" s="27"/>
      <c r="C190" s="28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ht="15.75" customHeight="1" x14ac:dyDescent="0.35">
      <c r="A191" s="37"/>
      <c r="B191" s="27"/>
      <c r="C191" s="28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ht="15.75" customHeight="1" x14ac:dyDescent="0.35">
      <c r="A192" s="37"/>
      <c r="B192" s="27"/>
      <c r="C192" s="28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ht="15.75" customHeight="1" x14ac:dyDescent="0.35">
      <c r="A193" s="37"/>
      <c r="B193" s="27"/>
      <c r="C193" s="28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ht="15.75" customHeight="1" x14ac:dyDescent="0.35">
      <c r="A194" s="37"/>
      <c r="B194" s="27"/>
      <c r="C194" s="28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ht="15.75" customHeight="1" x14ac:dyDescent="0.35">
      <c r="A195" s="37"/>
      <c r="B195" s="27"/>
      <c r="C195" s="28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ht="15.75" customHeight="1" x14ac:dyDescent="0.35">
      <c r="A196" s="37"/>
      <c r="B196" s="27"/>
      <c r="C196" s="28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ht="15.75" customHeight="1" x14ac:dyDescent="0.35">
      <c r="A197" s="37"/>
      <c r="B197" s="27"/>
      <c r="C197" s="28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ht="15.75" customHeight="1" x14ac:dyDescent="0.35">
      <c r="A198" s="37"/>
      <c r="B198" s="27"/>
      <c r="C198" s="28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ht="15.75" customHeight="1" x14ac:dyDescent="0.35">
      <c r="A199" s="37"/>
      <c r="B199" s="27"/>
      <c r="C199" s="28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ht="15.75" customHeight="1" x14ac:dyDescent="0.35">
      <c r="A200" s="37"/>
      <c r="B200" s="27"/>
      <c r="C200" s="28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ht="15.75" customHeight="1" x14ac:dyDescent="0.35">
      <c r="A201" s="37"/>
      <c r="B201" s="27"/>
      <c r="C201" s="28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ht="15.75" customHeight="1" x14ac:dyDescent="0.35">
      <c r="A202" s="37"/>
      <c r="B202" s="27"/>
      <c r="C202" s="28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ht="15.75" customHeight="1" x14ac:dyDescent="0.35">
      <c r="A203" s="37"/>
      <c r="B203" s="27"/>
      <c r="C203" s="28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ht="15.75" customHeight="1" x14ac:dyDescent="0.35">
      <c r="A204" s="37"/>
      <c r="B204" s="27"/>
      <c r="C204" s="28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ht="15.75" customHeight="1" x14ac:dyDescent="0.35">
      <c r="A205" s="37"/>
      <c r="B205" s="27"/>
      <c r="C205" s="28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ht="15.75" customHeight="1" x14ac:dyDescent="0.35">
      <c r="A206" s="37"/>
      <c r="B206" s="27"/>
      <c r="C206" s="28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ht="15.75" customHeight="1" x14ac:dyDescent="0.35">
      <c r="A207" s="37"/>
      <c r="B207" s="27"/>
      <c r="C207" s="28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spans="1:24" ht="15.75" customHeight="1" x14ac:dyDescent="0.35">
      <c r="A208" s="37"/>
      <c r="B208" s="27"/>
      <c r="C208" s="28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spans="1:24" ht="15.75" customHeight="1" x14ac:dyDescent="0.35">
      <c r="A209" s="37"/>
      <c r="B209" s="27"/>
      <c r="C209" s="28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spans="1:24" ht="15.75" customHeight="1" x14ac:dyDescent="0.35">
      <c r="A210" s="37"/>
      <c r="B210" s="27"/>
      <c r="C210" s="28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spans="1:24" ht="15.75" customHeight="1" x14ac:dyDescent="0.35">
      <c r="A211" s="37"/>
      <c r="B211" s="27"/>
      <c r="C211" s="28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spans="1:24" ht="15.75" customHeight="1" x14ac:dyDescent="0.35">
      <c r="A212" s="37"/>
      <c r="B212" s="27"/>
      <c r="C212" s="28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spans="1:24" ht="15.75" customHeight="1" x14ac:dyDescent="0.35">
      <c r="A213" s="37"/>
      <c r="B213" s="27"/>
      <c r="C213" s="28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spans="1:24" ht="15.75" customHeight="1" x14ac:dyDescent="0.35">
      <c r="A214" s="37"/>
      <c r="B214" s="27"/>
      <c r="C214" s="28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spans="1:24" ht="15.75" customHeight="1" x14ac:dyDescent="0.35">
      <c r="A215" s="37"/>
      <c r="B215" s="27"/>
      <c r="C215" s="28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spans="1:24" ht="15.75" customHeight="1" x14ac:dyDescent="0.35">
      <c r="A216" s="37"/>
      <c r="B216" s="27"/>
      <c r="C216" s="28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spans="1:24" ht="15.75" customHeight="1" x14ac:dyDescent="0.35">
      <c r="A217" s="37"/>
      <c r="B217" s="27"/>
      <c r="C217" s="28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spans="1:24" ht="15.75" customHeight="1" x14ac:dyDescent="0.35">
      <c r="A218" s="37"/>
      <c r="B218" s="19"/>
      <c r="C218" s="28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spans="1:24" ht="15.75" customHeight="1" x14ac:dyDescent="0.35">
      <c r="A219" s="38"/>
      <c r="C219" s="39"/>
    </row>
    <row r="220" spans="1:24" ht="15.75" customHeight="1" x14ac:dyDescent="0.35">
      <c r="A220" s="38"/>
      <c r="C220" s="39"/>
    </row>
    <row r="221" spans="1:24" ht="15.75" customHeight="1" x14ac:dyDescent="0.35">
      <c r="A221" s="38"/>
      <c r="C221" s="39"/>
    </row>
    <row r="222" spans="1:24" ht="15.75" customHeight="1" x14ac:dyDescent="0.35">
      <c r="A222" s="38"/>
      <c r="C222" s="39"/>
    </row>
    <row r="223" spans="1:24" ht="15.75" customHeight="1" x14ac:dyDescent="0.35">
      <c r="A223" s="38"/>
      <c r="C223" s="39"/>
    </row>
    <row r="224" spans="1:24" ht="15.75" customHeight="1" x14ac:dyDescent="0.35">
      <c r="A224" s="38"/>
      <c r="C224" s="39"/>
    </row>
    <row r="225" spans="1:3" ht="15.75" customHeight="1" x14ac:dyDescent="0.35">
      <c r="A225" s="38"/>
      <c r="C225" s="39"/>
    </row>
    <row r="226" spans="1:3" ht="15.75" customHeight="1" x14ac:dyDescent="0.35">
      <c r="A226" s="38"/>
      <c r="C226" s="39"/>
    </row>
    <row r="227" spans="1:3" ht="15.75" customHeight="1" x14ac:dyDescent="0.35">
      <c r="A227" s="38"/>
      <c r="C227" s="39"/>
    </row>
    <row r="228" spans="1:3" ht="15.75" customHeight="1" x14ac:dyDescent="0.35">
      <c r="A228" s="38"/>
      <c r="C228" s="39"/>
    </row>
    <row r="229" spans="1:3" ht="15.75" customHeight="1" x14ac:dyDescent="0.35">
      <c r="A229" s="38"/>
      <c r="C229" s="39"/>
    </row>
    <row r="230" spans="1:3" ht="15.75" customHeight="1" x14ac:dyDescent="0.35">
      <c r="A230" s="38"/>
      <c r="C230" s="39"/>
    </row>
    <row r="231" spans="1:3" ht="15.75" customHeight="1" x14ac:dyDescent="0.35">
      <c r="A231" s="38"/>
      <c r="C231" s="39"/>
    </row>
    <row r="232" spans="1:3" ht="15.75" customHeight="1" x14ac:dyDescent="0.35">
      <c r="A232" s="38"/>
      <c r="C232" s="39"/>
    </row>
    <row r="233" spans="1:3" ht="15.75" customHeight="1" x14ac:dyDescent="0.35">
      <c r="A233" s="38"/>
      <c r="C233" s="39"/>
    </row>
    <row r="234" spans="1:3" ht="15.75" customHeight="1" x14ac:dyDescent="0.35">
      <c r="A234" s="38"/>
      <c r="C234" s="39"/>
    </row>
    <row r="235" spans="1:3" ht="15.75" customHeight="1" x14ac:dyDescent="0.35">
      <c r="A235" s="38"/>
      <c r="C235" s="39"/>
    </row>
    <row r="236" spans="1:3" ht="15.75" customHeight="1" x14ac:dyDescent="0.35">
      <c r="A236" s="38"/>
      <c r="C236" s="39"/>
    </row>
    <row r="237" spans="1:3" ht="15.75" customHeight="1" x14ac:dyDescent="0.35"/>
    <row r="238" spans="1:3" ht="15.75" customHeight="1" x14ac:dyDescent="0.35"/>
    <row r="239" spans="1:3" ht="15.75" customHeight="1" x14ac:dyDescent="0.35"/>
    <row r="240" spans="1:3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992"/>
  <sheetViews>
    <sheetView tabSelected="1" workbookViewId="0">
      <pane xSplit="4" ySplit="1" topLeftCell="P40" activePane="bottomRight" state="frozen"/>
      <selection pane="topRight" activeCell="E1" sqref="E1"/>
      <selection pane="bottomLeft" activeCell="A2" sqref="A2"/>
      <selection pane="bottomRight" activeCell="Q48" sqref="Q48"/>
    </sheetView>
  </sheetViews>
  <sheetFormatPr defaultColWidth="14.453125" defaultRowHeight="14.5" x14ac:dyDescent="0.35"/>
  <cols>
    <col min="1" max="1" width="15.26953125" customWidth="1"/>
    <col min="2" max="2" width="33.7265625" customWidth="1"/>
    <col min="3" max="3" width="31.26953125" customWidth="1"/>
    <col min="4" max="4" width="11.453125" customWidth="1"/>
    <col min="5" max="5" width="11.90625" bestFit="1" customWidth="1"/>
    <col min="6" max="6" width="15.90625" bestFit="1" customWidth="1"/>
    <col min="7" max="7" width="13.453125" customWidth="1"/>
    <col min="8" max="8" width="16.90625" bestFit="1" customWidth="1"/>
    <col min="10" max="10" width="12" customWidth="1"/>
    <col min="11" max="11" width="12.81640625" customWidth="1"/>
    <col min="12" max="12" width="14" customWidth="1"/>
    <col min="13" max="13" width="17.36328125" bestFit="1" customWidth="1"/>
    <col min="14" max="14" width="13.36328125" bestFit="1" customWidth="1"/>
    <col min="15" max="15" width="14.26953125" customWidth="1"/>
    <col min="16" max="17" width="12.81640625" customWidth="1"/>
    <col min="18" max="18" width="11.6328125" bestFit="1" customWidth="1"/>
    <col min="19" max="19" width="16" customWidth="1"/>
    <col min="20" max="20" width="17.26953125" customWidth="1"/>
    <col min="21" max="21" width="13.453125" customWidth="1"/>
    <col min="22" max="22" width="28" customWidth="1"/>
    <col min="23" max="23" width="33.7265625" customWidth="1"/>
    <col min="24" max="24" width="19.36328125" bestFit="1" customWidth="1"/>
    <col min="25" max="25" width="16.7265625" customWidth="1"/>
    <col min="26" max="26" width="14.08984375" customWidth="1"/>
    <col min="27" max="27" width="14.26953125" customWidth="1"/>
    <col min="28" max="28" width="12.81640625" customWidth="1"/>
  </cols>
  <sheetData>
    <row r="1" spans="1:28" ht="15" x14ac:dyDescent="0.35">
      <c r="A1" s="56" t="s">
        <v>0</v>
      </c>
      <c r="B1" s="56" t="s">
        <v>1</v>
      </c>
      <c r="C1" s="56" t="s">
        <v>2</v>
      </c>
      <c r="D1" s="57" t="s">
        <v>478</v>
      </c>
      <c r="E1" s="58" t="s">
        <v>4</v>
      </c>
      <c r="F1" s="58" t="s">
        <v>479</v>
      </c>
      <c r="G1" s="58" t="s">
        <v>6</v>
      </c>
      <c r="H1" s="58" t="s">
        <v>7</v>
      </c>
      <c r="I1" s="58" t="s">
        <v>8</v>
      </c>
      <c r="J1" s="58" t="s">
        <v>480</v>
      </c>
      <c r="K1" s="58" t="s">
        <v>5</v>
      </c>
      <c r="L1" s="58" t="s">
        <v>481</v>
      </c>
      <c r="M1" s="58" t="s">
        <v>482</v>
      </c>
      <c r="N1" s="58" t="s">
        <v>483</v>
      </c>
      <c r="O1" s="58" t="s">
        <v>9</v>
      </c>
      <c r="P1" s="58" t="s">
        <v>10</v>
      </c>
      <c r="Q1" s="58" t="s">
        <v>11</v>
      </c>
      <c r="R1" s="58" t="s">
        <v>12</v>
      </c>
      <c r="S1" s="58" t="s">
        <v>13</v>
      </c>
      <c r="T1" s="58" t="s">
        <v>14</v>
      </c>
      <c r="U1" s="58" t="s">
        <v>15</v>
      </c>
      <c r="V1" s="58" t="s">
        <v>16</v>
      </c>
      <c r="W1" s="58" t="s">
        <v>17</v>
      </c>
      <c r="X1" s="58" t="s">
        <v>18</v>
      </c>
      <c r="Y1" s="58" t="s">
        <v>19</v>
      </c>
      <c r="Z1" s="58" t="s">
        <v>20</v>
      </c>
      <c r="AA1" s="58" t="s">
        <v>21</v>
      </c>
      <c r="AB1" s="58" t="s">
        <v>22</v>
      </c>
    </row>
    <row r="2" spans="1:28" ht="15" x14ac:dyDescent="0.35">
      <c r="A2" s="59" t="s">
        <v>484</v>
      </c>
      <c r="B2" s="59" t="s">
        <v>485</v>
      </c>
      <c r="C2" s="59" t="s">
        <v>71</v>
      </c>
      <c r="D2" s="60">
        <v>0</v>
      </c>
      <c r="E2" s="61">
        <v>1500</v>
      </c>
      <c r="F2" s="61">
        <v>23000</v>
      </c>
      <c r="G2" s="61">
        <v>1000</v>
      </c>
      <c r="H2" s="61">
        <v>1000</v>
      </c>
      <c r="I2" s="61">
        <v>0</v>
      </c>
      <c r="J2" s="61">
        <f t="shared" ref="J2:J33" si="0">(1-$D2)*E2</f>
        <v>1500</v>
      </c>
      <c r="K2" s="61">
        <f t="shared" ref="K2:K33" si="1">(1-$D2)*F2</f>
        <v>23000</v>
      </c>
      <c r="L2" s="61">
        <f t="shared" ref="L2:L33" si="2">(1-$D2)*G2</f>
        <v>1000</v>
      </c>
      <c r="M2" s="61">
        <f t="shared" ref="M2:M33" si="3">(1-$D2)*H2</f>
        <v>1000</v>
      </c>
      <c r="N2" s="61">
        <f t="shared" ref="N2:N33" si="4">(1-$D2)*I2</f>
        <v>0</v>
      </c>
      <c r="O2" s="61">
        <v>0</v>
      </c>
      <c r="P2" s="61">
        <v>2400</v>
      </c>
      <c r="Q2" s="61">
        <v>14000</v>
      </c>
      <c r="R2" s="61">
        <v>4000</v>
      </c>
      <c r="S2" s="61">
        <v>4000</v>
      </c>
      <c r="T2" s="61">
        <v>5000</v>
      </c>
      <c r="U2" s="61">
        <v>0</v>
      </c>
      <c r="V2" s="61">
        <v>0</v>
      </c>
      <c r="W2" s="61">
        <v>0</v>
      </c>
      <c r="X2" s="61">
        <v>0</v>
      </c>
      <c r="Y2" s="61">
        <v>0</v>
      </c>
      <c r="Z2" s="61">
        <f t="shared" ref="Z2:Z33" si="5">SUM(J2:Y2)</f>
        <v>55900</v>
      </c>
      <c r="AA2" s="61">
        <v>55900</v>
      </c>
      <c r="AB2" s="61">
        <f t="shared" ref="AB2:AB33" si="6">Z2-AA2</f>
        <v>0</v>
      </c>
    </row>
    <row r="3" spans="1:28" ht="15" x14ac:dyDescent="0.35">
      <c r="A3" s="59" t="s">
        <v>23</v>
      </c>
      <c r="B3" s="59" t="s">
        <v>486</v>
      </c>
      <c r="C3" s="59" t="s">
        <v>71</v>
      </c>
      <c r="D3" s="60">
        <v>0.25</v>
      </c>
      <c r="E3" s="61">
        <v>1500</v>
      </c>
      <c r="F3" s="61">
        <v>23000</v>
      </c>
      <c r="G3" s="61">
        <v>1000</v>
      </c>
      <c r="H3" s="61">
        <v>1000</v>
      </c>
      <c r="I3" s="61">
        <v>0</v>
      </c>
      <c r="J3" s="61">
        <f t="shared" si="0"/>
        <v>1125</v>
      </c>
      <c r="K3" s="61">
        <f t="shared" si="1"/>
        <v>17250</v>
      </c>
      <c r="L3" s="61">
        <f t="shared" si="2"/>
        <v>750</v>
      </c>
      <c r="M3" s="61">
        <f t="shared" si="3"/>
        <v>750</v>
      </c>
      <c r="N3" s="61">
        <f t="shared" si="4"/>
        <v>0</v>
      </c>
      <c r="O3" s="61">
        <v>0</v>
      </c>
      <c r="P3" s="61">
        <v>2400</v>
      </c>
      <c r="Q3" s="61">
        <v>14000</v>
      </c>
      <c r="R3" s="61">
        <v>4000</v>
      </c>
      <c r="S3" s="61">
        <v>4000</v>
      </c>
      <c r="T3" s="61">
        <v>0</v>
      </c>
      <c r="U3" s="61">
        <v>0</v>
      </c>
      <c r="V3" s="61">
        <v>0</v>
      </c>
      <c r="W3" s="61">
        <v>0</v>
      </c>
      <c r="X3" s="61">
        <v>0</v>
      </c>
      <c r="Y3" s="61">
        <v>0</v>
      </c>
      <c r="Z3" s="61">
        <f t="shared" si="5"/>
        <v>44275</v>
      </c>
      <c r="AA3" s="61">
        <v>72500</v>
      </c>
      <c r="AB3" s="61">
        <f t="shared" si="6"/>
        <v>-28225</v>
      </c>
    </row>
    <row r="4" spans="1:28" ht="15" x14ac:dyDescent="0.35">
      <c r="A4" s="59" t="s">
        <v>23</v>
      </c>
      <c r="B4" s="59" t="s">
        <v>24</v>
      </c>
      <c r="C4" s="59" t="s">
        <v>25</v>
      </c>
      <c r="D4" s="60">
        <v>0.25</v>
      </c>
      <c r="E4" s="61">
        <v>0</v>
      </c>
      <c r="F4" s="61">
        <v>23000</v>
      </c>
      <c r="G4" s="61">
        <v>1500</v>
      </c>
      <c r="H4" s="61">
        <v>1000</v>
      </c>
      <c r="I4" s="61">
        <v>0</v>
      </c>
      <c r="J4" s="61">
        <f t="shared" si="0"/>
        <v>0</v>
      </c>
      <c r="K4" s="61">
        <f t="shared" si="1"/>
        <v>17250</v>
      </c>
      <c r="L4" s="61">
        <f t="shared" si="2"/>
        <v>1125</v>
      </c>
      <c r="M4" s="61">
        <f t="shared" si="3"/>
        <v>750</v>
      </c>
      <c r="N4" s="61">
        <f t="shared" si="4"/>
        <v>0</v>
      </c>
      <c r="O4" s="61">
        <v>13200</v>
      </c>
      <c r="P4" s="61">
        <v>5300</v>
      </c>
      <c r="Q4" s="61">
        <v>0</v>
      </c>
      <c r="R4" s="61">
        <v>0</v>
      </c>
      <c r="S4" s="61">
        <v>0</v>
      </c>
      <c r="T4" s="61">
        <v>5000</v>
      </c>
      <c r="U4" s="61">
        <v>0</v>
      </c>
      <c r="V4" s="61">
        <v>0</v>
      </c>
      <c r="W4" s="61">
        <v>0</v>
      </c>
      <c r="X4" s="61">
        <v>0</v>
      </c>
      <c r="Y4" s="61">
        <v>0</v>
      </c>
      <c r="Z4" s="61">
        <f t="shared" si="5"/>
        <v>42625</v>
      </c>
      <c r="AA4" s="61">
        <v>72500</v>
      </c>
      <c r="AB4" s="61">
        <f t="shared" si="6"/>
        <v>-29875</v>
      </c>
    </row>
    <row r="5" spans="1:28" ht="15" x14ac:dyDescent="0.35">
      <c r="A5" s="59" t="s">
        <v>26</v>
      </c>
      <c r="B5" s="59" t="s">
        <v>35</v>
      </c>
      <c r="C5" s="59" t="s">
        <v>25</v>
      </c>
      <c r="D5" s="60">
        <v>0.25</v>
      </c>
      <c r="E5" s="61">
        <v>0</v>
      </c>
      <c r="F5" s="61">
        <v>23000</v>
      </c>
      <c r="G5" s="61">
        <v>1500</v>
      </c>
      <c r="H5" s="61">
        <v>1000</v>
      </c>
      <c r="I5" s="61">
        <v>0</v>
      </c>
      <c r="J5" s="61">
        <f t="shared" si="0"/>
        <v>0</v>
      </c>
      <c r="K5" s="61">
        <f t="shared" si="1"/>
        <v>17250</v>
      </c>
      <c r="L5" s="61">
        <f t="shared" si="2"/>
        <v>1125</v>
      </c>
      <c r="M5" s="61">
        <f t="shared" si="3"/>
        <v>750</v>
      </c>
      <c r="N5" s="61">
        <f t="shared" si="4"/>
        <v>0</v>
      </c>
      <c r="O5" s="61">
        <v>13200</v>
      </c>
      <c r="P5" s="61">
        <v>5300</v>
      </c>
      <c r="Q5" s="61">
        <v>7000</v>
      </c>
      <c r="R5" s="61">
        <v>0</v>
      </c>
      <c r="S5" s="61">
        <v>0</v>
      </c>
      <c r="T5" s="61">
        <v>5000</v>
      </c>
      <c r="U5" s="61">
        <v>0</v>
      </c>
      <c r="V5" s="61">
        <v>0</v>
      </c>
      <c r="W5" s="61">
        <v>0</v>
      </c>
      <c r="X5" s="61">
        <v>4800</v>
      </c>
      <c r="Y5" s="61">
        <v>0</v>
      </c>
      <c r="Z5" s="61">
        <f t="shared" si="5"/>
        <v>54425</v>
      </c>
      <c r="AA5" s="61">
        <v>47425</v>
      </c>
      <c r="AB5" s="61">
        <f t="shared" si="6"/>
        <v>7000</v>
      </c>
    </row>
    <row r="6" spans="1:28" ht="15" x14ac:dyDescent="0.35">
      <c r="A6" s="59" t="s">
        <v>26</v>
      </c>
      <c r="B6" s="59" t="s">
        <v>33</v>
      </c>
      <c r="C6" s="59" t="s">
        <v>52</v>
      </c>
      <c r="D6" s="60">
        <v>0.25</v>
      </c>
      <c r="E6" s="61">
        <v>0</v>
      </c>
      <c r="F6" s="61">
        <v>25000</v>
      </c>
      <c r="G6" s="61">
        <v>2000</v>
      </c>
      <c r="H6" s="61">
        <v>2500</v>
      </c>
      <c r="I6" s="61">
        <v>4000</v>
      </c>
      <c r="J6" s="61">
        <f t="shared" si="0"/>
        <v>0</v>
      </c>
      <c r="K6" s="61">
        <f t="shared" si="1"/>
        <v>18750</v>
      </c>
      <c r="L6" s="61">
        <f t="shared" si="2"/>
        <v>1500</v>
      </c>
      <c r="M6" s="61">
        <f t="shared" si="3"/>
        <v>1875</v>
      </c>
      <c r="N6" s="61">
        <f t="shared" si="4"/>
        <v>3000</v>
      </c>
      <c r="O6" s="61">
        <v>24400</v>
      </c>
      <c r="P6" s="61">
        <v>10400</v>
      </c>
      <c r="Q6" s="61">
        <v>8000</v>
      </c>
      <c r="R6" s="61">
        <v>0</v>
      </c>
      <c r="S6" s="61">
        <v>4000</v>
      </c>
      <c r="T6" s="61">
        <v>5000</v>
      </c>
      <c r="U6" s="61">
        <v>0</v>
      </c>
      <c r="V6" s="61">
        <v>0</v>
      </c>
      <c r="W6" s="61">
        <v>0</v>
      </c>
      <c r="X6" s="61">
        <v>4800</v>
      </c>
      <c r="Y6" s="61">
        <v>0</v>
      </c>
      <c r="Z6" s="61">
        <f t="shared" si="5"/>
        <v>81725</v>
      </c>
      <c r="AA6" s="61">
        <v>69725</v>
      </c>
      <c r="AB6" s="61">
        <f t="shared" si="6"/>
        <v>12000</v>
      </c>
    </row>
    <row r="7" spans="1:28" ht="15" x14ac:dyDescent="0.35">
      <c r="A7" s="59" t="s">
        <v>37</v>
      </c>
      <c r="B7" s="59" t="s">
        <v>386</v>
      </c>
      <c r="C7" s="59" t="s">
        <v>75</v>
      </c>
      <c r="D7" s="60">
        <v>0</v>
      </c>
      <c r="E7" s="61">
        <v>0</v>
      </c>
      <c r="F7" s="61">
        <v>29500</v>
      </c>
      <c r="G7" s="61">
        <v>2500</v>
      </c>
      <c r="H7" s="61">
        <v>1500</v>
      </c>
      <c r="I7" s="61">
        <v>5000</v>
      </c>
      <c r="J7" s="61">
        <f t="shared" si="0"/>
        <v>0</v>
      </c>
      <c r="K7" s="61">
        <f t="shared" si="1"/>
        <v>29500</v>
      </c>
      <c r="L7" s="61">
        <f t="shared" si="2"/>
        <v>2500</v>
      </c>
      <c r="M7" s="61">
        <f t="shared" si="3"/>
        <v>1500</v>
      </c>
      <c r="N7" s="61">
        <f t="shared" si="4"/>
        <v>5000</v>
      </c>
      <c r="O7" s="61">
        <v>16700</v>
      </c>
      <c r="P7" s="61">
        <v>8000</v>
      </c>
      <c r="Q7" s="61">
        <v>0</v>
      </c>
      <c r="R7" s="61">
        <v>0</v>
      </c>
      <c r="S7" s="61">
        <v>0</v>
      </c>
      <c r="T7" s="61">
        <v>6000</v>
      </c>
      <c r="U7" s="61">
        <v>0</v>
      </c>
      <c r="V7" s="61">
        <v>0</v>
      </c>
      <c r="W7" s="61">
        <v>0</v>
      </c>
      <c r="X7" s="61">
        <v>0</v>
      </c>
      <c r="Y7" s="61">
        <v>1500</v>
      </c>
      <c r="Z7" s="61">
        <f t="shared" si="5"/>
        <v>70700</v>
      </c>
      <c r="AA7" s="61">
        <v>70500</v>
      </c>
      <c r="AB7" s="61">
        <f t="shared" si="6"/>
        <v>200</v>
      </c>
    </row>
    <row r="8" spans="1:28" ht="15" x14ac:dyDescent="0.35">
      <c r="A8" s="59" t="s">
        <v>39</v>
      </c>
      <c r="B8" s="59" t="s">
        <v>40</v>
      </c>
      <c r="C8" s="59" t="s">
        <v>25</v>
      </c>
      <c r="D8" s="60">
        <v>0.5</v>
      </c>
      <c r="E8" s="61">
        <v>0</v>
      </c>
      <c r="F8" s="61">
        <v>23000</v>
      </c>
      <c r="G8" s="61">
        <v>1500</v>
      </c>
      <c r="H8" s="61">
        <v>1000</v>
      </c>
      <c r="I8" s="61">
        <v>0</v>
      </c>
      <c r="J8" s="61">
        <f t="shared" si="0"/>
        <v>0</v>
      </c>
      <c r="K8" s="61">
        <f t="shared" si="1"/>
        <v>11500</v>
      </c>
      <c r="L8" s="61">
        <f t="shared" si="2"/>
        <v>750</v>
      </c>
      <c r="M8" s="61">
        <f t="shared" si="3"/>
        <v>500</v>
      </c>
      <c r="N8" s="61">
        <f t="shared" si="4"/>
        <v>0</v>
      </c>
      <c r="O8" s="61">
        <v>13200</v>
      </c>
      <c r="P8" s="61">
        <v>5300</v>
      </c>
      <c r="Q8" s="61">
        <v>7000</v>
      </c>
      <c r="R8" s="61">
        <v>0</v>
      </c>
      <c r="S8" s="61">
        <v>0</v>
      </c>
      <c r="T8" s="61">
        <v>0</v>
      </c>
      <c r="U8" s="61">
        <v>0</v>
      </c>
      <c r="V8" s="61">
        <v>0</v>
      </c>
      <c r="W8" s="61">
        <v>0</v>
      </c>
      <c r="X8" s="61">
        <v>0</v>
      </c>
      <c r="Y8" s="61">
        <v>0</v>
      </c>
      <c r="Z8" s="61">
        <f t="shared" si="5"/>
        <v>38250</v>
      </c>
      <c r="AA8" s="61">
        <v>37750</v>
      </c>
      <c r="AB8" s="61">
        <f t="shared" si="6"/>
        <v>500</v>
      </c>
    </row>
    <row r="9" spans="1:28" ht="15" x14ac:dyDescent="0.35">
      <c r="A9" s="59" t="s">
        <v>39</v>
      </c>
      <c r="B9" s="59" t="s">
        <v>41</v>
      </c>
      <c r="C9" s="59" t="s">
        <v>52</v>
      </c>
      <c r="D9" s="60">
        <v>0.5</v>
      </c>
      <c r="E9" s="61">
        <v>0</v>
      </c>
      <c r="F9" s="61">
        <v>25000</v>
      </c>
      <c r="G9" s="61">
        <v>2000</v>
      </c>
      <c r="H9" s="61">
        <v>2500</v>
      </c>
      <c r="I9" s="61">
        <v>4000</v>
      </c>
      <c r="J9" s="61">
        <f t="shared" si="0"/>
        <v>0</v>
      </c>
      <c r="K9" s="61">
        <f t="shared" si="1"/>
        <v>12500</v>
      </c>
      <c r="L9" s="61">
        <f t="shared" si="2"/>
        <v>1000</v>
      </c>
      <c r="M9" s="61">
        <f t="shared" si="3"/>
        <v>1250</v>
      </c>
      <c r="N9" s="61">
        <f t="shared" si="4"/>
        <v>2000</v>
      </c>
      <c r="O9" s="61">
        <v>24400</v>
      </c>
      <c r="P9" s="61">
        <v>10400</v>
      </c>
      <c r="Q9" s="61">
        <v>8000</v>
      </c>
      <c r="R9" s="61">
        <v>0</v>
      </c>
      <c r="S9" s="61">
        <v>4000</v>
      </c>
      <c r="T9" s="61">
        <v>0</v>
      </c>
      <c r="U9" s="61">
        <v>0</v>
      </c>
      <c r="V9" s="61">
        <v>0</v>
      </c>
      <c r="W9" s="61">
        <v>0</v>
      </c>
      <c r="X9" s="61">
        <v>0</v>
      </c>
      <c r="Y9" s="61">
        <v>0</v>
      </c>
      <c r="Z9" s="61">
        <f t="shared" si="5"/>
        <v>63550</v>
      </c>
      <c r="AA9" s="61">
        <v>57300</v>
      </c>
      <c r="AB9" s="61">
        <f t="shared" si="6"/>
        <v>6250</v>
      </c>
    </row>
    <row r="10" spans="1:28" ht="15" x14ac:dyDescent="0.35">
      <c r="A10" s="59" t="s">
        <v>42</v>
      </c>
      <c r="B10" s="59" t="s">
        <v>44</v>
      </c>
      <c r="C10" s="59" t="s">
        <v>25</v>
      </c>
      <c r="D10" s="60">
        <v>0.25</v>
      </c>
      <c r="E10" s="61">
        <v>0</v>
      </c>
      <c r="F10" s="61">
        <v>23000</v>
      </c>
      <c r="G10" s="61">
        <v>1500</v>
      </c>
      <c r="H10" s="61">
        <v>1000</v>
      </c>
      <c r="I10" s="61">
        <v>0</v>
      </c>
      <c r="J10" s="61">
        <f t="shared" si="0"/>
        <v>0</v>
      </c>
      <c r="K10" s="61">
        <f t="shared" si="1"/>
        <v>17250</v>
      </c>
      <c r="L10" s="61">
        <f t="shared" si="2"/>
        <v>1125</v>
      </c>
      <c r="M10" s="61">
        <f t="shared" si="3"/>
        <v>750</v>
      </c>
      <c r="N10" s="61">
        <f t="shared" si="4"/>
        <v>0</v>
      </c>
      <c r="O10" s="61">
        <v>13200</v>
      </c>
      <c r="P10" s="61">
        <v>5300</v>
      </c>
      <c r="Q10" s="61">
        <v>0</v>
      </c>
      <c r="R10" s="61">
        <v>0</v>
      </c>
      <c r="S10" s="61">
        <v>0</v>
      </c>
      <c r="T10" s="61">
        <v>0</v>
      </c>
      <c r="U10" s="61">
        <v>0</v>
      </c>
      <c r="V10" s="61">
        <v>0</v>
      </c>
      <c r="W10" s="61">
        <v>0</v>
      </c>
      <c r="X10" s="61">
        <v>0</v>
      </c>
      <c r="Y10" s="61">
        <v>0</v>
      </c>
      <c r="Z10" s="61">
        <f t="shared" si="5"/>
        <v>37625</v>
      </c>
      <c r="AA10" s="61">
        <v>37650</v>
      </c>
      <c r="AB10" s="61">
        <f t="shared" si="6"/>
        <v>-25</v>
      </c>
    </row>
    <row r="11" spans="1:28" ht="15" x14ac:dyDescent="0.35">
      <c r="A11" s="59" t="s">
        <v>42</v>
      </c>
      <c r="B11" s="59" t="s">
        <v>43</v>
      </c>
      <c r="C11" s="59" t="s">
        <v>52</v>
      </c>
      <c r="D11" s="60">
        <v>0.25</v>
      </c>
      <c r="E11" s="61">
        <v>0</v>
      </c>
      <c r="F11" s="61">
        <v>25000</v>
      </c>
      <c r="G11" s="61">
        <v>2000</v>
      </c>
      <c r="H11" s="61">
        <v>2500</v>
      </c>
      <c r="I11" s="61">
        <v>4000</v>
      </c>
      <c r="J11" s="61">
        <f t="shared" si="0"/>
        <v>0</v>
      </c>
      <c r="K11" s="61">
        <f t="shared" si="1"/>
        <v>18750</v>
      </c>
      <c r="L11" s="61">
        <f t="shared" si="2"/>
        <v>1500</v>
      </c>
      <c r="M11" s="61">
        <f t="shared" si="3"/>
        <v>1875</v>
      </c>
      <c r="N11" s="61">
        <f t="shared" si="4"/>
        <v>3000</v>
      </c>
      <c r="O11" s="61">
        <v>24400</v>
      </c>
      <c r="P11" s="61">
        <v>10400</v>
      </c>
      <c r="Q11" s="61">
        <v>0</v>
      </c>
      <c r="R11" s="61">
        <v>0</v>
      </c>
      <c r="S11" s="61">
        <v>0</v>
      </c>
      <c r="T11" s="61">
        <v>0</v>
      </c>
      <c r="U11" s="61">
        <v>0</v>
      </c>
      <c r="V11" s="61">
        <v>0</v>
      </c>
      <c r="W11" s="61">
        <v>0</v>
      </c>
      <c r="X11" s="61">
        <v>0</v>
      </c>
      <c r="Y11" s="61">
        <v>25</v>
      </c>
      <c r="Z11" s="61">
        <f t="shared" si="5"/>
        <v>59950</v>
      </c>
      <c r="AA11" s="61">
        <v>59950</v>
      </c>
      <c r="AB11" s="61">
        <f t="shared" si="6"/>
        <v>0</v>
      </c>
    </row>
    <row r="12" spans="1:28" ht="15" x14ac:dyDescent="0.35">
      <c r="A12" s="59" t="s">
        <v>45</v>
      </c>
      <c r="B12" s="59" t="s">
        <v>706</v>
      </c>
      <c r="C12" s="59" t="s">
        <v>71</v>
      </c>
      <c r="D12" s="60">
        <v>0.25</v>
      </c>
      <c r="E12" s="61">
        <v>1500</v>
      </c>
      <c r="F12" s="61">
        <v>23000</v>
      </c>
      <c r="G12" s="61">
        <v>1000</v>
      </c>
      <c r="H12" s="61">
        <v>1000</v>
      </c>
      <c r="I12" s="61">
        <v>0</v>
      </c>
      <c r="J12" s="61">
        <f t="shared" si="0"/>
        <v>1125</v>
      </c>
      <c r="K12" s="61">
        <f t="shared" si="1"/>
        <v>17250</v>
      </c>
      <c r="L12" s="61">
        <f t="shared" si="2"/>
        <v>750</v>
      </c>
      <c r="M12" s="61">
        <f t="shared" si="3"/>
        <v>750</v>
      </c>
      <c r="N12" s="61">
        <f t="shared" si="4"/>
        <v>0</v>
      </c>
      <c r="O12" s="61">
        <v>0</v>
      </c>
      <c r="P12" s="61">
        <v>2400</v>
      </c>
      <c r="Q12" s="61">
        <v>14000</v>
      </c>
      <c r="R12" s="61">
        <v>0</v>
      </c>
      <c r="S12" s="61">
        <v>4000</v>
      </c>
      <c r="T12" s="61">
        <v>0</v>
      </c>
      <c r="U12" s="61">
        <v>0</v>
      </c>
      <c r="V12" s="61">
        <v>0</v>
      </c>
      <c r="W12" s="61">
        <v>0</v>
      </c>
      <c r="X12" s="61">
        <v>0</v>
      </c>
      <c r="Y12" s="61">
        <v>0</v>
      </c>
      <c r="Z12" s="61">
        <f t="shared" si="5"/>
        <v>40275</v>
      </c>
      <c r="AA12" s="61">
        <v>0</v>
      </c>
      <c r="AB12" s="61">
        <f t="shared" si="6"/>
        <v>40275</v>
      </c>
    </row>
    <row r="13" spans="1:28" ht="15" x14ac:dyDescent="0.35">
      <c r="A13" s="59" t="s">
        <v>45</v>
      </c>
      <c r="B13" s="59" t="s">
        <v>46</v>
      </c>
      <c r="C13" s="59" t="s">
        <v>54</v>
      </c>
      <c r="D13" s="60">
        <v>0.25</v>
      </c>
      <c r="E13" s="61">
        <v>0</v>
      </c>
      <c r="F13" s="61">
        <v>23000</v>
      </c>
      <c r="G13" s="61">
        <v>1500</v>
      </c>
      <c r="H13" s="61">
        <v>1000</v>
      </c>
      <c r="I13" s="61">
        <v>2000</v>
      </c>
      <c r="J13" s="61">
        <f t="shared" si="0"/>
        <v>0</v>
      </c>
      <c r="K13" s="61">
        <f t="shared" si="1"/>
        <v>17250</v>
      </c>
      <c r="L13" s="61">
        <f t="shared" si="2"/>
        <v>1125</v>
      </c>
      <c r="M13" s="61">
        <f t="shared" si="3"/>
        <v>750</v>
      </c>
      <c r="N13" s="61">
        <f t="shared" si="4"/>
        <v>1500</v>
      </c>
      <c r="O13" s="61">
        <v>14400</v>
      </c>
      <c r="P13" s="61">
        <v>5300</v>
      </c>
      <c r="Q13" s="61">
        <v>0</v>
      </c>
      <c r="R13" s="61">
        <v>0</v>
      </c>
      <c r="S13" s="61">
        <v>0</v>
      </c>
      <c r="T13" s="61">
        <v>0</v>
      </c>
      <c r="U13" s="61">
        <v>0</v>
      </c>
      <c r="V13" s="61">
        <v>0</v>
      </c>
      <c r="W13" s="61">
        <v>0</v>
      </c>
      <c r="X13" s="61">
        <v>4800</v>
      </c>
      <c r="Y13" s="61">
        <v>0</v>
      </c>
      <c r="Z13" s="61">
        <f t="shared" si="5"/>
        <v>45125</v>
      </c>
      <c r="AA13" s="61">
        <v>46250</v>
      </c>
      <c r="AB13" s="61">
        <f t="shared" si="6"/>
        <v>-1125</v>
      </c>
    </row>
    <row r="14" spans="1:28" ht="15" x14ac:dyDescent="0.35">
      <c r="A14" s="59" t="s">
        <v>45</v>
      </c>
      <c r="B14" s="59" t="s">
        <v>47</v>
      </c>
      <c r="C14" s="59" t="s">
        <v>66</v>
      </c>
      <c r="D14" s="60">
        <v>0.25</v>
      </c>
      <c r="E14" s="61">
        <v>0</v>
      </c>
      <c r="F14" s="61">
        <v>25000</v>
      </c>
      <c r="G14" s="61">
        <v>2000</v>
      </c>
      <c r="H14" s="61">
        <v>0</v>
      </c>
      <c r="I14" s="61">
        <v>4000</v>
      </c>
      <c r="J14" s="61">
        <f t="shared" si="0"/>
        <v>0</v>
      </c>
      <c r="K14" s="61">
        <f t="shared" si="1"/>
        <v>18750</v>
      </c>
      <c r="L14" s="61">
        <f t="shared" si="2"/>
        <v>1500</v>
      </c>
      <c r="M14" s="61">
        <f t="shared" si="3"/>
        <v>0</v>
      </c>
      <c r="N14" s="61">
        <f t="shared" si="4"/>
        <v>3000</v>
      </c>
      <c r="O14" s="61">
        <v>25500</v>
      </c>
      <c r="P14" s="61">
        <v>12000</v>
      </c>
      <c r="Q14" s="61">
        <v>8000</v>
      </c>
      <c r="R14" s="61">
        <v>0</v>
      </c>
      <c r="S14" s="61">
        <v>0</v>
      </c>
      <c r="T14" s="61">
        <v>0</v>
      </c>
      <c r="U14" s="61">
        <v>0</v>
      </c>
      <c r="V14" s="61">
        <v>0</v>
      </c>
      <c r="W14" s="61">
        <v>0</v>
      </c>
      <c r="X14" s="61">
        <v>4800</v>
      </c>
      <c r="Y14" s="61">
        <v>3900</v>
      </c>
      <c r="Z14" s="61">
        <f t="shared" si="5"/>
        <v>77450</v>
      </c>
      <c r="AA14" s="61">
        <v>79350</v>
      </c>
      <c r="AB14" s="61">
        <f t="shared" si="6"/>
        <v>-1900</v>
      </c>
    </row>
    <row r="15" spans="1:28" ht="15" x14ac:dyDescent="0.35">
      <c r="A15" s="59" t="s">
        <v>48</v>
      </c>
      <c r="B15" s="59" t="s">
        <v>49</v>
      </c>
      <c r="C15" s="59" t="s">
        <v>66</v>
      </c>
      <c r="D15" s="60">
        <v>0</v>
      </c>
      <c r="E15" s="61">
        <v>0</v>
      </c>
      <c r="F15" s="61">
        <v>25000</v>
      </c>
      <c r="G15" s="61">
        <v>2000</v>
      </c>
      <c r="H15" s="61">
        <v>0</v>
      </c>
      <c r="I15" s="61">
        <v>4000</v>
      </c>
      <c r="J15" s="61">
        <f t="shared" si="0"/>
        <v>0</v>
      </c>
      <c r="K15" s="61">
        <f t="shared" si="1"/>
        <v>25000</v>
      </c>
      <c r="L15" s="61">
        <f t="shared" si="2"/>
        <v>2000</v>
      </c>
      <c r="M15" s="61">
        <f t="shared" si="3"/>
        <v>0</v>
      </c>
      <c r="N15" s="61">
        <f t="shared" si="4"/>
        <v>4000</v>
      </c>
      <c r="O15" s="61">
        <v>25500</v>
      </c>
      <c r="P15" s="61">
        <v>12000</v>
      </c>
      <c r="Q15" s="61">
        <v>16000</v>
      </c>
      <c r="R15" s="61">
        <v>0</v>
      </c>
      <c r="S15" s="61">
        <v>0</v>
      </c>
      <c r="T15" s="61">
        <v>5000</v>
      </c>
      <c r="U15" s="61">
        <v>0</v>
      </c>
      <c r="V15" s="61">
        <v>0</v>
      </c>
      <c r="W15" s="61">
        <v>0</v>
      </c>
      <c r="X15" s="61">
        <v>0</v>
      </c>
      <c r="Y15" s="61">
        <v>3900</v>
      </c>
      <c r="Z15" s="61">
        <f t="shared" si="5"/>
        <v>93400</v>
      </c>
      <c r="AA15" s="61">
        <v>89500</v>
      </c>
      <c r="AB15" s="61">
        <f t="shared" si="6"/>
        <v>3900</v>
      </c>
    </row>
    <row r="16" spans="1:28" ht="15" x14ac:dyDescent="0.35">
      <c r="A16" s="59" t="s">
        <v>50</v>
      </c>
      <c r="B16" s="59" t="s">
        <v>487</v>
      </c>
      <c r="C16" s="59" t="s">
        <v>71</v>
      </c>
      <c r="D16" s="60">
        <v>0.25</v>
      </c>
      <c r="E16" s="61">
        <v>1500</v>
      </c>
      <c r="F16" s="61">
        <v>23000</v>
      </c>
      <c r="G16" s="61">
        <v>1000</v>
      </c>
      <c r="H16" s="61">
        <v>1000</v>
      </c>
      <c r="I16" s="61">
        <v>0</v>
      </c>
      <c r="J16" s="61">
        <f t="shared" si="0"/>
        <v>1125</v>
      </c>
      <c r="K16" s="61">
        <f t="shared" si="1"/>
        <v>17250</v>
      </c>
      <c r="L16" s="61">
        <f t="shared" si="2"/>
        <v>750</v>
      </c>
      <c r="M16" s="61">
        <f t="shared" si="3"/>
        <v>750</v>
      </c>
      <c r="N16" s="61">
        <f t="shared" si="4"/>
        <v>0</v>
      </c>
      <c r="O16" s="61">
        <v>0</v>
      </c>
      <c r="P16" s="61">
        <v>2400</v>
      </c>
      <c r="Q16" s="61">
        <v>14000</v>
      </c>
      <c r="R16" s="61">
        <v>4000</v>
      </c>
      <c r="S16" s="61">
        <v>4000</v>
      </c>
      <c r="T16" s="61">
        <v>5000</v>
      </c>
      <c r="U16" s="61">
        <v>0</v>
      </c>
      <c r="V16" s="61">
        <v>0</v>
      </c>
      <c r="W16" s="61">
        <v>0</v>
      </c>
      <c r="X16" s="61">
        <v>0</v>
      </c>
      <c r="Y16" s="61">
        <v>0</v>
      </c>
      <c r="Z16" s="61">
        <f t="shared" si="5"/>
        <v>49275</v>
      </c>
      <c r="AA16" s="61">
        <v>59275</v>
      </c>
      <c r="AB16" s="61">
        <f t="shared" si="6"/>
        <v>-10000</v>
      </c>
    </row>
    <row r="17" spans="1:29" ht="15" x14ac:dyDescent="0.35">
      <c r="A17" s="59" t="s">
        <v>50</v>
      </c>
      <c r="B17" s="59" t="s">
        <v>53</v>
      </c>
      <c r="C17" s="59" t="s">
        <v>34</v>
      </c>
      <c r="D17" s="60">
        <v>0.25</v>
      </c>
      <c r="E17" s="61">
        <v>0</v>
      </c>
      <c r="F17" s="61">
        <v>23000</v>
      </c>
      <c r="G17" s="61">
        <v>1500</v>
      </c>
      <c r="H17" s="61">
        <v>1000</v>
      </c>
      <c r="I17" s="61">
        <v>2000</v>
      </c>
      <c r="J17" s="61">
        <f t="shared" si="0"/>
        <v>0</v>
      </c>
      <c r="K17" s="61">
        <f t="shared" si="1"/>
        <v>17250</v>
      </c>
      <c r="L17" s="61">
        <f t="shared" si="2"/>
        <v>1125</v>
      </c>
      <c r="M17" s="61">
        <f t="shared" si="3"/>
        <v>750</v>
      </c>
      <c r="N17" s="61">
        <f t="shared" si="4"/>
        <v>1500</v>
      </c>
      <c r="O17" s="61">
        <v>23600</v>
      </c>
      <c r="P17" s="61">
        <v>9800</v>
      </c>
      <c r="Q17" s="61">
        <v>0</v>
      </c>
      <c r="R17" s="61">
        <v>0</v>
      </c>
      <c r="S17" s="61">
        <v>0</v>
      </c>
      <c r="T17" s="61">
        <v>5000</v>
      </c>
      <c r="U17" s="61">
        <v>0</v>
      </c>
      <c r="V17" s="61">
        <v>0</v>
      </c>
      <c r="W17" s="61">
        <v>0</v>
      </c>
      <c r="X17" s="61">
        <v>4800</v>
      </c>
      <c r="Y17" s="61">
        <v>0</v>
      </c>
      <c r="Z17" s="61">
        <f t="shared" si="5"/>
        <v>63825</v>
      </c>
      <c r="AA17" s="61">
        <v>73825</v>
      </c>
      <c r="AB17" s="61">
        <f t="shared" si="6"/>
        <v>-10000</v>
      </c>
      <c r="AC17" s="43"/>
    </row>
    <row r="18" spans="1:29" ht="15" x14ac:dyDescent="0.35">
      <c r="A18" s="59" t="s">
        <v>50</v>
      </c>
      <c r="B18" s="59" t="s">
        <v>545</v>
      </c>
      <c r="C18" s="59" t="s">
        <v>28</v>
      </c>
      <c r="D18" s="60">
        <v>0.25</v>
      </c>
      <c r="E18" s="61">
        <v>0</v>
      </c>
      <c r="F18" s="61">
        <v>25000</v>
      </c>
      <c r="G18" s="61">
        <v>2000</v>
      </c>
      <c r="H18" s="61">
        <v>0</v>
      </c>
      <c r="I18" s="61">
        <v>4000</v>
      </c>
      <c r="J18" s="61">
        <f t="shared" si="0"/>
        <v>0</v>
      </c>
      <c r="K18" s="61">
        <f t="shared" si="1"/>
        <v>18750</v>
      </c>
      <c r="L18" s="61">
        <f t="shared" si="2"/>
        <v>1500</v>
      </c>
      <c r="M18" s="61">
        <f t="shared" si="3"/>
        <v>0</v>
      </c>
      <c r="N18" s="61">
        <f t="shared" si="4"/>
        <v>3000</v>
      </c>
      <c r="O18" s="61">
        <v>24400</v>
      </c>
      <c r="P18" s="61">
        <v>10400</v>
      </c>
      <c r="Q18" s="61">
        <v>0</v>
      </c>
      <c r="R18" s="61">
        <v>0</v>
      </c>
      <c r="S18" s="61">
        <v>0</v>
      </c>
      <c r="T18" s="61">
        <v>5000</v>
      </c>
      <c r="U18" s="61">
        <v>0</v>
      </c>
      <c r="V18" s="61">
        <v>0</v>
      </c>
      <c r="W18" s="61">
        <v>0</v>
      </c>
      <c r="X18" s="61">
        <v>4800</v>
      </c>
      <c r="Y18" s="61">
        <v>0</v>
      </c>
      <c r="Z18" s="61">
        <f t="shared" si="5"/>
        <v>67850</v>
      </c>
      <c r="AA18" s="61">
        <v>77850</v>
      </c>
      <c r="AB18" s="61">
        <f t="shared" si="6"/>
        <v>-10000</v>
      </c>
    </row>
    <row r="19" spans="1:29" ht="15" x14ac:dyDescent="0.35">
      <c r="A19" s="59" t="s">
        <v>497</v>
      </c>
      <c r="B19" s="59" t="s">
        <v>498</v>
      </c>
      <c r="C19" s="59" t="s">
        <v>30</v>
      </c>
      <c r="D19" s="60">
        <v>0.5</v>
      </c>
      <c r="E19" s="61">
        <v>2500</v>
      </c>
      <c r="F19" s="61">
        <v>29500</v>
      </c>
      <c r="G19" s="61">
        <v>2500</v>
      </c>
      <c r="H19" s="61">
        <v>1500</v>
      </c>
      <c r="I19" s="61">
        <v>5000</v>
      </c>
      <c r="J19" s="61">
        <f t="shared" si="0"/>
        <v>1250</v>
      </c>
      <c r="K19" s="61">
        <f t="shared" si="1"/>
        <v>14750</v>
      </c>
      <c r="L19" s="61">
        <f t="shared" si="2"/>
        <v>1250</v>
      </c>
      <c r="M19" s="61">
        <f t="shared" si="3"/>
        <v>750</v>
      </c>
      <c r="N19" s="61">
        <f t="shared" si="4"/>
        <v>2500</v>
      </c>
      <c r="O19" s="61">
        <v>16500</v>
      </c>
      <c r="P19" s="61">
        <v>25000</v>
      </c>
      <c r="Q19" s="61">
        <v>20000</v>
      </c>
      <c r="R19" s="61">
        <v>6000</v>
      </c>
      <c r="S19" s="61">
        <v>6000</v>
      </c>
      <c r="T19" s="61">
        <v>6000</v>
      </c>
      <c r="U19" s="61">
        <v>0</v>
      </c>
      <c r="V19" s="61">
        <v>0</v>
      </c>
      <c r="W19" s="61">
        <v>0</v>
      </c>
      <c r="X19" s="61">
        <v>0</v>
      </c>
      <c r="Y19" s="61">
        <v>0</v>
      </c>
      <c r="Z19" s="61">
        <f t="shared" si="5"/>
        <v>100000</v>
      </c>
      <c r="AA19" s="61">
        <v>100000</v>
      </c>
      <c r="AB19" s="61">
        <f t="shared" si="6"/>
        <v>0</v>
      </c>
    </row>
    <row r="20" spans="1:29" ht="15" x14ac:dyDescent="0.35">
      <c r="A20" s="59" t="s">
        <v>526</v>
      </c>
      <c r="B20" s="59" t="s">
        <v>527</v>
      </c>
      <c r="C20" s="59" t="s">
        <v>36</v>
      </c>
      <c r="D20" s="60">
        <v>0.25</v>
      </c>
      <c r="E20" s="61">
        <v>1500</v>
      </c>
      <c r="F20" s="61">
        <v>23000</v>
      </c>
      <c r="G20" s="61">
        <v>1500</v>
      </c>
      <c r="H20" s="61">
        <v>1000</v>
      </c>
      <c r="I20" s="61">
        <v>0</v>
      </c>
      <c r="J20" s="61">
        <f t="shared" si="0"/>
        <v>1125</v>
      </c>
      <c r="K20" s="61">
        <f t="shared" si="1"/>
        <v>17250</v>
      </c>
      <c r="L20" s="61">
        <f t="shared" si="2"/>
        <v>1125</v>
      </c>
      <c r="M20" s="61">
        <f t="shared" si="3"/>
        <v>750</v>
      </c>
      <c r="N20" s="61">
        <f t="shared" si="4"/>
        <v>0</v>
      </c>
      <c r="O20" s="61">
        <v>12500</v>
      </c>
      <c r="P20" s="61">
        <v>3800</v>
      </c>
      <c r="Q20" s="61">
        <v>14000</v>
      </c>
      <c r="R20" s="61">
        <v>4000</v>
      </c>
      <c r="S20" s="61">
        <v>4000</v>
      </c>
      <c r="T20" s="61">
        <v>5000</v>
      </c>
      <c r="U20" s="61">
        <v>0</v>
      </c>
      <c r="V20" s="61">
        <v>0</v>
      </c>
      <c r="W20" s="61">
        <v>0</v>
      </c>
      <c r="X20" s="61">
        <v>0</v>
      </c>
      <c r="Y20" s="61">
        <v>0</v>
      </c>
      <c r="Z20" s="61">
        <f t="shared" si="5"/>
        <v>63550</v>
      </c>
      <c r="AA20" s="61">
        <v>63550</v>
      </c>
      <c r="AB20" s="61">
        <f t="shared" si="6"/>
        <v>0</v>
      </c>
    </row>
    <row r="21" spans="1:29" ht="15" x14ac:dyDescent="0.35">
      <c r="A21" s="59" t="s">
        <v>499</v>
      </c>
      <c r="B21" s="59" t="s">
        <v>500</v>
      </c>
      <c r="C21" s="59" t="s">
        <v>30</v>
      </c>
      <c r="D21" s="60">
        <v>0.6</v>
      </c>
      <c r="E21" s="61">
        <v>2500</v>
      </c>
      <c r="F21" s="61">
        <v>29500</v>
      </c>
      <c r="G21" s="61">
        <v>2500</v>
      </c>
      <c r="H21" s="61">
        <v>1500</v>
      </c>
      <c r="I21" s="61">
        <v>5000</v>
      </c>
      <c r="J21" s="61">
        <f t="shared" si="0"/>
        <v>1000</v>
      </c>
      <c r="K21" s="61">
        <f t="shared" si="1"/>
        <v>11800</v>
      </c>
      <c r="L21" s="61">
        <f t="shared" si="2"/>
        <v>1000</v>
      </c>
      <c r="M21" s="61">
        <f t="shared" si="3"/>
        <v>600</v>
      </c>
      <c r="N21" s="61">
        <f t="shared" si="4"/>
        <v>2000</v>
      </c>
      <c r="O21" s="61">
        <v>16500</v>
      </c>
      <c r="P21" s="61">
        <v>25000</v>
      </c>
      <c r="Q21" s="61">
        <v>10000</v>
      </c>
      <c r="R21" s="61">
        <v>6000</v>
      </c>
      <c r="S21" s="61">
        <v>6000</v>
      </c>
      <c r="T21" s="61">
        <v>6000</v>
      </c>
      <c r="U21" s="61">
        <v>0</v>
      </c>
      <c r="V21" s="61">
        <v>0</v>
      </c>
      <c r="W21" s="61">
        <v>0</v>
      </c>
      <c r="X21" s="61">
        <v>0</v>
      </c>
      <c r="Y21" s="61">
        <v>0</v>
      </c>
      <c r="Z21" s="61">
        <f t="shared" si="5"/>
        <v>85900</v>
      </c>
      <c r="AA21" s="61">
        <v>85900</v>
      </c>
      <c r="AB21" s="61">
        <f t="shared" si="6"/>
        <v>0</v>
      </c>
    </row>
    <row r="22" spans="1:29" ht="15" x14ac:dyDescent="0.35">
      <c r="A22" s="62" t="s">
        <v>55</v>
      </c>
      <c r="B22" s="59" t="s">
        <v>387</v>
      </c>
      <c r="C22" s="59" t="s">
        <v>132</v>
      </c>
      <c r="D22" s="60">
        <v>0</v>
      </c>
      <c r="E22" s="61">
        <v>0</v>
      </c>
      <c r="F22" s="61">
        <v>37000</v>
      </c>
      <c r="G22" s="61">
        <v>2500</v>
      </c>
      <c r="H22" s="61">
        <v>1500</v>
      </c>
      <c r="I22" s="61">
        <v>7000</v>
      </c>
      <c r="J22" s="61">
        <f t="shared" si="0"/>
        <v>0</v>
      </c>
      <c r="K22" s="61">
        <f t="shared" si="1"/>
        <v>37000</v>
      </c>
      <c r="L22" s="61">
        <f t="shared" si="2"/>
        <v>2500</v>
      </c>
      <c r="M22" s="61">
        <f t="shared" si="3"/>
        <v>1500</v>
      </c>
      <c r="N22" s="61">
        <f t="shared" si="4"/>
        <v>7000</v>
      </c>
      <c r="O22" s="61">
        <v>10800</v>
      </c>
      <c r="P22" s="61">
        <v>8000</v>
      </c>
      <c r="Q22" s="61">
        <v>0</v>
      </c>
      <c r="R22" s="61">
        <v>0</v>
      </c>
      <c r="S22" s="61">
        <v>0</v>
      </c>
      <c r="T22" s="61">
        <v>0</v>
      </c>
      <c r="U22" s="61">
        <v>0</v>
      </c>
      <c r="V22" s="61">
        <v>0</v>
      </c>
      <c r="W22" s="61">
        <v>0</v>
      </c>
      <c r="X22" s="61">
        <v>0</v>
      </c>
      <c r="Y22" s="61">
        <v>3350</v>
      </c>
      <c r="Z22" s="61">
        <f t="shared" si="5"/>
        <v>70150</v>
      </c>
      <c r="AA22" s="61">
        <v>40000</v>
      </c>
      <c r="AB22" s="61">
        <f t="shared" si="6"/>
        <v>30150</v>
      </c>
    </row>
    <row r="23" spans="1:29" ht="15" x14ac:dyDescent="0.35">
      <c r="A23" s="59" t="s">
        <v>58</v>
      </c>
      <c r="B23" s="59" t="s">
        <v>59</v>
      </c>
      <c r="C23" s="59" t="s">
        <v>34</v>
      </c>
      <c r="D23" s="60">
        <v>0.25</v>
      </c>
      <c r="E23" s="61">
        <v>0</v>
      </c>
      <c r="F23" s="61">
        <v>23000</v>
      </c>
      <c r="G23" s="61">
        <v>1500</v>
      </c>
      <c r="H23" s="61">
        <v>1000</v>
      </c>
      <c r="I23" s="61">
        <v>2000</v>
      </c>
      <c r="J23" s="61">
        <f t="shared" si="0"/>
        <v>0</v>
      </c>
      <c r="K23" s="61">
        <f t="shared" si="1"/>
        <v>17250</v>
      </c>
      <c r="L23" s="61">
        <f t="shared" si="2"/>
        <v>1125</v>
      </c>
      <c r="M23" s="61">
        <f t="shared" si="3"/>
        <v>750</v>
      </c>
      <c r="N23" s="61">
        <f t="shared" si="4"/>
        <v>1500</v>
      </c>
      <c r="O23" s="61">
        <v>23600</v>
      </c>
      <c r="P23" s="61">
        <v>9800</v>
      </c>
      <c r="Q23" s="61">
        <v>0</v>
      </c>
      <c r="R23" s="61">
        <v>0</v>
      </c>
      <c r="S23" s="61">
        <v>0</v>
      </c>
      <c r="T23" s="61">
        <v>0</v>
      </c>
      <c r="U23" s="61">
        <v>0</v>
      </c>
      <c r="V23" s="61">
        <v>0</v>
      </c>
      <c r="W23" s="61">
        <v>0</v>
      </c>
      <c r="X23" s="61">
        <v>0</v>
      </c>
      <c r="Y23" s="61">
        <v>0</v>
      </c>
      <c r="Z23" s="61">
        <f t="shared" si="5"/>
        <v>54025</v>
      </c>
      <c r="AA23" s="61">
        <v>54025</v>
      </c>
      <c r="AB23" s="61">
        <f t="shared" si="6"/>
        <v>0</v>
      </c>
    </row>
    <row r="24" spans="1:29" ht="15" x14ac:dyDescent="0.35">
      <c r="A24" s="59" t="s">
        <v>58</v>
      </c>
      <c r="B24" s="59" t="s">
        <v>60</v>
      </c>
      <c r="C24" s="59" t="s">
        <v>34</v>
      </c>
      <c r="D24" s="60">
        <v>0.25</v>
      </c>
      <c r="E24" s="61">
        <v>0</v>
      </c>
      <c r="F24" s="61">
        <v>23000</v>
      </c>
      <c r="G24" s="61">
        <v>1500</v>
      </c>
      <c r="H24" s="61">
        <v>1000</v>
      </c>
      <c r="I24" s="61">
        <v>2000</v>
      </c>
      <c r="J24" s="61">
        <f t="shared" si="0"/>
        <v>0</v>
      </c>
      <c r="K24" s="61">
        <f t="shared" si="1"/>
        <v>17250</v>
      </c>
      <c r="L24" s="61">
        <f t="shared" si="2"/>
        <v>1125</v>
      </c>
      <c r="M24" s="61">
        <f t="shared" si="3"/>
        <v>750</v>
      </c>
      <c r="N24" s="61">
        <f t="shared" si="4"/>
        <v>1500</v>
      </c>
      <c r="O24" s="61">
        <v>23600</v>
      </c>
      <c r="P24" s="61">
        <v>9800</v>
      </c>
      <c r="Q24" s="61">
        <v>0</v>
      </c>
      <c r="R24" s="61">
        <v>0</v>
      </c>
      <c r="S24" s="61">
        <v>0</v>
      </c>
      <c r="T24" s="61">
        <v>0</v>
      </c>
      <c r="U24" s="61">
        <v>0</v>
      </c>
      <c r="V24" s="61">
        <v>0</v>
      </c>
      <c r="W24" s="61">
        <v>0</v>
      </c>
      <c r="X24" s="61">
        <v>0</v>
      </c>
      <c r="Y24" s="61">
        <v>0</v>
      </c>
      <c r="Z24" s="61">
        <f t="shared" si="5"/>
        <v>54025</v>
      </c>
      <c r="AA24" s="61">
        <v>54025</v>
      </c>
      <c r="AB24" s="61">
        <f t="shared" si="6"/>
        <v>0</v>
      </c>
    </row>
    <row r="25" spans="1:29" ht="15" x14ac:dyDescent="0.35">
      <c r="A25" s="59" t="s">
        <v>58</v>
      </c>
      <c r="B25" s="59" t="s">
        <v>61</v>
      </c>
      <c r="C25" s="59" t="s">
        <v>127</v>
      </c>
      <c r="D25" s="60">
        <v>0.25</v>
      </c>
      <c r="E25" s="61">
        <v>0</v>
      </c>
      <c r="F25" s="61">
        <v>25000</v>
      </c>
      <c r="G25" s="61">
        <v>2000</v>
      </c>
      <c r="H25" s="61">
        <v>0</v>
      </c>
      <c r="I25" s="61">
        <v>4000</v>
      </c>
      <c r="J25" s="61">
        <f t="shared" si="0"/>
        <v>0</v>
      </c>
      <c r="K25" s="61">
        <f t="shared" si="1"/>
        <v>18750</v>
      </c>
      <c r="L25" s="61">
        <f t="shared" si="2"/>
        <v>1500</v>
      </c>
      <c r="M25" s="61">
        <f t="shared" si="3"/>
        <v>0</v>
      </c>
      <c r="N25" s="61">
        <f t="shared" si="4"/>
        <v>3000</v>
      </c>
      <c r="O25" s="61">
        <v>25900</v>
      </c>
      <c r="P25" s="61">
        <v>12000</v>
      </c>
      <c r="Q25" s="61">
        <v>0</v>
      </c>
      <c r="R25" s="61">
        <v>0</v>
      </c>
      <c r="S25" s="61">
        <v>0</v>
      </c>
      <c r="T25" s="61">
        <v>0</v>
      </c>
      <c r="U25" s="61">
        <v>0</v>
      </c>
      <c r="V25" s="61">
        <v>0</v>
      </c>
      <c r="W25" s="61">
        <v>0</v>
      </c>
      <c r="X25" s="61">
        <v>0</v>
      </c>
      <c r="Y25" s="61">
        <v>-250</v>
      </c>
      <c r="Z25" s="61">
        <f t="shared" si="5"/>
        <v>60900</v>
      </c>
      <c r="AA25" s="61">
        <v>60900</v>
      </c>
      <c r="AB25" s="61">
        <f t="shared" si="6"/>
        <v>0</v>
      </c>
    </row>
    <row r="26" spans="1:29" ht="15" x14ac:dyDescent="0.35">
      <c r="A26" s="59" t="s">
        <v>388</v>
      </c>
      <c r="B26" s="59" t="s">
        <v>389</v>
      </c>
      <c r="C26" s="59" t="s">
        <v>25</v>
      </c>
      <c r="D26" s="60">
        <v>0.25</v>
      </c>
      <c r="E26" s="61">
        <v>0</v>
      </c>
      <c r="F26" s="61">
        <v>23000</v>
      </c>
      <c r="G26" s="61">
        <v>1500</v>
      </c>
      <c r="H26" s="61">
        <v>1000</v>
      </c>
      <c r="I26" s="61">
        <v>0</v>
      </c>
      <c r="J26" s="61">
        <f t="shared" si="0"/>
        <v>0</v>
      </c>
      <c r="K26" s="61">
        <f t="shared" si="1"/>
        <v>17250</v>
      </c>
      <c r="L26" s="61">
        <f t="shared" si="2"/>
        <v>1125</v>
      </c>
      <c r="M26" s="61">
        <f t="shared" si="3"/>
        <v>750</v>
      </c>
      <c r="N26" s="61">
        <f t="shared" si="4"/>
        <v>0</v>
      </c>
      <c r="O26" s="61">
        <v>13200</v>
      </c>
      <c r="P26" s="61">
        <v>5300</v>
      </c>
      <c r="Q26" s="61">
        <v>7000</v>
      </c>
      <c r="R26" s="61">
        <v>4000</v>
      </c>
      <c r="S26" s="61">
        <v>4000</v>
      </c>
      <c r="T26" s="61">
        <v>5000</v>
      </c>
      <c r="U26" s="61">
        <v>0</v>
      </c>
      <c r="V26" s="61">
        <v>0</v>
      </c>
      <c r="W26" s="61">
        <v>0</v>
      </c>
      <c r="X26" s="61">
        <v>4800</v>
      </c>
      <c r="Y26" s="61">
        <v>0</v>
      </c>
      <c r="Z26" s="61">
        <f t="shared" si="5"/>
        <v>62425</v>
      </c>
      <c r="AA26" s="61">
        <v>24100</v>
      </c>
      <c r="AB26" s="61">
        <f t="shared" si="6"/>
        <v>38325</v>
      </c>
    </row>
    <row r="27" spans="1:29" ht="15" x14ac:dyDescent="0.35">
      <c r="A27" s="59" t="s">
        <v>388</v>
      </c>
      <c r="B27" s="59" t="s">
        <v>390</v>
      </c>
      <c r="C27" s="59" t="s">
        <v>28</v>
      </c>
      <c r="D27" s="60">
        <v>0.25</v>
      </c>
      <c r="E27" s="61">
        <v>0</v>
      </c>
      <c r="F27" s="61">
        <v>25000</v>
      </c>
      <c r="G27" s="61">
        <v>2000</v>
      </c>
      <c r="H27" s="61">
        <v>0</v>
      </c>
      <c r="I27" s="61">
        <v>4000</v>
      </c>
      <c r="J27" s="61">
        <f t="shared" si="0"/>
        <v>0</v>
      </c>
      <c r="K27" s="61">
        <f t="shared" si="1"/>
        <v>18750</v>
      </c>
      <c r="L27" s="61">
        <f t="shared" si="2"/>
        <v>1500</v>
      </c>
      <c r="M27" s="61">
        <f t="shared" si="3"/>
        <v>0</v>
      </c>
      <c r="N27" s="61">
        <f t="shared" si="4"/>
        <v>3000</v>
      </c>
      <c r="O27" s="61">
        <v>24400</v>
      </c>
      <c r="P27" s="61">
        <v>10400</v>
      </c>
      <c r="Q27" s="61">
        <v>8000</v>
      </c>
      <c r="R27" s="61">
        <v>4000</v>
      </c>
      <c r="S27" s="61">
        <v>4000</v>
      </c>
      <c r="T27" s="61">
        <v>5000</v>
      </c>
      <c r="U27" s="61">
        <v>0</v>
      </c>
      <c r="V27" s="61">
        <v>0</v>
      </c>
      <c r="W27" s="61">
        <v>0</v>
      </c>
      <c r="X27" s="61">
        <v>4800</v>
      </c>
      <c r="Y27" s="61">
        <v>-4000</v>
      </c>
      <c r="Z27" s="61">
        <f t="shared" si="5"/>
        <v>79850</v>
      </c>
      <c r="AA27" s="61">
        <v>24100</v>
      </c>
      <c r="AB27" s="61">
        <f t="shared" si="6"/>
        <v>55750</v>
      </c>
    </row>
    <row r="28" spans="1:29" ht="15" x14ac:dyDescent="0.35">
      <c r="A28" s="59" t="s">
        <v>501</v>
      </c>
      <c r="B28" s="59" t="s">
        <v>502</v>
      </c>
      <c r="C28" s="59" t="s">
        <v>30</v>
      </c>
      <c r="D28" s="60">
        <v>0.5</v>
      </c>
      <c r="E28" s="61">
        <v>2500</v>
      </c>
      <c r="F28" s="61">
        <v>29500</v>
      </c>
      <c r="G28" s="61">
        <v>2500</v>
      </c>
      <c r="H28" s="61">
        <v>1500</v>
      </c>
      <c r="I28" s="61">
        <v>5000</v>
      </c>
      <c r="J28" s="61">
        <f t="shared" si="0"/>
        <v>1250</v>
      </c>
      <c r="K28" s="61">
        <f t="shared" si="1"/>
        <v>14750</v>
      </c>
      <c r="L28" s="61">
        <f t="shared" si="2"/>
        <v>1250</v>
      </c>
      <c r="M28" s="61">
        <f t="shared" si="3"/>
        <v>750</v>
      </c>
      <c r="N28" s="61">
        <f t="shared" si="4"/>
        <v>2500</v>
      </c>
      <c r="O28" s="61">
        <v>16500</v>
      </c>
      <c r="P28" s="61">
        <v>25000</v>
      </c>
      <c r="Q28" s="61">
        <v>10000</v>
      </c>
      <c r="R28" s="61">
        <v>6000</v>
      </c>
      <c r="S28" s="61">
        <v>6000</v>
      </c>
      <c r="T28" s="61">
        <v>0</v>
      </c>
      <c r="U28" s="61">
        <v>0</v>
      </c>
      <c r="V28" s="61">
        <v>0</v>
      </c>
      <c r="W28" s="61">
        <v>0</v>
      </c>
      <c r="X28" s="61">
        <v>0</v>
      </c>
      <c r="Y28" s="61">
        <v>0</v>
      </c>
      <c r="Z28" s="61">
        <f t="shared" si="5"/>
        <v>84000</v>
      </c>
      <c r="AA28" s="61">
        <v>84000</v>
      </c>
      <c r="AB28" s="61">
        <f t="shared" si="6"/>
        <v>0</v>
      </c>
    </row>
    <row r="29" spans="1:29" ht="15" x14ac:dyDescent="0.35">
      <c r="A29" s="59" t="s">
        <v>64</v>
      </c>
      <c r="B29" s="59" t="s">
        <v>65</v>
      </c>
      <c r="C29" s="59" t="s">
        <v>32</v>
      </c>
      <c r="D29" s="60">
        <v>0.25</v>
      </c>
      <c r="E29" s="61">
        <v>0</v>
      </c>
      <c r="F29" s="61">
        <v>25000</v>
      </c>
      <c r="G29" s="61">
        <v>2000</v>
      </c>
      <c r="H29" s="61">
        <v>0</v>
      </c>
      <c r="I29" s="61">
        <v>4000</v>
      </c>
      <c r="J29" s="61">
        <f t="shared" si="0"/>
        <v>0</v>
      </c>
      <c r="K29" s="61">
        <f t="shared" si="1"/>
        <v>18750</v>
      </c>
      <c r="L29" s="61">
        <f t="shared" si="2"/>
        <v>1500</v>
      </c>
      <c r="M29" s="61">
        <f t="shared" si="3"/>
        <v>0</v>
      </c>
      <c r="N29" s="61">
        <f t="shared" si="4"/>
        <v>3000</v>
      </c>
      <c r="O29" s="61">
        <v>25900</v>
      </c>
      <c r="P29" s="61">
        <v>12000</v>
      </c>
      <c r="Q29" s="61">
        <v>0</v>
      </c>
      <c r="R29" s="61">
        <v>0</v>
      </c>
      <c r="S29" s="61">
        <v>0</v>
      </c>
      <c r="T29" s="61">
        <v>5000</v>
      </c>
      <c r="U29" s="61">
        <v>0</v>
      </c>
      <c r="V29" s="61">
        <v>0</v>
      </c>
      <c r="W29" s="61">
        <v>0</v>
      </c>
      <c r="X29" s="61">
        <v>0</v>
      </c>
      <c r="Y29" s="61">
        <v>0</v>
      </c>
      <c r="Z29" s="61">
        <f t="shared" si="5"/>
        <v>66150</v>
      </c>
      <c r="AA29" s="61">
        <v>66150</v>
      </c>
      <c r="AB29" s="61">
        <f t="shared" si="6"/>
        <v>0</v>
      </c>
    </row>
    <row r="30" spans="1:29" ht="15" x14ac:dyDescent="0.35">
      <c r="A30" s="59" t="s">
        <v>67</v>
      </c>
      <c r="B30" s="59" t="s">
        <v>391</v>
      </c>
      <c r="C30" s="59" t="s">
        <v>132</v>
      </c>
      <c r="D30" s="60">
        <v>0</v>
      </c>
      <c r="E30" s="61">
        <v>0</v>
      </c>
      <c r="F30" s="61">
        <v>37000</v>
      </c>
      <c r="G30" s="61">
        <v>2500</v>
      </c>
      <c r="H30" s="61">
        <v>1500</v>
      </c>
      <c r="I30" s="61">
        <v>7000</v>
      </c>
      <c r="J30" s="61">
        <f t="shared" si="0"/>
        <v>0</v>
      </c>
      <c r="K30" s="61">
        <f t="shared" si="1"/>
        <v>37000</v>
      </c>
      <c r="L30" s="61">
        <f t="shared" si="2"/>
        <v>2500</v>
      </c>
      <c r="M30" s="61">
        <f t="shared" si="3"/>
        <v>1500</v>
      </c>
      <c r="N30" s="61">
        <f t="shared" si="4"/>
        <v>7000</v>
      </c>
      <c r="O30" s="61">
        <v>10800</v>
      </c>
      <c r="P30" s="61">
        <v>13000</v>
      </c>
      <c r="Q30" s="61">
        <v>0</v>
      </c>
      <c r="R30" s="61">
        <v>0</v>
      </c>
      <c r="S30" s="61">
        <v>0</v>
      </c>
      <c r="T30" s="61">
        <v>6000</v>
      </c>
      <c r="U30" s="61">
        <v>0</v>
      </c>
      <c r="V30" s="61">
        <v>40000</v>
      </c>
      <c r="W30" s="61">
        <v>0</v>
      </c>
      <c r="X30" s="61">
        <v>0</v>
      </c>
      <c r="Y30" s="61">
        <v>0</v>
      </c>
      <c r="Z30" s="61">
        <f t="shared" si="5"/>
        <v>117800</v>
      </c>
      <c r="AA30" s="61">
        <v>117000</v>
      </c>
      <c r="AB30" s="61">
        <f t="shared" si="6"/>
        <v>800</v>
      </c>
    </row>
    <row r="31" spans="1:29" ht="15" x14ac:dyDescent="0.35">
      <c r="A31" s="59" t="s">
        <v>519</v>
      </c>
      <c r="B31" s="59" t="s">
        <v>520</v>
      </c>
      <c r="C31" s="59" t="s">
        <v>34</v>
      </c>
      <c r="D31" s="60">
        <v>0.25</v>
      </c>
      <c r="E31" s="61">
        <v>1500</v>
      </c>
      <c r="F31" s="61">
        <v>23000</v>
      </c>
      <c r="G31" s="61">
        <v>1500</v>
      </c>
      <c r="H31" s="61">
        <v>1000</v>
      </c>
      <c r="I31" s="61">
        <v>2000</v>
      </c>
      <c r="J31" s="61">
        <f t="shared" si="0"/>
        <v>1125</v>
      </c>
      <c r="K31" s="61">
        <f t="shared" si="1"/>
        <v>17250</v>
      </c>
      <c r="L31" s="61">
        <f t="shared" si="2"/>
        <v>1125</v>
      </c>
      <c r="M31" s="61">
        <f t="shared" si="3"/>
        <v>750</v>
      </c>
      <c r="N31" s="61">
        <f t="shared" si="4"/>
        <v>1500</v>
      </c>
      <c r="O31" s="61">
        <v>23600</v>
      </c>
      <c r="P31" s="61">
        <v>9800</v>
      </c>
      <c r="Q31" s="61">
        <v>14000</v>
      </c>
      <c r="R31" s="61">
        <v>4000</v>
      </c>
      <c r="S31" s="61">
        <v>4000</v>
      </c>
      <c r="T31" s="61">
        <v>5000</v>
      </c>
      <c r="U31" s="61">
        <v>0</v>
      </c>
      <c r="V31" s="61">
        <v>0</v>
      </c>
      <c r="W31" s="61">
        <v>0</v>
      </c>
      <c r="X31" s="61">
        <v>0</v>
      </c>
      <c r="Y31" s="61">
        <v>0</v>
      </c>
      <c r="Z31" s="61">
        <f t="shared" si="5"/>
        <v>82150</v>
      </c>
      <c r="AA31" s="61">
        <v>82250</v>
      </c>
      <c r="AB31" s="61">
        <f t="shared" si="6"/>
        <v>-100</v>
      </c>
    </row>
    <row r="32" spans="1:29" ht="15" x14ac:dyDescent="0.35">
      <c r="A32" s="59" t="s">
        <v>519</v>
      </c>
      <c r="B32" s="59" t="s">
        <v>538</v>
      </c>
      <c r="C32" s="59" t="s">
        <v>25</v>
      </c>
      <c r="D32" s="60">
        <v>0.25</v>
      </c>
      <c r="E32" s="61">
        <v>1500</v>
      </c>
      <c r="F32" s="61">
        <v>23000</v>
      </c>
      <c r="G32" s="61">
        <v>1500</v>
      </c>
      <c r="H32" s="61">
        <v>1000</v>
      </c>
      <c r="I32" s="61">
        <v>0</v>
      </c>
      <c r="J32" s="61">
        <f t="shared" si="0"/>
        <v>1125</v>
      </c>
      <c r="K32" s="61">
        <f t="shared" si="1"/>
        <v>17250</v>
      </c>
      <c r="L32" s="61">
        <f t="shared" si="2"/>
        <v>1125</v>
      </c>
      <c r="M32" s="61">
        <f t="shared" si="3"/>
        <v>750</v>
      </c>
      <c r="N32" s="61">
        <f t="shared" si="4"/>
        <v>0</v>
      </c>
      <c r="O32" s="61">
        <v>13200</v>
      </c>
      <c r="P32" s="61">
        <v>5300</v>
      </c>
      <c r="Q32" s="61">
        <v>14000</v>
      </c>
      <c r="R32" s="61">
        <v>4000</v>
      </c>
      <c r="S32" s="61">
        <v>4000</v>
      </c>
      <c r="T32" s="61">
        <v>5000</v>
      </c>
      <c r="U32" s="61">
        <v>0</v>
      </c>
      <c r="V32" s="61">
        <v>0</v>
      </c>
      <c r="W32" s="61">
        <v>0</v>
      </c>
      <c r="X32" s="61">
        <v>0</v>
      </c>
      <c r="Y32" s="61">
        <v>0</v>
      </c>
      <c r="Z32" s="61">
        <f t="shared" si="5"/>
        <v>65750</v>
      </c>
      <c r="AA32" s="61">
        <v>65750</v>
      </c>
      <c r="AB32" s="61">
        <f t="shared" si="6"/>
        <v>0</v>
      </c>
    </row>
    <row r="33" spans="1:29" ht="15" x14ac:dyDescent="0.35">
      <c r="A33" s="59" t="s">
        <v>69</v>
      </c>
      <c r="B33" s="59" t="s">
        <v>59</v>
      </c>
      <c r="C33" s="59" t="s">
        <v>36</v>
      </c>
      <c r="D33" s="60">
        <v>0.25</v>
      </c>
      <c r="E33" s="61">
        <v>0</v>
      </c>
      <c r="F33" s="61">
        <v>23000</v>
      </c>
      <c r="G33" s="61">
        <v>1500</v>
      </c>
      <c r="H33" s="61">
        <v>1000</v>
      </c>
      <c r="I33" s="61">
        <v>0</v>
      </c>
      <c r="J33" s="61">
        <f t="shared" si="0"/>
        <v>0</v>
      </c>
      <c r="K33" s="61">
        <f t="shared" si="1"/>
        <v>17250</v>
      </c>
      <c r="L33" s="61">
        <f t="shared" si="2"/>
        <v>1125</v>
      </c>
      <c r="M33" s="61">
        <f t="shared" si="3"/>
        <v>750</v>
      </c>
      <c r="N33" s="61">
        <f t="shared" si="4"/>
        <v>0</v>
      </c>
      <c r="O33" s="61">
        <f>12500-1380</f>
        <v>11120</v>
      </c>
      <c r="P33" s="61">
        <v>3800</v>
      </c>
      <c r="Q33" s="61">
        <v>0</v>
      </c>
      <c r="R33" s="61">
        <v>0</v>
      </c>
      <c r="S33" s="61">
        <v>0</v>
      </c>
      <c r="T33" s="61">
        <v>5000</v>
      </c>
      <c r="U33" s="61">
        <v>0</v>
      </c>
      <c r="V33" s="61">
        <v>0</v>
      </c>
      <c r="W33" s="61">
        <v>0</v>
      </c>
      <c r="X33" s="61">
        <v>0</v>
      </c>
      <c r="Y33" s="61">
        <v>220</v>
      </c>
      <c r="Z33" s="61">
        <f t="shared" si="5"/>
        <v>39265</v>
      </c>
      <c r="AA33" s="61">
        <v>39265</v>
      </c>
      <c r="AB33" s="61">
        <f t="shared" si="6"/>
        <v>0</v>
      </c>
    </row>
    <row r="34" spans="1:29" ht="15" x14ac:dyDescent="0.35">
      <c r="A34" s="59" t="s">
        <v>69</v>
      </c>
      <c r="B34" s="59" t="s">
        <v>72</v>
      </c>
      <c r="C34" s="59" t="s">
        <v>28</v>
      </c>
      <c r="D34" s="60">
        <v>0.25</v>
      </c>
      <c r="E34" s="61">
        <v>0</v>
      </c>
      <c r="F34" s="61">
        <v>25000</v>
      </c>
      <c r="G34" s="61">
        <v>2000</v>
      </c>
      <c r="H34" s="61">
        <v>0</v>
      </c>
      <c r="I34" s="61">
        <v>4000</v>
      </c>
      <c r="J34" s="61">
        <f t="shared" ref="J34:J65" si="7">(1-$D34)*E34</f>
        <v>0</v>
      </c>
      <c r="K34" s="61">
        <f t="shared" ref="K34:K65" si="8">(1-$D34)*F34</f>
        <v>18750</v>
      </c>
      <c r="L34" s="61">
        <f t="shared" ref="L34:L65" si="9">(1-$D34)*G34</f>
        <v>1500</v>
      </c>
      <c r="M34" s="61">
        <f t="shared" ref="M34:M65" si="10">(1-$D34)*H34</f>
        <v>0</v>
      </c>
      <c r="N34" s="61">
        <f t="shared" ref="N34:N65" si="11">(1-$D34)*I34</f>
        <v>3000</v>
      </c>
      <c r="O34" s="61">
        <v>24400</v>
      </c>
      <c r="P34" s="61">
        <v>10400</v>
      </c>
      <c r="Q34" s="61">
        <v>0</v>
      </c>
      <c r="R34" s="61">
        <v>0</v>
      </c>
      <c r="S34" s="61">
        <v>0</v>
      </c>
      <c r="T34" s="61">
        <v>5000</v>
      </c>
      <c r="U34" s="61">
        <v>0</v>
      </c>
      <c r="V34" s="61">
        <v>0</v>
      </c>
      <c r="W34" s="61">
        <v>0</v>
      </c>
      <c r="X34" s="61">
        <v>4800</v>
      </c>
      <c r="Y34" s="61">
        <v>0</v>
      </c>
      <c r="Z34" s="61">
        <f t="shared" ref="Z34:Z65" si="12">SUM(J34:Y34)</f>
        <v>67850</v>
      </c>
      <c r="AA34" s="61">
        <v>67850</v>
      </c>
      <c r="AB34" s="61">
        <f t="shared" ref="AB34:AB65" si="13">Z34-AA34</f>
        <v>0</v>
      </c>
    </row>
    <row r="35" spans="1:29" ht="15" x14ac:dyDescent="0.35">
      <c r="A35" s="59" t="s">
        <v>69</v>
      </c>
      <c r="B35" s="59" t="s">
        <v>70</v>
      </c>
      <c r="C35" s="59" t="s">
        <v>66</v>
      </c>
      <c r="D35" s="60">
        <v>0.25</v>
      </c>
      <c r="E35" s="61">
        <v>0</v>
      </c>
      <c r="F35" s="61">
        <v>25000</v>
      </c>
      <c r="G35" s="61">
        <v>2000</v>
      </c>
      <c r="H35" s="61">
        <v>0</v>
      </c>
      <c r="I35" s="61">
        <v>4000</v>
      </c>
      <c r="J35" s="61">
        <f t="shared" si="7"/>
        <v>0</v>
      </c>
      <c r="K35" s="61">
        <f t="shared" si="8"/>
        <v>18750</v>
      </c>
      <c r="L35" s="61">
        <f t="shared" si="9"/>
        <v>1500</v>
      </c>
      <c r="M35" s="61">
        <f t="shared" si="10"/>
        <v>0</v>
      </c>
      <c r="N35" s="61">
        <f t="shared" si="11"/>
        <v>3000</v>
      </c>
      <c r="O35" s="61">
        <v>25500</v>
      </c>
      <c r="P35" s="61">
        <v>12000</v>
      </c>
      <c r="Q35" s="61">
        <v>0</v>
      </c>
      <c r="R35" s="61">
        <v>0</v>
      </c>
      <c r="S35" s="61">
        <v>0</v>
      </c>
      <c r="T35" s="61">
        <v>5000</v>
      </c>
      <c r="U35" s="61">
        <v>0</v>
      </c>
      <c r="V35" s="61">
        <v>0</v>
      </c>
      <c r="W35" s="61">
        <v>0</v>
      </c>
      <c r="X35" s="61">
        <v>4800</v>
      </c>
      <c r="Y35" s="61">
        <v>0</v>
      </c>
      <c r="Z35" s="61">
        <f t="shared" si="12"/>
        <v>70550</v>
      </c>
      <c r="AA35" s="61">
        <v>71885</v>
      </c>
      <c r="AB35" s="61">
        <f t="shared" si="13"/>
        <v>-1335</v>
      </c>
    </row>
    <row r="36" spans="1:29" ht="15" x14ac:dyDescent="0.35">
      <c r="A36" s="59" t="s">
        <v>503</v>
      </c>
      <c r="B36" s="59" t="s">
        <v>504</v>
      </c>
      <c r="C36" s="59" t="s">
        <v>30</v>
      </c>
      <c r="D36" s="60">
        <v>0.5</v>
      </c>
      <c r="E36" s="61">
        <v>2500</v>
      </c>
      <c r="F36" s="61">
        <v>29500</v>
      </c>
      <c r="G36" s="61">
        <v>2500</v>
      </c>
      <c r="H36" s="61">
        <v>1500</v>
      </c>
      <c r="I36" s="61">
        <v>5000</v>
      </c>
      <c r="J36" s="61">
        <f t="shared" si="7"/>
        <v>1250</v>
      </c>
      <c r="K36" s="61">
        <f t="shared" si="8"/>
        <v>14750</v>
      </c>
      <c r="L36" s="61">
        <f t="shared" si="9"/>
        <v>1250</v>
      </c>
      <c r="M36" s="61">
        <f t="shared" si="10"/>
        <v>750</v>
      </c>
      <c r="N36" s="61">
        <f t="shared" si="11"/>
        <v>2500</v>
      </c>
      <c r="O36" s="61">
        <v>16500</v>
      </c>
      <c r="P36" s="61">
        <v>25000</v>
      </c>
      <c r="Q36" s="61">
        <v>10000</v>
      </c>
      <c r="R36" s="61">
        <v>6000</v>
      </c>
      <c r="S36" s="61">
        <v>6000</v>
      </c>
      <c r="T36" s="61">
        <v>6000</v>
      </c>
      <c r="U36" s="61">
        <v>0</v>
      </c>
      <c r="V36" s="61">
        <v>0</v>
      </c>
      <c r="W36" s="61">
        <v>0</v>
      </c>
      <c r="X36" s="61">
        <v>0</v>
      </c>
      <c r="Y36" s="61">
        <v>0</v>
      </c>
      <c r="Z36" s="61">
        <f t="shared" si="12"/>
        <v>90000</v>
      </c>
      <c r="AA36" s="61">
        <v>90000</v>
      </c>
      <c r="AB36" s="61">
        <f t="shared" si="13"/>
        <v>0</v>
      </c>
    </row>
    <row r="37" spans="1:29" ht="15" x14ac:dyDescent="0.35">
      <c r="A37" s="59" t="s">
        <v>73</v>
      </c>
      <c r="B37" s="59" t="s">
        <v>392</v>
      </c>
      <c r="C37" s="59" t="s">
        <v>107</v>
      </c>
      <c r="D37" s="60">
        <v>1</v>
      </c>
      <c r="E37" s="61">
        <v>0</v>
      </c>
      <c r="F37" s="61">
        <v>29500</v>
      </c>
      <c r="G37" s="61">
        <v>2500</v>
      </c>
      <c r="H37" s="61">
        <v>1500</v>
      </c>
      <c r="I37" s="61">
        <v>5000</v>
      </c>
      <c r="J37" s="61">
        <f t="shared" si="7"/>
        <v>0</v>
      </c>
      <c r="K37" s="61">
        <f t="shared" si="8"/>
        <v>0</v>
      </c>
      <c r="L37" s="61">
        <f t="shared" si="9"/>
        <v>0</v>
      </c>
      <c r="M37" s="61">
        <f t="shared" si="10"/>
        <v>0</v>
      </c>
      <c r="N37" s="61">
        <f t="shared" si="11"/>
        <v>0</v>
      </c>
      <c r="O37" s="61">
        <v>0</v>
      </c>
      <c r="P37" s="61">
        <v>0</v>
      </c>
      <c r="Q37" s="61">
        <v>0</v>
      </c>
      <c r="R37" s="61">
        <v>0</v>
      </c>
      <c r="S37" s="61">
        <v>0</v>
      </c>
      <c r="T37" s="61">
        <v>0</v>
      </c>
      <c r="U37" s="61">
        <v>0</v>
      </c>
      <c r="V37" s="61">
        <v>0</v>
      </c>
      <c r="W37" s="61">
        <v>0</v>
      </c>
      <c r="X37" s="61">
        <v>0</v>
      </c>
      <c r="Y37" s="61">
        <v>-1500</v>
      </c>
      <c r="Z37" s="61">
        <f t="shared" si="12"/>
        <v>-1500</v>
      </c>
      <c r="AA37" s="61">
        <v>2000</v>
      </c>
      <c r="AB37" s="61">
        <f t="shared" si="13"/>
        <v>-3500</v>
      </c>
    </row>
    <row r="38" spans="1:29" ht="15" x14ac:dyDescent="0.35">
      <c r="A38" s="59" t="s">
        <v>505</v>
      </c>
      <c r="B38" s="59" t="s">
        <v>506</v>
      </c>
      <c r="C38" s="59" t="s">
        <v>30</v>
      </c>
      <c r="D38" s="60">
        <v>0.5</v>
      </c>
      <c r="E38" s="61">
        <v>2500</v>
      </c>
      <c r="F38" s="61">
        <v>29500</v>
      </c>
      <c r="G38" s="61">
        <v>2500</v>
      </c>
      <c r="H38" s="61">
        <v>1500</v>
      </c>
      <c r="I38" s="61">
        <v>5000</v>
      </c>
      <c r="J38" s="61">
        <f t="shared" si="7"/>
        <v>1250</v>
      </c>
      <c r="K38" s="61">
        <f t="shared" si="8"/>
        <v>14750</v>
      </c>
      <c r="L38" s="61">
        <f t="shared" si="9"/>
        <v>1250</v>
      </c>
      <c r="M38" s="61">
        <f t="shared" si="10"/>
        <v>750</v>
      </c>
      <c r="N38" s="61">
        <f t="shared" si="11"/>
        <v>2500</v>
      </c>
      <c r="O38" s="61">
        <v>16500</v>
      </c>
      <c r="P38" s="61">
        <v>25000</v>
      </c>
      <c r="Q38" s="61">
        <v>10000</v>
      </c>
      <c r="R38" s="61">
        <v>6000</v>
      </c>
      <c r="S38" s="61">
        <v>6000</v>
      </c>
      <c r="T38" s="61">
        <v>6000</v>
      </c>
      <c r="U38" s="61">
        <v>0</v>
      </c>
      <c r="V38" s="61">
        <v>0</v>
      </c>
      <c r="W38" s="61">
        <v>0</v>
      </c>
      <c r="X38" s="61">
        <v>0</v>
      </c>
      <c r="Y38" s="61">
        <v>0</v>
      </c>
      <c r="Z38" s="61">
        <f t="shared" si="12"/>
        <v>90000</v>
      </c>
      <c r="AA38" s="61">
        <v>90000</v>
      </c>
      <c r="AB38" s="61">
        <f t="shared" si="13"/>
        <v>0</v>
      </c>
    </row>
    <row r="39" spans="1:29" ht="15" x14ac:dyDescent="0.35">
      <c r="A39" s="59" t="s">
        <v>78</v>
      </c>
      <c r="B39" s="59" t="s">
        <v>393</v>
      </c>
      <c r="C39" s="59" t="s">
        <v>57</v>
      </c>
      <c r="D39" s="60">
        <v>0</v>
      </c>
      <c r="E39" s="61">
        <v>0</v>
      </c>
      <c r="F39" s="61">
        <v>37000</v>
      </c>
      <c r="G39" s="61">
        <v>2500</v>
      </c>
      <c r="H39" s="61">
        <v>1500</v>
      </c>
      <c r="I39" s="61">
        <v>7000</v>
      </c>
      <c r="J39" s="61">
        <f t="shared" si="7"/>
        <v>0</v>
      </c>
      <c r="K39" s="61">
        <f t="shared" si="8"/>
        <v>37000</v>
      </c>
      <c r="L39" s="61">
        <f t="shared" si="9"/>
        <v>2500</v>
      </c>
      <c r="M39" s="61">
        <f t="shared" si="10"/>
        <v>1500</v>
      </c>
      <c r="N39" s="61">
        <f t="shared" si="11"/>
        <v>7000</v>
      </c>
      <c r="O39" s="61">
        <v>10800</v>
      </c>
      <c r="P39" s="61">
        <v>8000</v>
      </c>
      <c r="Q39" s="61">
        <v>0</v>
      </c>
      <c r="R39" s="61">
        <v>6000</v>
      </c>
      <c r="S39" s="61">
        <v>0</v>
      </c>
      <c r="T39" s="61">
        <v>6000</v>
      </c>
      <c r="U39" s="61">
        <v>0</v>
      </c>
      <c r="V39" s="61">
        <v>0</v>
      </c>
      <c r="W39" s="61">
        <v>0</v>
      </c>
      <c r="X39" s="61">
        <v>0</v>
      </c>
      <c r="Y39" s="61">
        <v>-1650</v>
      </c>
      <c r="Z39" s="61">
        <f t="shared" si="12"/>
        <v>77150</v>
      </c>
      <c r="AA39" s="61">
        <v>40000</v>
      </c>
      <c r="AB39" s="61">
        <f t="shared" si="13"/>
        <v>37150</v>
      </c>
    </row>
    <row r="40" spans="1:29" ht="15" x14ac:dyDescent="0.35">
      <c r="A40" s="59" t="s">
        <v>81</v>
      </c>
      <c r="B40" s="59" t="s">
        <v>394</v>
      </c>
      <c r="C40" s="59" t="s">
        <v>107</v>
      </c>
      <c r="D40" s="60">
        <v>0</v>
      </c>
      <c r="E40" s="61">
        <v>0</v>
      </c>
      <c r="F40" s="61">
        <v>29500</v>
      </c>
      <c r="G40" s="61">
        <v>2500</v>
      </c>
      <c r="H40" s="61">
        <v>1500</v>
      </c>
      <c r="I40" s="61">
        <v>5000</v>
      </c>
      <c r="J40" s="61">
        <f t="shared" si="7"/>
        <v>0</v>
      </c>
      <c r="K40" s="61">
        <f t="shared" si="8"/>
        <v>29500</v>
      </c>
      <c r="L40" s="61">
        <f t="shared" si="9"/>
        <v>2500</v>
      </c>
      <c r="M40" s="61">
        <f t="shared" si="10"/>
        <v>1500</v>
      </c>
      <c r="N40" s="61">
        <f t="shared" si="11"/>
        <v>5000</v>
      </c>
      <c r="O40" s="61">
        <v>17800</v>
      </c>
      <c r="P40" s="61">
        <v>8000</v>
      </c>
      <c r="Q40" s="61">
        <v>10000</v>
      </c>
      <c r="R40" s="61">
        <v>0</v>
      </c>
      <c r="S40" s="61">
        <v>6000</v>
      </c>
      <c r="T40" s="61">
        <v>0</v>
      </c>
      <c r="U40" s="61">
        <v>0</v>
      </c>
      <c r="V40" s="61">
        <v>0</v>
      </c>
      <c r="W40" s="61">
        <v>0</v>
      </c>
      <c r="X40" s="61">
        <v>0</v>
      </c>
      <c r="Y40" s="61">
        <v>-2940</v>
      </c>
      <c r="Z40" s="61">
        <f t="shared" si="12"/>
        <v>77360</v>
      </c>
      <c r="AA40" s="61">
        <v>76000</v>
      </c>
      <c r="AB40" s="61">
        <f t="shared" si="13"/>
        <v>1360</v>
      </c>
    </row>
    <row r="41" spans="1:29" ht="15" x14ac:dyDescent="0.35">
      <c r="A41" s="59" t="s">
        <v>81</v>
      </c>
      <c r="B41" s="59" t="s">
        <v>82</v>
      </c>
      <c r="C41" s="59" t="s">
        <v>25</v>
      </c>
      <c r="D41" s="60">
        <v>0</v>
      </c>
      <c r="E41" s="61">
        <v>0</v>
      </c>
      <c r="F41" s="61">
        <v>23000</v>
      </c>
      <c r="G41" s="61">
        <v>1500</v>
      </c>
      <c r="H41" s="61">
        <v>1000</v>
      </c>
      <c r="I41" s="61">
        <v>0</v>
      </c>
      <c r="J41" s="61">
        <f t="shared" si="7"/>
        <v>0</v>
      </c>
      <c r="K41" s="61">
        <f t="shared" si="8"/>
        <v>23000</v>
      </c>
      <c r="L41" s="61">
        <f t="shared" si="9"/>
        <v>1500</v>
      </c>
      <c r="M41" s="61">
        <f t="shared" si="10"/>
        <v>1000</v>
      </c>
      <c r="N41" s="61">
        <f t="shared" si="11"/>
        <v>0</v>
      </c>
      <c r="O41" s="61">
        <v>10200</v>
      </c>
      <c r="P41" s="61">
        <v>5300</v>
      </c>
      <c r="Q41" s="61">
        <v>0</v>
      </c>
      <c r="R41" s="61">
        <v>0</v>
      </c>
      <c r="S41" s="61">
        <v>0</v>
      </c>
      <c r="T41" s="61">
        <v>5000</v>
      </c>
      <c r="U41" s="61">
        <v>0</v>
      </c>
      <c r="V41" s="61">
        <v>0</v>
      </c>
      <c r="W41" s="61">
        <v>0</v>
      </c>
      <c r="X41" s="61">
        <v>0</v>
      </c>
      <c r="Y41" s="61">
        <v>1755</v>
      </c>
      <c r="Z41" s="61">
        <f t="shared" si="12"/>
        <v>47755</v>
      </c>
      <c r="AA41" s="61">
        <v>39000</v>
      </c>
      <c r="AB41" s="61">
        <f t="shared" si="13"/>
        <v>8755</v>
      </c>
    </row>
    <row r="42" spans="1:29" ht="15" x14ac:dyDescent="0.35">
      <c r="A42" s="59" t="s">
        <v>507</v>
      </c>
      <c r="B42" s="59" t="s">
        <v>508</v>
      </c>
      <c r="C42" s="59" t="s">
        <v>30</v>
      </c>
      <c r="D42" s="60">
        <v>0.5</v>
      </c>
      <c r="E42" s="61">
        <v>2500</v>
      </c>
      <c r="F42" s="61">
        <v>29500</v>
      </c>
      <c r="G42" s="61">
        <v>2500</v>
      </c>
      <c r="H42" s="61">
        <v>1500</v>
      </c>
      <c r="I42" s="61">
        <v>5000</v>
      </c>
      <c r="J42" s="61">
        <f t="shared" si="7"/>
        <v>1250</v>
      </c>
      <c r="K42" s="61">
        <f t="shared" si="8"/>
        <v>14750</v>
      </c>
      <c r="L42" s="61">
        <f t="shared" si="9"/>
        <v>1250</v>
      </c>
      <c r="M42" s="61">
        <f t="shared" si="10"/>
        <v>750</v>
      </c>
      <c r="N42" s="61">
        <f t="shared" si="11"/>
        <v>2500</v>
      </c>
      <c r="O42" s="61">
        <v>16500</v>
      </c>
      <c r="P42" s="61">
        <v>25000</v>
      </c>
      <c r="Q42" s="61">
        <v>10000</v>
      </c>
      <c r="R42" s="61">
        <v>6000</v>
      </c>
      <c r="S42" s="61">
        <v>6000</v>
      </c>
      <c r="T42" s="61">
        <v>6000</v>
      </c>
      <c r="U42" s="61">
        <v>0</v>
      </c>
      <c r="V42" s="61">
        <v>0</v>
      </c>
      <c r="W42" s="61">
        <v>0</v>
      </c>
      <c r="X42" s="61">
        <v>0</v>
      </c>
      <c r="Y42" s="61">
        <v>0</v>
      </c>
      <c r="Z42" s="61">
        <f t="shared" si="12"/>
        <v>90000</v>
      </c>
      <c r="AA42" s="61">
        <v>90000</v>
      </c>
      <c r="AB42" s="61">
        <f t="shared" si="13"/>
        <v>0</v>
      </c>
    </row>
    <row r="43" spans="1:29" ht="15" x14ac:dyDescent="0.35">
      <c r="A43" s="59" t="s">
        <v>59</v>
      </c>
      <c r="B43" s="59" t="s">
        <v>395</v>
      </c>
      <c r="C43" s="59" t="s">
        <v>57</v>
      </c>
      <c r="D43" s="60">
        <v>0</v>
      </c>
      <c r="E43" s="61">
        <v>0</v>
      </c>
      <c r="F43" s="61">
        <v>37000</v>
      </c>
      <c r="G43" s="61">
        <v>2500</v>
      </c>
      <c r="H43" s="61">
        <v>1500</v>
      </c>
      <c r="I43" s="61">
        <v>7000</v>
      </c>
      <c r="J43" s="61">
        <f t="shared" si="7"/>
        <v>0</v>
      </c>
      <c r="K43" s="61">
        <f t="shared" si="8"/>
        <v>37000</v>
      </c>
      <c r="L43" s="61">
        <f t="shared" si="9"/>
        <v>2500</v>
      </c>
      <c r="M43" s="61">
        <f t="shared" si="10"/>
        <v>1500</v>
      </c>
      <c r="N43" s="61">
        <f t="shared" si="11"/>
        <v>7000</v>
      </c>
      <c r="O43" s="61">
        <v>10800</v>
      </c>
      <c r="P43" s="61">
        <v>8000</v>
      </c>
      <c r="Q43" s="61">
        <v>0</v>
      </c>
      <c r="R43" s="61">
        <v>0</v>
      </c>
      <c r="S43" s="61">
        <v>0</v>
      </c>
      <c r="T43" s="61">
        <v>6000</v>
      </c>
      <c r="U43" s="61">
        <v>0</v>
      </c>
      <c r="V43" s="61">
        <v>0</v>
      </c>
      <c r="W43" s="61">
        <v>0</v>
      </c>
      <c r="X43" s="61">
        <v>6000</v>
      </c>
      <c r="Y43" s="61">
        <v>0</v>
      </c>
      <c r="Z43" s="61">
        <f t="shared" si="12"/>
        <v>78800</v>
      </c>
      <c r="AA43" s="61">
        <v>78800</v>
      </c>
      <c r="AB43" s="61">
        <f t="shared" si="13"/>
        <v>0</v>
      </c>
    </row>
    <row r="44" spans="1:29" ht="15" x14ac:dyDescent="0.35">
      <c r="A44" s="59" t="s">
        <v>514</v>
      </c>
      <c r="B44" s="59" t="s">
        <v>515</v>
      </c>
      <c r="C44" s="59" t="s">
        <v>54</v>
      </c>
      <c r="D44" s="60">
        <v>0.25</v>
      </c>
      <c r="E44" s="61">
        <v>1500</v>
      </c>
      <c r="F44" s="61">
        <v>23000</v>
      </c>
      <c r="G44" s="61">
        <v>1500</v>
      </c>
      <c r="H44" s="61">
        <v>1000</v>
      </c>
      <c r="I44" s="61">
        <v>2000</v>
      </c>
      <c r="J44" s="61">
        <f t="shared" si="7"/>
        <v>1125</v>
      </c>
      <c r="K44" s="61">
        <f t="shared" si="8"/>
        <v>17250</v>
      </c>
      <c r="L44" s="61">
        <f t="shared" si="9"/>
        <v>1125</v>
      </c>
      <c r="M44" s="61">
        <f t="shared" si="10"/>
        <v>750</v>
      </c>
      <c r="N44" s="61">
        <f t="shared" si="11"/>
        <v>1500</v>
      </c>
      <c r="O44" s="61">
        <v>14400</v>
      </c>
      <c r="P44" s="61">
        <v>5300</v>
      </c>
      <c r="Q44" s="61">
        <v>17500</v>
      </c>
      <c r="R44" s="61">
        <v>4000</v>
      </c>
      <c r="S44" s="61">
        <v>4000</v>
      </c>
      <c r="T44" s="61">
        <v>5000</v>
      </c>
      <c r="U44" s="61">
        <v>0</v>
      </c>
      <c r="V44" s="61">
        <v>0</v>
      </c>
      <c r="W44" s="61">
        <v>0</v>
      </c>
      <c r="X44" s="61">
        <v>0</v>
      </c>
      <c r="Y44" s="61">
        <v>0</v>
      </c>
      <c r="Z44" s="61">
        <f t="shared" si="12"/>
        <v>71950</v>
      </c>
      <c r="AA44" s="61">
        <v>71950</v>
      </c>
      <c r="AB44" s="61">
        <f t="shared" si="13"/>
        <v>0</v>
      </c>
      <c r="AC44" s="43"/>
    </row>
    <row r="45" spans="1:29" ht="15" x14ac:dyDescent="0.35">
      <c r="A45" s="59" t="s">
        <v>514</v>
      </c>
      <c r="B45" s="59" t="s">
        <v>541</v>
      </c>
      <c r="C45" s="59" t="s">
        <v>52</v>
      </c>
      <c r="D45" s="60">
        <v>0.25</v>
      </c>
      <c r="E45" s="61">
        <v>1500</v>
      </c>
      <c r="F45" s="61">
        <v>25000</v>
      </c>
      <c r="G45" s="61">
        <v>2000</v>
      </c>
      <c r="H45" s="61">
        <v>2500</v>
      </c>
      <c r="I45" s="61">
        <v>4000</v>
      </c>
      <c r="J45" s="61">
        <f t="shared" si="7"/>
        <v>1125</v>
      </c>
      <c r="K45" s="61">
        <f t="shared" si="8"/>
        <v>18750</v>
      </c>
      <c r="L45" s="61">
        <f t="shared" si="9"/>
        <v>1500</v>
      </c>
      <c r="M45" s="61">
        <f t="shared" si="10"/>
        <v>1875</v>
      </c>
      <c r="N45" s="61">
        <f t="shared" si="11"/>
        <v>3000</v>
      </c>
      <c r="O45" s="61">
        <v>15065</v>
      </c>
      <c r="P45" s="61">
        <v>10400</v>
      </c>
      <c r="Q45" s="61">
        <v>20000</v>
      </c>
      <c r="R45" s="61">
        <v>4000</v>
      </c>
      <c r="S45" s="61">
        <v>4000</v>
      </c>
      <c r="T45" s="61">
        <v>5000</v>
      </c>
      <c r="U45" s="61">
        <v>0</v>
      </c>
      <c r="V45" s="61">
        <v>0</v>
      </c>
      <c r="W45" s="61">
        <v>0</v>
      </c>
      <c r="X45" s="61">
        <v>0</v>
      </c>
      <c r="Y45" s="61">
        <v>0</v>
      </c>
      <c r="Z45" s="61">
        <f t="shared" si="12"/>
        <v>84715</v>
      </c>
      <c r="AA45" s="61">
        <v>80050</v>
      </c>
      <c r="AB45" s="61">
        <f t="shared" si="13"/>
        <v>4665</v>
      </c>
    </row>
    <row r="46" spans="1:29" ht="15" x14ac:dyDescent="0.35">
      <c r="A46" s="59" t="s">
        <v>72</v>
      </c>
      <c r="B46" s="59" t="s">
        <v>99</v>
      </c>
      <c r="C46" s="59" t="s">
        <v>25</v>
      </c>
      <c r="D46" s="60">
        <v>0</v>
      </c>
      <c r="E46" s="61">
        <v>0</v>
      </c>
      <c r="F46" s="61">
        <v>23000</v>
      </c>
      <c r="G46" s="61">
        <v>1500</v>
      </c>
      <c r="H46" s="61">
        <v>1000</v>
      </c>
      <c r="I46" s="61">
        <v>0</v>
      </c>
      <c r="J46" s="61">
        <f t="shared" si="7"/>
        <v>0</v>
      </c>
      <c r="K46" s="61">
        <f t="shared" si="8"/>
        <v>23000</v>
      </c>
      <c r="L46" s="61">
        <f t="shared" si="9"/>
        <v>1500</v>
      </c>
      <c r="M46" s="61">
        <f t="shared" si="10"/>
        <v>1000</v>
      </c>
      <c r="N46" s="61">
        <f t="shared" si="11"/>
        <v>0</v>
      </c>
      <c r="O46" s="61">
        <v>13200</v>
      </c>
      <c r="P46" s="61">
        <v>5300</v>
      </c>
      <c r="Q46" s="61">
        <v>0</v>
      </c>
      <c r="R46" s="61">
        <v>0</v>
      </c>
      <c r="S46" s="61">
        <v>0</v>
      </c>
      <c r="T46" s="61">
        <v>5000</v>
      </c>
      <c r="U46" s="61">
        <v>0</v>
      </c>
      <c r="V46" s="61">
        <v>0</v>
      </c>
      <c r="W46" s="61">
        <v>0</v>
      </c>
      <c r="X46" s="61">
        <v>0</v>
      </c>
      <c r="Y46" s="61">
        <v>95</v>
      </c>
      <c r="Z46" s="61">
        <f t="shared" si="12"/>
        <v>49095</v>
      </c>
      <c r="AA46" s="61">
        <v>49095</v>
      </c>
      <c r="AB46" s="61">
        <f t="shared" si="13"/>
        <v>0</v>
      </c>
    </row>
    <row r="47" spans="1:29" ht="15" x14ac:dyDescent="0.35">
      <c r="A47" s="59" t="s">
        <v>72</v>
      </c>
      <c r="B47" s="59" t="s">
        <v>85</v>
      </c>
      <c r="C47" s="59" t="s">
        <v>66</v>
      </c>
      <c r="D47" s="60">
        <v>0</v>
      </c>
      <c r="E47" s="61">
        <v>0</v>
      </c>
      <c r="F47" s="61">
        <v>25000</v>
      </c>
      <c r="G47" s="61">
        <v>2000</v>
      </c>
      <c r="H47" s="61">
        <v>0</v>
      </c>
      <c r="I47" s="61">
        <v>4000</v>
      </c>
      <c r="J47" s="61">
        <f t="shared" si="7"/>
        <v>0</v>
      </c>
      <c r="K47" s="61">
        <f t="shared" si="8"/>
        <v>25000</v>
      </c>
      <c r="L47" s="61">
        <f t="shared" si="9"/>
        <v>2000</v>
      </c>
      <c r="M47" s="61">
        <f t="shared" si="10"/>
        <v>0</v>
      </c>
      <c r="N47" s="61">
        <f t="shared" si="11"/>
        <v>4000</v>
      </c>
      <c r="O47" s="61">
        <v>25500</v>
      </c>
      <c r="P47" s="61">
        <v>12000</v>
      </c>
      <c r="Q47" s="61">
        <v>0</v>
      </c>
      <c r="R47" s="61">
        <v>0</v>
      </c>
      <c r="S47" s="61">
        <v>0</v>
      </c>
      <c r="T47" s="61">
        <v>0</v>
      </c>
      <c r="U47" s="61">
        <v>0</v>
      </c>
      <c r="V47" s="61">
        <v>0</v>
      </c>
      <c r="W47" s="61">
        <v>0</v>
      </c>
      <c r="X47" s="61">
        <v>0</v>
      </c>
      <c r="Y47" s="61">
        <v>0</v>
      </c>
      <c r="Z47" s="61">
        <f t="shared" si="12"/>
        <v>68500</v>
      </c>
      <c r="AA47" s="61">
        <v>68500</v>
      </c>
      <c r="AB47" s="61">
        <f t="shared" si="13"/>
        <v>0</v>
      </c>
    </row>
    <row r="48" spans="1:29" ht="15" x14ac:dyDescent="0.35">
      <c r="A48" s="59" t="s">
        <v>86</v>
      </c>
      <c r="B48" s="59" t="s">
        <v>87</v>
      </c>
      <c r="C48" s="59" t="s">
        <v>54</v>
      </c>
      <c r="D48" s="60">
        <v>0</v>
      </c>
      <c r="E48" s="61">
        <v>0</v>
      </c>
      <c r="F48" s="61">
        <v>23000</v>
      </c>
      <c r="G48" s="61">
        <v>1500</v>
      </c>
      <c r="H48" s="61">
        <v>1000</v>
      </c>
      <c r="I48" s="61">
        <v>2000</v>
      </c>
      <c r="J48" s="61">
        <f t="shared" si="7"/>
        <v>0</v>
      </c>
      <c r="K48" s="61">
        <f t="shared" si="8"/>
        <v>23000</v>
      </c>
      <c r="L48" s="61">
        <f t="shared" si="9"/>
        <v>1500</v>
      </c>
      <c r="M48" s="61">
        <f t="shared" si="10"/>
        <v>1000</v>
      </c>
      <c r="N48" s="61">
        <f t="shared" si="11"/>
        <v>2000</v>
      </c>
      <c r="O48" s="61">
        <v>14400</v>
      </c>
      <c r="P48" s="61">
        <v>5300</v>
      </c>
      <c r="Q48" s="61">
        <v>7000</v>
      </c>
      <c r="R48" s="61">
        <v>0</v>
      </c>
      <c r="S48" s="61">
        <v>0</v>
      </c>
      <c r="T48" s="61">
        <v>5000</v>
      </c>
      <c r="U48" s="61">
        <v>0</v>
      </c>
      <c r="V48" s="61">
        <v>0</v>
      </c>
      <c r="W48" s="61">
        <v>0</v>
      </c>
      <c r="X48" s="61">
        <v>6000</v>
      </c>
      <c r="Y48" s="61">
        <v>0</v>
      </c>
      <c r="Z48" s="61">
        <f t="shared" si="12"/>
        <v>65200</v>
      </c>
      <c r="AA48" s="61">
        <v>58200</v>
      </c>
      <c r="AB48" s="61">
        <f t="shared" si="13"/>
        <v>7000</v>
      </c>
    </row>
    <row r="49" spans="1:29" ht="15" x14ac:dyDescent="0.35">
      <c r="A49" s="59" t="s">
        <v>60</v>
      </c>
      <c r="B49" s="59" t="s">
        <v>509</v>
      </c>
      <c r="C49" s="59" t="s">
        <v>30</v>
      </c>
      <c r="D49" s="60">
        <v>0.6</v>
      </c>
      <c r="E49" s="61">
        <v>2500</v>
      </c>
      <c r="F49" s="61">
        <v>29500</v>
      </c>
      <c r="G49" s="61">
        <v>2500</v>
      </c>
      <c r="H49" s="61">
        <v>1500</v>
      </c>
      <c r="I49" s="61">
        <v>5000</v>
      </c>
      <c r="J49" s="61">
        <f t="shared" si="7"/>
        <v>1000</v>
      </c>
      <c r="K49" s="61">
        <f t="shared" si="8"/>
        <v>11800</v>
      </c>
      <c r="L49" s="61">
        <f t="shared" si="9"/>
        <v>1000</v>
      </c>
      <c r="M49" s="61">
        <f t="shared" si="10"/>
        <v>600</v>
      </c>
      <c r="N49" s="61">
        <f t="shared" si="11"/>
        <v>2000</v>
      </c>
      <c r="O49" s="61">
        <v>16500</v>
      </c>
      <c r="P49" s="61">
        <v>25000</v>
      </c>
      <c r="Q49" s="61">
        <v>10000</v>
      </c>
      <c r="R49" s="61">
        <v>6000</v>
      </c>
      <c r="S49" s="61">
        <v>6000</v>
      </c>
      <c r="T49" s="61">
        <v>6000</v>
      </c>
      <c r="U49" s="61">
        <v>0</v>
      </c>
      <c r="V49" s="61">
        <v>0</v>
      </c>
      <c r="W49" s="61">
        <v>0</v>
      </c>
      <c r="X49" s="61">
        <v>0</v>
      </c>
      <c r="Y49" s="61">
        <v>0</v>
      </c>
      <c r="Z49" s="61">
        <f t="shared" si="12"/>
        <v>85900</v>
      </c>
      <c r="AA49" s="61">
        <v>85000</v>
      </c>
      <c r="AB49" s="61">
        <f t="shared" si="13"/>
        <v>900</v>
      </c>
    </row>
    <row r="50" spans="1:29" ht="15" x14ac:dyDescent="0.35">
      <c r="A50" s="59" t="s">
        <v>528</v>
      </c>
      <c r="B50" s="59" t="s">
        <v>529</v>
      </c>
      <c r="C50" s="59" t="s">
        <v>36</v>
      </c>
      <c r="D50" s="60">
        <v>0</v>
      </c>
      <c r="E50" s="61">
        <v>1500</v>
      </c>
      <c r="F50" s="61">
        <v>23000</v>
      </c>
      <c r="G50" s="61">
        <v>1500</v>
      </c>
      <c r="H50" s="61">
        <v>1000</v>
      </c>
      <c r="I50" s="61">
        <v>0</v>
      </c>
      <c r="J50" s="61">
        <f t="shared" si="7"/>
        <v>1500</v>
      </c>
      <c r="K50" s="61">
        <f t="shared" si="8"/>
        <v>23000</v>
      </c>
      <c r="L50" s="61">
        <f t="shared" si="9"/>
        <v>1500</v>
      </c>
      <c r="M50" s="61">
        <f t="shared" si="10"/>
        <v>1000</v>
      </c>
      <c r="N50" s="61">
        <f t="shared" si="11"/>
        <v>0</v>
      </c>
      <c r="O50" s="61">
        <v>12500</v>
      </c>
      <c r="P50" s="61">
        <v>3800</v>
      </c>
      <c r="Q50" s="61">
        <v>14000</v>
      </c>
      <c r="R50" s="61">
        <v>4000</v>
      </c>
      <c r="S50" s="61">
        <v>4000</v>
      </c>
      <c r="T50" s="61">
        <v>0</v>
      </c>
      <c r="U50" s="61">
        <v>0</v>
      </c>
      <c r="V50" s="61">
        <v>0</v>
      </c>
      <c r="W50" s="61">
        <v>0</v>
      </c>
      <c r="X50" s="61">
        <v>0</v>
      </c>
      <c r="Y50" s="61">
        <v>0</v>
      </c>
      <c r="Z50" s="61">
        <f t="shared" si="12"/>
        <v>65300</v>
      </c>
      <c r="AA50" s="61">
        <v>65300</v>
      </c>
      <c r="AB50" s="61">
        <f t="shared" si="13"/>
        <v>0</v>
      </c>
      <c r="AC50" s="39"/>
    </row>
    <row r="51" spans="1:29" ht="15" x14ac:dyDescent="0.35">
      <c r="A51" s="59" t="s">
        <v>516</v>
      </c>
      <c r="B51" s="59" t="s">
        <v>517</v>
      </c>
      <c r="C51" s="59" t="s">
        <v>54</v>
      </c>
      <c r="D51" s="60">
        <v>0</v>
      </c>
      <c r="E51" s="61">
        <v>1500</v>
      </c>
      <c r="F51" s="61">
        <v>23000</v>
      </c>
      <c r="G51" s="61">
        <v>1500</v>
      </c>
      <c r="H51" s="61">
        <v>1000</v>
      </c>
      <c r="I51" s="61">
        <v>2000</v>
      </c>
      <c r="J51" s="61">
        <f t="shared" si="7"/>
        <v>1500</v>
      </c>
      <c r="K51" s="61">
        <f t="shared" si="8"/>
        <v>23000</v>
      </c>
      <c r="L51" s="61">
        <f t="shared" si="9"/>
        <v>1500</v>
      </c>
      <c r="M51" s="61">
        <f t="shared" si="10"/>
        <v>1000</v>
      </c>
      <c r="N51" s="61">
        <f t="shared" si="11"/>
        <v>2000</v>
      </c>
      <c r="O51" s="61">
        <v>14400</v>
      </c>
      <c r="P51" s="61">
        <v>5300</v>
      </c>
      <c r="Q51" s="61">
        <v>14000</v>
      </c>
      <c r="R51" s="61">
        <v>4000</v>
      </c>
      <c r="S51" s="61">
        <v>4000</v>
      </c>
      <c r="T51" s="61">
        <v>0</v>
      </c>
      <c r="U51" s="61">
        <v>0</v>
      </c>
      <c r="V51" s="61">
        <v>0</v>
      </c>
      <c r="W51" s="61">
        <v>0</v>
      </c>
      <c r="X51" s="61">
        <v>0</v>
      </c>
      <c r="Y51" s="61">
        <v>0</v>
      </c>
      <c r="Z51" s="61">
        <f t="shared" si="12"/>
        <v>70700</v>
      </c>
      <c r="AA51" s="61">
        <v>63000</v>
      </c>
      <c r="AB51" s="61">
        <f t="shared" si="13"/>
        <v>7700</v>
      </c>
    </row>
    <row r="52" spans="1:29" ht="15" x14ac:dyDescent="0.35">
      <c r="A52" s="59" t="s">
        <v>542</v>
      </c>
      <c r="B52" s="59" t="s">
        <v>543</v>
      </c>
      <c r="C52" s="59" t="s">
        <v>52</v>
      </c>
      <c r="D52" s="60">
        <v>0</v>
      </c>
      <c r="E52" s="61">
        <v>1500</v>
      </c>
      <c r="F52" s="61">
        <v>25000</v>
      </c>
      <c r="G52" s="61">
        <v>2000</v>
      </c>
      <c r="H52" s="61">
        <v>2500</v>
      </c>
      <c r="I52" s="61">
        <v>4000</v>
      </c>
      <c r="J52" s="61">
        <f t="shared" si="7"/>
        <v>1500</v>
      </c>
      <c r="K52" s="61">
        <f t="shared" si="8"/>
        <v>25000</v>
      </c>
      <c r="L52" s="61">
        <f t="shared" si="9"/>
        <v>2000</v>
      </c>
      <c r="M52" s="61">
        <f t="shared" si="10"/>
        <v>2500</v>
      </c>
      <c r="N52" s="61">
        <f t="shared" si="11"/>
        <v>4000</v>
      </c>
      <c r="O52" s="61">
        <v>24400</v>
      </c>
      <c r="P52" s="61">
        <v>10400</v>
      </c>
      <c r="Q52" s="61">
        <v>16000</v>
      </c>
      <c r="R52" s="61">
        <v>4000</v>
      </c>
      <c r="S52" s="61">
        <v>4000</v>
      </c>
      <c r="T52" s="61">
        <v>5000</v>
      </c>
      <c r="U52" s="61">
        <v>0</v>
      </c>
      <c r="V52" s="61">
        <v>0</v>
      </c>
      <c r="W52" s="61">
        <v>0</v>
      </c>
      <c r="X52" s="61">
        <v>0</v>
      </c>
      <c r="Y52" s="61">
        <v>0</v>
      </c>
      <c r="Z52" s="61">
        <f t="shared" si="12"/>
        <v>98800</v>
      </c>
      <c r="AA52" s="61">
        <v>80000</v>
      </c>
      <c r="AB52" s="61">
        <f t="shared" si="13"/>
        <v>18800</v>
      </c>
    </row>
    <row r="53" spans="1:29" ht="15" x14ac:dyDescent="0.35">
      <c r="A53" s="59" t="s">
        <v>510</v>
      </c>
      <c r="B53" s="59" t="s">
        <v>511</v>
      </c>
      <c r="C53" s="59" t="s">
        <v>30</v>
      </c>
      <c r="D53" s="60">
        <v>0.5</v>
      </c>
      <c r="E53" s="61">
        <v>2500</v>
      </c>
      <c r="F53" s="61">
        <v>29500</v>
      </c>
      <c r="G53" s="61">
        <v>2500</v>
      </c>
      <c r="H53" s="61">
        <v>1500</v>
      </c>
      <c r="I53" s="61">
        <v>5000</v>
      </c>
      <c r="J53" s="61">
        <f t="shared" si="7"/>
        <v>1250</v>
      </c>
      <c r="K53" s="61">
        <f t="shared" si="8"/>
        <v>14750</v>
      </c>
      <c r="L53" s="61">
        <f t="shared" si="9"/>
        <v>1250</v>
      </c>
      <c r="M53" s="61">
        <f t="shared" si="10"/>
        <v>750</v>
      </c>
      <c r="N53" s="61">
        <f t="shared" si="11"/>
        <v>2500</v>
      </c>
      <c r="O53" s="61">
        <v>16500</v>
      </c>
      <c r="P53" s="61">
        <v>25000</v>
      </c>
      <c r="Q53" s="61">
        <v>10000</v>
      </c>
      <c r="R53" s="61">
        <v>6000</v>
      </c>
      <c r="S53" s="61">
        <v>6000</v>
      </c>
      <c r="T53" s="61">
        <v>0</v>
      </c>
      <c r="U53" s="61">
        <v>0</v>
      </c>
      <c r="V53" s="61">
        <v>0</v>
      </c>
      <c r="W53" s="61">
        <v>0</v>
      </c>
      <c r="X53" s="61">
        <v>0</v>
      </c>
      <c r="Y53" s="61">
        <v>0</v>
      </c>
      <c r="Z53" s="61">
        <f t="shared" si="12"/>
        <v>84000</v>
      </c>
      <c r="AA53" s="61">
        <v>84000</v>
      </c>
      <c r="AB53" s="61">
        <f t="shared" si="13"/>
        <v>0</v>
      </c>
    </row>
    <row r="54" spans="1:29" ht="15" x14ac:dyDescent="0.35">
      <c r="A54" s="59" t="s">
        <v>510</v>
      </c>
      <c r="B54" s="59" t="s">
        <v>546</v>
      </c>
      <c r="C54" s="59" t="s">
        <v>28</v>
      </c>
      <c r="D54" s="60">
        <v>0.25</v>
      </c>
      <c r="E54" s="61">
        <v>1500</v>
      </c>
      <c r="F54" s="61">
        <v>25000</v>
      </c>
      <c r="G54" s="61">
        <v>2000</v>
      </c>
      <c r="H54" s="61">
        <v>2500</v>
      </c>
      <c r="I54" s="61">
        <v>4000</v>
      </c>
      <c r="J54" s="61">
        <f t="shared" si="7"/>
        <v>1125</v>
      </c>
      <c r="K54" s="61">
        <f t="shared" si="8"/>
        <v>18750</v>
      </c>
      <c r="L54" s="61">
        <f t="shared" si="9"/>
        <v>1500</v>
      </c>
      <c r="M54" s="61">
        <f t="shared" si="10"/>
        <v>1875</v>
      </c>
      <c r="N54" s="61">
        <f t="shared" si="11"/>
        <v>3000</v>
      </c>
      <c r="O54" s="61">
        <v>24400</v>
      </c>
      <c r="P54" s="61">
        <v>10400</v>
      </c>
      <c r="Q54" s="61">
        <v>16000</v>
      </c>
      <c r="R54" s="61">
        <v>4000</v>
      </c>
      <c r="S54" s="61">
        <v>4000</v>
      </c>
      <c r="T54" s="61">
        <v>0</v>
      </c>
      <c r="U54" s="61">
        <v>0</v>
      </c>
      <c r="V54" s="61">
        <v>0</v>
      </c>
      <c r="W54" s="61">
        <v>0</v>
      </c>
      <c r="X54" s="61">
        <v>0</v>
      </c>
      <c r="Y54" s="61">
        <v>0</v>
      </c>
      <c r="Z54" s="61">
        <f t="shared" si="12"/>
        <v>85050</v>
      </c>
      <c r="AA54" s="61">
        <v>85050</v>
      </c>
      <c r="AB54" s="61">
        <f t="shared" si="13"/>
        <v>0</v>
      </c>
    </row>
    <row r="55" spans="1:29" ht="15" x14ac:dyDescent="0.35">
      <c r="A55" s="59" t="s">
        <v>547</v>
      </c>
      <c r="B55" s="59" t="s">
        <v>548</v>
      </c>
      <c r="C55" s="59" t="s">
        <v>28</v>
      </c>
      <c r="D55" s="60">
        <v>0.25</v>
      </c>
      <c r="E55" s="61">
        <v>1500</v>
      </c>
      <c r="F55" s="61">
        <v>25000</v>
      </c>
      <c r="G55" s="61">
        <v>2000</v>
      </c>
      <c r="H55" s="61">
        <v>2500</v>
      </c>
      <c r="I55" s="61">
        <v>4000</v>
      </c>
      <c r="J55" s="61">
        <f t="shared" si="7"/>
        <v>1125</v>
      </c>
      <c r="K55" s="61">
        <f t="shared" si="8"/>
        <v>18750</v>
      </c>
      <c r="L55" s="61">
        <f t="shared" si="9"/>
        <v>1500</v>
      </c>
      <c r="M55" s="61">
        <f t="shared" si="10"/>
        <v>1875</v>
      </c>
      <c r="N55" s="61">
        <f t="shared" si="11"/>
        <v>3000</v>
      </c>
      <c r="O55" s="61">
        <v>24400</v>
      </c>
      <c r="P55" s="61">
        <v>10400</v>
      </c>
      <c r="Q55" s="61">
        <v>16000</v>
      </c>
      <c r="R55" s="61">
        <v>4000</v>
      </c>
      <c r="S55" s="61">
        <v>4000</v>
      </c>
      <c r="T55" s="61">
        <v>5000</v>
      </c>
      <c r="U55" s="61">
        <v>0</v>
      </c>
      <c r="V55" s="61">
        <v>0</v>
      </c>
      <c r="W55" s="61">
        <v>0</v>
      </c>
      <c r="X55" s="61">
        <v>0</v>
      </c>
      <c r="Y55" s="61">
        <v>0</v>
      </c>
      <c r="Z55" s="61">
        <f t="shared" si="12"/>
        <v>90050</v>
      </c>
      <c r="AA55" s="61">
        <v>92175</v>
      </c>
      <c r="AB55" s="61">
        <f t="shared" si="13"/>
        <v>-2125</v>
      </c>
    </row>
    <row r="56" spans="1:29" ht="15" x14ac:dyDescent="0.35">
      <c r="A56" s="59" t="s">
        <v>88</v>
      </c>
      <c r="B56" s="59" t="s">
        <v>89</v>
      </c>
      <c r="C56" s="59" t="s">
        <v>54</v>
      </c>
      <c r="D56" s="60">
        <v>0.25</v>
      </c>
      <c r="E56" s="61">
        <v>0</v>
      </c>
      <c r="F56" s="61">
        <v>23000</v>
      </c>
      <c r="G56" s="61">
        <v>1500</v>
      </c>
      <c r="H56" s="61">
        <v>1000</v>
      </c>
      <c r="I56" s="61">
        <v>2000</v>
      </c>
      <c r="J56" s="61">
        <f t="shared" si="7"/>
        <v>0</v>
      </c>
      <c r="K56" s="61">
        <f t="shared" si="8"/>
        <v>17250</v>
      </c>
      <c r="L56" s="61">
        <f t="shared" si="9"/>
        <v>1125</v>
      </c>
      <c r="M56" s="61">
        <f t="shared" si="10"/>
        <v>750</v>
      </c>
      <c r="N56" s="61">
        <f t="shared" si="11"/>
        <v>1500</v>
      </c>
      <c r="O56" s="61">
        <v>14400</v>
      </c>
      <c r="P56" s="61">
        <v>5300</v>
      </c>
      <c r="Q56" s="61">
        <v>0</v>
      </c>
      <c r="R56" s="61">
        <v>0</v>
      </c>
      <c r="S56" s="61">
        <v>0</v>
      </c>
      <c r="T56" s="61">
        <v>5000</v>
      </c>
      <c r="U56" s="61">
        <v>0</v>
      </c>
      <c r="V56" s="61">
        <v>0</v>
      </c>
      <c r="W56" s="61">
        <v>0</v>
      </c>
      <c r="X56" s="61">
        <v>0</v>
      </c>
      <c r="Y56" s="61">
        <v>0</v>
      </c>
      <c r="Z56" s="61">
        <f t="shared" si="12"/>
        <v>45325</v>
      </c>
      <c r="AA56" s="61">
        <v>45400</v>
      </c>
      <c r="AB56" s="61">
        <f t="shared" si="13"/>
        <v>-75</v>
      </c>
    </row>
    <row r="57" spans="1:29" ht="15" x14ac:dyDescent="0.35">
      <c r="A57" s="59" t="s">
        <v>539</v>
      </c>
      <c r="B57" s="59" t="s">
        <v>540</v>
      </c>
      <c r="C57" s="59" t="s">
        <v>25</v>
      </c>
      <c r="D57" s="60">
        <v>0</v>
      </c>
      <c r="E57" s="61">
        <v>1500</v>
      </c>
      <c r="F57" s="61">
        <v>23000</v>
      </c>
      <c r="G57" s="61">
        <v>1500</v>
      </c>
      <c r="H57" s="61">
        <v>1000</v>
      </c>
      <c r="I57" s="61">
        <v>0</v>
      </c>
      <c r="J57" s="61">
        <f t="shared" si="7"/>
        <v>1500</v>
      </c>
      <c r="K57" s="61">
        <f t="shared" si="8"/>
        <v>23000</v>
      </c>
      <c r="L57" s="61">
        <f t="shared" si="9"/>
        <v>1500</v>
      </c>
      <c r="M57" s="61">
        <f t="shared" si="10"/>
        <v>1000</v>
      </c>
      <c r="N57" s="61">
        <f t="shared" si="11"/>
        <v>0</v>
      </c>
      <c r="O57" s="61">
        <v>13200</v>
      </c>
      <c r="P57" s="61">
        <v>5300</v>
      </c>
      <c r="Q57" s="61">
        <v>14000</v>
      </c>
      <c r="R57" s="61">
        <v>4000</v>
      </c>
      <c r="S57" s="61">
        <v>4000</v>
      </c>
      <c r="T57" s="61">
        <v>0</v>
      </c>
      <c r="U57" s="61">
        <v>0</v>
      </c>
      <c r="V57" s="61">
        <v>0</v>
      </c>
      <c r="W57" s="61">
        <v>0</v>
      </c>
      <c r="X57" s="61">
        <v>0</v>
      </c>
      <c r="Y57" s="61">
        <v>0</v>
      </c>
      <c r="Z57" s="61">
        <f t="shared" si="12"/>
        <v>67500</v>
      </c>
      <c r="AA57" s="61">
        <v>67500</v>
      </c>
      <c r="AB57" s="61">
        <f t="shared" si="13"/>
        <v>0</v>
      </c>
    </row>
    <row r="58" spans="1:29" ht="15" x14ac:dyDescent="0.35">
      <c r="A58" s="59" t="s">
        <v>91</v>
      </c>
      <c r="B58" s="59" t="s">
        <v>92</v>
      </c>
      <c r="C58" s="59" t="s">
        <v>66</v>
      </c>
      <c r="D58" s="60">
        <v>0.25</v>
      </c>
      <c r="E58" s="61">
        <v>0</v>
      </c>
      <c r="F58" s="61">
        <v>25000</v>
      </c>
      <c r="G58" s="61">
        <v>2000</v>
      </c>
      <c r="H58" s="61">
        <v>0</v>
      </c>
      <c r="I58" s="61">
        <v>4000</v>
      </c>
      <c r="J58" s="61">
        <f t="shared" si="7"/>
        <v>0</v>
      </c>
      <c r="K58" s="61">
        <f t="shared" si="8"/>
        <v>18750</v>
      </c>
      <c r="L58" s="61">
        <f t="shared" si="9"/>
        <v>1500</v>
      </c>
      <c r="M58" s="61">
        <f t="shared" si="10"/>
        <v>0</v>
      </c>
      <c r="N58" s="61">
        <f t="shared" si="11"/>
        <v>3000</v>
      </c>
      <c r="O58" s="61">
        <v>25500</v>
      </c>
      <c r="P58" s="61">
        <v>12000</v>
      </c>
      <c r="Q58" s="61">
        <v>0</v>
      </c>
      <c r="R58" s="61">
        <v>0</v>
      </c>
      <c r="S58" s="61">
        <v>0</v>
      </c>
      <c r="T58" s="61">
        <v>5000</v>
      </c>
      <c r="U58" s="61">
        <v>0</v>
      </c>
      <c r="V58" s="61">
        <v>0</v>
      </c>
      <c r="W58" s="61">
        <v>0</v>
      </c>
      <c r="X58" s="61">
        <v>0</v>
      </c>
      <c r="Y58" s="61">
        <v>6910</v>
      </c>
      <c r="Z58" s="61">
        <f t="shared" si="12"/>
        <v>72660</v>
      </c>
      <c r="AA58" s="61">
        <v>57000</v>
      </c>
      <c r="AB58" s="61">
        <f t="shared" si="13"/>
        <v>15660</v>
      </c>
    </row>
    <row r="59" spans="1:29" ht="15" x14ac:dyDescent="0.35">
      <c r="A59" s="59" t="s">
        <v>93</v>
      </c>
      <c r="B59" s="59" t="s">
        <v>396</v>
      </c>
      <c r="C59" s="59" t="s">
        <v>107</v>
      </c>
      <c r="D59" s="60">
        <v>1</v>
      </c>
      <c r="E59" s="61">
        <v>0</v>
      </c>
      <c r="F59" s="61">
        <v>29500</v>
      </c>
      <c r="G59" s="61">
        <v>2500</v>
      </c>
      <c r="H59" s="61">
        <v>1500</v>
      </c>
      <c r="I59" s="61">
        <v>5000</v>
      </c>
      <c r="J59" s="61">
        <f t="shared" si="7"/>
        <v>0</v>
      </c>
      <c r="K59" s="61">
        <f t="shared" si="8"/>
        <v>0</v>
      </c>
      <c r="L59" s="61">
        <f t="shared" si="9"/>
        <v>0</v>
      </c>
      <c r="M59" s="61">
        <f t="shared" si="10"/>
        <v>0</v>
      </c>
      <c r="N59" s="61">
        <f t="shared" si="11"/>
        <v>0</v>
      </c>
      <c r="O59" s="61">
        <v>0</v>
      </c>
      <c r="P59" s="61">
        <v>0</v>
      </c>
      <c r="Q59" s="61">
        <v>5000</v>
      </c>
      <c r="R59" s="61">
        <v>0</v>
      </c>
      <c r="S59" s="61">
        <v>0</v>
      </c>
      <c r="T59" s="61">
        <v>0</v>
      </c>
      <c r="U59" s="61">
        <v>0</v>
      </c>
      <c r="V59" s="61">
        <v>0</v>
      </c>
      <c r="W59" s="61">
        <v>0</v>
      </c>
      <c r="X59" s="61">
        <v>0</v>
      </c>
      <c r="Y59" s="61">
        <v>5750</v>
      </c>
      <c r="Z59" s="61">
        <f t="shared" si="12"/>
        <v>10750</v>
      </c>
      <c r="AA59" s="61">
        <v>10750</v>
      </c>
      <c r="AB59" s="61">
        <f t="shared" si="13"/>
        <v>0</v>
      </c>
    </row>
    <row r="60" spans="1:29" ht="15" x14ac:dyDescent="0.35">
      <c r="A60" s="59" t="s">
        <v>93</v>
      </c>
      <c r="B60" s="59" t="s">
        <v>397</v>
      </c>
      <c r="C60" s="59" t="s">
        <v>52</v>
      </c>
      <c r="D60" s="60">
        <v>0.25</v>
      </c>
      <c r="E60" s="61">
        <v>0</v>
      </c>
      <c r="F60" s="61">
        <v>25000</v>
      </c>
      <c r="G60" s="61">
        <v>2000</v>
      </c>
      <c r="H60" s="61">
        <v>2500</v>
      </c>
      <c r="I60" s="61">
        <v>4000</v>
      </c>
      <c r="J60" s="61">
        <f t="shared" si="7"/>
        <v>0</v>
      </c>
      <c r="K60" s="61">
        <f t="shared" si="8"/>
        <v>18750</v>
      </c>
      <c r="L60" s="61">
        <f t="shared" si="9"/>
        <v>1500</v>
      </c>
      <c r="M60" s="61">
        <f t="shared" si="10"/>
        <v>1875</v>
      </c>
      <c r="N60" s="61">
        <f t="shared" si="11"/>
        <v>3000</v>
      </c>
      <c r="O60" s="61">
        <v>24400</v>
      </c>
      <c r="P60" s="61">
        <v>10400</v>
      </c>
      <c r="Q60" s="61">
        <v>8000</v>
      </c>
      <c r="R60" s="61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1">
        <v>0</v>
      </c>
      <c r="Y60" s="61">
        <v>14230</v>
      </c>
      <c r="Z60" s="61">
        <f t="shared" si="12"/>
        <v>82155</v>
      </c>
      <c r="AA60" s="61">
        <v>82155</v>
      </c>
      <c r="AB60" s="61">
        <f t="shared" si="13"/>
        <v>0</v>
      </c>
    </row>
    <row r="61" spans="1:29" ht="15" x14ac:dyDescent="0.35">
      <c r="A61" s="59" t="s">
        <v>93</v>
      </c>
      <c r="B61" s="59" t="s">
        <v>398</v>
      </c>
      <c r="C61" s="59" t="s">
        <v>127</v>
      </c>
      <c r="D61" s="60">
        <v>0.25</v>
      </c>
      <c r="E61" s="61">
        <v>0</v>
      </c>
      <c r="F61" s="61">
        <v>25000</v>
      </c>
      <c r="G61" s="61">
        <v>2000</v>
      </c>
      <c r="H61" s="61">
        <v>0</v>
      </c>
      <c r="I61" s="61">
        <v>4000</v>
      </c>
      <c r="J61" s="61">
        <f t="shared" si="7"/>
        <v>0</v>
      </c>
      <c r="K61" s="61">
        <f t="shared" si="8"/>
        <v>18750</v>
      </c>
      <c r="L61" s="61">
        <f t="shared" si="9"/>
        <v>1500</v>
      </c>
      <c r="M61" s="61">
        <f t="shared" si="10"/>
        <v>0</v>
      </c>
      <c r="N61" s="61">
        <f t="shared" si="11"/>
        <v>3000</v>
      </c>
      <c r="O61" s="61">
        <v>25900</v>
      </c>
      <c r="P61" s="61">
        <v>12000</v>
      </c>
      <c r="Q61" s="61">
        <v>0</v>
      </c>
      <c r="R61" s="61">
        <v>0</v>
      </c>
      <c r="S61" s="61">
        <v>0</v>
      </c>
      <c r="T61" s="61">
        <v>0</v>
      </c>
      <c r="U61" s="61">
        <v>0</v>
      </c>
      <c r="V61" s="61">
        <v>0</v>
      </c>
      <c r="W61" s="61">
        <v>0</v>
      </c>
      <c r="X61" s="61">
        <v>0</v>
      </c>
      <c r="Y61" s="61">
        <v>11750</v>
      </c>
      <c r="Z61" s="61">
        <f t="shared" si="12"/>
        <v>72900</v>
      </c>
      <c r="AA61" s="61">
        <v>64095</v>
      </c>
      <c r="AB61" s="61">
        <f t="shared" si="13"/>
        <v>8805</v>
      </c>
    </row>
    <row r="62" spans="1:29" ht="15" x14ac:dyDescent="0.35">
      <c r="A62" s="59" t="s">
        <v>100</v>
      </c>
      <c r="B62" s="59" t="s">
        <v>101</v>
      </c>
      <c r="C62" s="59" t="s">
        <v>36</v>
      </c>
      <c r="D62" s="60">
        <v>0</v>
      </c>
      <c r="E62" s="61">
        <v>0</v>
      </c>
      <c r="F62" s="61">
        <v>23000</v>
      </c>
      <c r="G62" s="61">
        <v>1500</v>
      </c>
      <c r="H62" s="61">
        <v>1000</v>
      </c>
      <c r="I62" s="61">
        <v>0</v>
      </c>
      <c r="J62" s="61">
        <f t="shared" si="7"/>
        <v>0</v>
      </c>
      <c r="K62" s="61">
        <f t="shared" si="8"/>
        <v>23000</v>
      </c>
      <c r="L62" s="61">
        <f t="shared" si="9"/>
        <v>1500</v>
      </c>
      <c r="M62" s="61">
        <f t="shared" si="10"/>
        <v>1000</v>
      </c>
      <c r="N62" s="61">
        <f t="shared" si="11"/>
        <v>0</v>
      </c>
      <c r="O62" s="61">
        <f>12500-1380</f>
        <v>11120</v>
      </c>
      <c r="P62" s="61">
        <v>3800</v>
      </c>
      <c r="Q62" s="61">
        <v>7000</v>
      </c>
      <c r="R62" s="61">
        <v>4000</v>
      </c>
      <c r="S62" s="61">
        <v>4000</v>
      </c>
      <c r="T62" s="61">
        <v>0</v>
      </c>
      <c r="U62" s="61">
        <v>0</v>
      </c>
      <c r="V62" s="61">
        <v>0</v>
      </c>
      <c r="W62" s="61">
        <v>0</v>
      </c>
      <c r="X62" s="61">
        <v>0</v>
      </c>
      <c r="Y62" s="61">
        <v>6000</v>
      </c>
      <c r="Z62" s="61">
        <f t="shared" si="12"/>
        <v>61420</v>
      </c>
      <c r="AA62" s="61">
        <v>57000</v>
      </c>
      <c r="AB62" s="61">
        <f t="shared" si="13"/>
        <v>4420</v>
      </c>
    </row>
    <row r="63" spans="1:29" ht="15" x14ac:dyDescent="0.35">
      <c r="A63" s="59" t="s">
        <v>488</v>
      </c>
      <c r="B63" s="59" t="s">
        <v>489</v>
      </c>
      <c r="C63" s="59" t="s">
        <v>71</v>
      </c>
      <c r="D63" s="60">
        <v>0</v>
      </c>
      <c r="E63" s="61">
        <v>1500</v>
      </c>
      <c r="F63" s="61">
        <v>23000</v>
      </c>
      <c r="G63" s="61">
        <v>1000</v>
      </c>
      <c r="H63" s="61">
        <v>1000</v>
      </c>
      <c r="I63" s="61">
        <v>0</v>
      </c>
      <c r="J63" s="61">
        <f t="shared" si="7"/>
        <v>1500</v>
      </c>
      <c r="K63" s="61">
        <f t="shared" si="8"/>
        <v>23000</v>
      </c>
      <c r="L63" s="61">
        <f t="shared" si="9"/>
        <v>1000</v>
      </c>
      <c r="M63" s="61">
        <f t="shared" si="10"/>
        <v>1000</v>
      </c>
      <c r="N63" s="61">
        <f t="shared" si="11"/>
        <v>0</v>
      </c>
      <c r="O63" s="61">
        <v>0</v>
      </c>
      <c r="P63" s="61">
        <v>2400</v>
      </c>
      <c r="Q63" s="61">
        <v>14000</v>
      </c>
      <c r="R63" s="61">
        <v>4000</v>
      </c>
      <c r="S63" s="61">
        <v>4000</v>
      </c>
      <c r="T63" s="61">
        <v>0</v>
      </c>
      <c r="U63" s="61">
        <v>0</v>
      </c>
      <c r="V63" s="61">
        <v>0</v>
      </c>
      <c r="W63" s="61">
        <v>0</v>
      </c>
      <c r="X63" s="61">
        <v>0</v>
      </c>
      <c r="Y63" s="61">
        <v>0</v>
      </c>
      <c r="Z63" s="61">
        <f t="shared" si="12"/>
        <v>50900</v>
      </c>
      <c r="AA63" s="61">
        <v>50900</v>
      </c>
      <c r="AB63" s="61">
        <f t="shared" si="13"/>
        <v>0</v>
      </c>
    </row>
    <row r="64" spans="1:29" ht="15" x14ac:dyDescent="0.35">
      <c r="A64" s="59" t="s">
        <v>102</v>
      </c>
      <c r="B64" s="59" t="s">
        <v>103</v>
      </c>
      <c r="C64" s="59" t="s">
        <v>34</v>
      </c>
      <c r="D64" s="60">
        <v>0.25</v>
      </c>
      <c r="E64" s="61">
        <v>0</v>
      </c>
      <c r="F64" s="61">
        <v>23000</v>
      </c>
      <c r="G64" s="61">
        <v>1500</v>
      </c>
      <c r="H64" s="61">
        <v>1000</v>
      </c>
      <c r="I64" s="61">
        <v>2000</v>
      </c>
      <c r="J64" s="61">
        <f t="shared" si="7"/>
        <v>0</v>
      </c>
      <c r="K64" s="61">
        <f t="shared" si="8"/>
        <v>17250</v>
      </c>
      <c r="L64" s="61">
        <f t="shared" si="9"/>
        <v>1125</v>
      </c>
      <c r="M64" s="61">
        <f t="shared" si="10"/>
        <v>750</v>
      </c>
      <c r="N64" s="61">
        <f t="shared" si="11"/>
        <v>1500</v>
      </c>
      <c r="O64" s="61">
        <v>23600</v>
      </c>
      <c r="P64" s="61">
        <v>9800</v>
      </c>
      <c r="Q64" s="61">
        <v>0</v>
      </c>
      <c r="R64" s="61">
        <v>0</v>
      </c>
      <c r="S64" s="61">
        <v>0</v>
      </c>
      <c r="T64" s="61">
        <v>0</v>
      </c>
      <c r="U64" s="61">
        <v>0</v>
      </c>
      <c r="V64" s="61">
        <v>0</v>
      </c>
      <c r="W64" s="61">
        <v>0</v>
      </c>
      <c r="X64" s="61">
        <v>0</v>
      </c>
      <c r="Y64" s="61">
        <v>25015</v>
      </c>
      <c r="Z64" s="61">
        <f t="shared" si="12"/>
        <v>79040</v>
      </c>
      <c r="AA64" s="61">
        <v>30000</v>
      </c>
      <c r="AB64" s="61">
        <f t="shared" si="13"/>
        <v>49040</v>
      </c>
    </row>
    <row r="65" spans="1:28" ht="15" x14ac:dyDescent="0.35">
      <c r="A65" s="59" t="s">
        <v>102</v>
      </c>
      <c r="B65" s="59" t="s">
        <v>104</v>
      </c>
      <c r="C65" s="59" t="s">
        <v>25</v>
      </c>
      <c r="D65" s="60">
        <v>0.25</v>
      </c>
      <c r="E65" s="61">
        <v>0</v>
      </c>
      <c r="F65" s="61">
        <v>23000</v>
      </c>
      <c r="G65" s="61">
        <v>1500</v>
      </c>
      <c r="H65" s="61">
        <v>1000</v>
      </c>
      <c r="I65" s="61">
        <v>0</v>
      </c>
      <c r="J65" s="61">
        <f t="shared" si="7"/>
        <v>0</v>
      </c>
      <c r="K65" s="61">
        <f t="shared" si="8"/>
        <v>17250</v>
      </c>
      <c r="L65" s="61">
        <f t="shared" si="9"/>
        <v>1125</v>
      </c>
      <c r="M65" s="61">
        <f t="shared" si="10"/>
        <v>750</v>
      </c>
      <c r="N65" s="61">
        <f t="shared" si="11"/>
        <v>0</v>
      </c>
      <c r="O65" s="61">
        <v>13200</v>
      </c>
      <c r="P65" s="61">
        <v>5300</v>
      </c>
      <c r="Q65" s="61">
        <v>0</v>
      </c>
      <c r="R65" s="61">
        <v>0</v>
      </c>
      <c r="S65" s="61">
        <v>0</v>
      </c>
      <c r="T65" s="61">
        <v>0</v>
      </c>
      <c r="U65" s="61">
        <v>0</v>
      </c>
      <c r="V65" s="61">
        <v>0</v>
      </c>
      <c r="W65" s="61">
        <v>0</v>
      </c>
      <c r="X65" s="61">
        <v>0</v>
      </c>
      <c r="Y65" s="61">
        <v>19950</v>
      </c>
      <c r="Z65" s="61">
        <f t="shared" si="12"/>
        <v>57575</v>
      </c>
      <c r="AA65" s="61">
        <v>30000</v>
      </c>
      <c r="AB65" s="61">
        <f t="shared" si="13"/>
        <v>27575</v>
      </c>
    </row>
    <row r="66" spans="1:28" ht="15" x14ac:dyDescent="0.35">
      <c r="A66" s="59" t="s">
        <v>105</v>
      </c>
      <c r="B66" s="59" t="s">
        <v>400</v>
      </c>
      <c r="C66" s="59" t="s">
        <v>80</v>
      </c>
      <c r="D66" s="60">
        <v>0.25</v>
      </c>
      <c r="E66" s="61">
        <v>0</v>
      </c>
      <c r="F66" s="61">
        <v>37000</v>
      </c>
      <c r="G66" s="61">
        <v>2500</v>
      </c>
      <c r="H66" s="61">
        <v>1500</v>
      </c>
      <c r="I66" s="61">
        <v>7000</v>
      </c>
      <c r="J66" s="61">
        <f t="shared" ref="J66:J97" si="14">(1-$D66)*E66</f>
        <v>0</v>
      </c>
      <c r="K66" s="61">
        <f t="shared" ref="K66:K97" si="15">(1-$D66)*F66</f>
        <v>27750</v>
      </c>
      <c r="L66" s="61">
        <f t="shared" ref="L66:L97" si="16">(1-$D66)*G66</f>
        <v>1875</v>
      </c>
      <c r="M66" s="61">
        <f t="shared" ref="M66:M97" si="17">(1-$D66)*H66</f>
        <v>1125</v>
      </c>
      <c r="N66" s="61">
        <f t="shared" ref="N66:N97" si="18">(1-$D66)*I66</f>
        <v>5250</v>
      </c>
      <c r="O66" s="61">
        <v>10800</v>
      </c>
      <c r="P66" s="61">
        <v>23300</v>
      </c>
      <c r="Q66" s="61">
        <v>15000</v>
      </c>
      <c r="R66" s="61">
        <v>0</v>
      </c>
      <c r="S66" s="61">
        <v>0</v>
      </c>
      <c r="T66" s="61">
        <v>6000</v>
      </c>
      <c r="U66" s="61">
        <v>0</v>
      </c>
      <c r="V66" s="61">
        <v>0</v>
      </c>
      <c r="W66" s="61">
        <v>0</v>
      </c>
      <c r="X66" s="61">
        <v>0</v>
      </c>
      <c r="Y66" s="61">
        <v>5350</v>
      </c>
      <c r="Z66" s="61">
        <f t="shared" ref="Z66:Z97" si="19">SUM(J66:Y66)</f>
        <v>96450</v>
      </c>
      <c r="AA66" s="61">
        <v>94000</v>
      </c>
      <c r="AB66" s="61">
        <f t="shared" ref="AB66:AB97" si="20">Z66-AA66</f>
        <v>2450</v>
      </c>
    </row>
    <row r="67" spans="1:28" ht="15" x14ac:dyDescent="0.35">
      <c r="A67" s="59" t="s">
        <v>105</v>
      </c>
      <c r="B67" s="59" t="s">
        <v>401</v>
      </c>
      <c r="C67" s="59" t="s">
        <v>57</v>
      </c>
      <c r="D67" s="60">
        <v>0.25</v>
      </c>
      <c r="E67" s="61">
        <v>0</v>
      </c>
      <c r="F67" s="61">
        <v>37000</v>
      </c>
      <c r="G67" s="61">
        <v>2500</v>
      </c>
      <c r="H67" s="61">
        <v>1500</v>
      </c>
      <c r="I67" s="61">
        <v>7000</v>
      </c>
      <c r="J67" s="61">
        <f t="shared" si="14"/>
        <v>0</v>
      </c>
      <c r="K67" s="61">
        <f t="shared" si="15"/>
        <v>27750</v>
      </c>
      <c r="L67" s="61">
        <f t="shared" si="16"/>
        <v>1875</v>
      </c>
      <c r="M67" s="61">
        <f t="shared" si="17"/>
        <v>1125</v>
      </c>
      <c r="N67" s="61">
        <f t="shared" si="18"/>
        <v>5250</v>
      </c>
      <c r="O67" s="61">
        <v>10800</v>
      </c>
      <c r="P67" s="61">
        <v>13000</v>
      </c>
      <c r="Q67" s="61">
        <v>5000</v>
      </c>
      <c r="R67" s="61">
        <v>0</v>
      </c>
      <c r="S67" s="61">
        <v>0</v>
      </c>
      <c r="T67" s="61">
        <v>6000</v>
      </c>
      <c r="U67" s="61">
        <v>0</v>
      </c>
      <c r="V67" s="61">
        <v>0</v>
      </c>
      <c r="W67" s="61">
        <v>0</v>
      </c>
      <c r="X67" s="61">
        <v>0</v>
      </c>
      <c r="Y67" s="61">
        <v>6150</v>
      </c>
      <c r="Z67" s="61">
        <f t="shared" si="19"/>
        <v>76950</v>
      </c>
      <c r="AA67" s="61">
        <v>65000</v>
      </c>
      <c r="AB67" s="61">
        <f t="shared" si="20"/>
        <v>11950</v>
      </c>
    </row>
    <row r="68" spans="1:28" ht="15" x14ac:dyDescent="0.35">
      <c r="A68" s="59" t="s">
        <v>108</v>
      </c>
      <c r="B68" s="59" t="s">
        <v>109</v>
      </c>
      <c r="C68" s="59" t="s">
        <v>54</v>
      </c>
      <c r="D68" s="60">
        <v>0</v>
      </c>
      <c r="E68" s="61">
        <v>0</v>
      </c>
      <c r="F68" s="61">
        <v>23000</v>
      </c>
      <c r="G68" s="61">
        <v>1500</v>
      </c>
      <c r="H68" s="61">
        <v>1000</v>
      </c>
      <c r="I68" s="61">
        <v>2000</v>
      </c>
      <c r="J68" s="61">
        <f t="shared" si="14"/>
        <v>0</v>
      </c>
      <c r="K68" s="61">
        <f t="shared" si="15"/>
        <v>23000</v>
      </c>
      <c r="L68" s="61">
        <f t="shared" si="16"/>
        <v>1500</v>
      </c>
      <c r="M68" s="61">
        <f t="shared" si="17"/>
        <v>1000</v>
      </c>
      <c r="N68" s="61">
        <f t="shared" si="18"/>
        <v>2000</v>
      </c>
      <c r="O68" s="61">
        <v>14400</v>
      </c>
      <c r="P68" s="61">
        <v>5300</v>
      </c>
      <c r="Q68" s="61">
        <v>0</v>
      </c>
      <c r="R68" s="61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1">
        <v>0</v>
      </c>
      <c r="Y68" s="61">
        <v>0</v>
      </c>
      <c r="Z68" s="61">
        <f t="shared" si="19"/>
        <v>47200</v>
      </c>
      <c r="AA68" s="61">
        <v>47200</v>
      </c>
      <c r="AB68" s="61">
        <f t="shared" si="20"/>
        <v>0</v>
      </c>
    </row>
    <row r="69" spans="1:28" ht="15" x14ac:dyDescent="0.35">
      <c r="A69" s="59" t="s">
        <v>302</v>
      </c>
      <c r="B69" s="59" t="s">
        <v>303</v>
      </c>
      <c r="C69" s="59" t="s">
        <v>36</v>
      </c>
      <c r="D69" s="60">
        <v>0</v>
      </c>
      <c r="E69" s="61">
        <v>0</v>
      </c>
      <c r="F69" s="61">
        <v>23000</v>
      </c>
      <c r="G69" s="61">
        <v>1500</v>
      </c>
      <c r="H69" s="61">
        <v>1000</v>
      </c>
      <c r="I69" s="61">
        <v>0</v>
      </c>
      <c r="J69" s="61">
        <f t="shared" si="14"/>
        <v>0</v>
      </c>
      <c r="K69" s="61">
        <f t="shared" si="15"/>
        <v>23000</v>
      </c>
      <c r="L69" s="61">
        <f t="shared" si="16"/>
        <v>1500</v>
      </c>
      <c r="M69" s="61">
        <f t="shared" si="17"/>
        <v>1000</v>
      </c>
      <c r="N69" s="61">
        <f t="shared" si="18"/>
        <v>0</v>
      </c>
      <c r="O69" s="61">
        <f>12500-4140</f>
        <v>8360</v>
      </c>
      <c r="P69" s="61">
        <v>3800</v>
      </c>
      <c r="Q69" s="61">
        <v>14000</v>
      </c>
      <c r="R69" s="61">
        <v>4000</v>
      </c>
      <c r="S69" s="61">
        <v>4000</v>
      </c>
      <c r="T69" s="61">
        <v>0</v>
      </c>
      <c r="U69" s="61">
        <v>0</v>
      </c>
      <c r="V69" s="61">
        <v>0</v>
      </c>
      <c r="W69" s="61">
        <v>0</v>
      </c>
      <c r="X69" s="61">
        <v>0</v>
      </c>
      <c r="Y69" s="61">
        <v>0</v>
      </c>
      <c r="Z69" s="61">
        <f t="shared" si="19"/>
        <v>59660</v>
      </c>
      <c r="AA69" s="61">
        <v>59700</v>
      </c>
      <c r="AB69" s="61">
        <f t="shared" si="20"/>
        <v>-40</v>
      </c>
    </row>
    <row r="70" spans="1:28" ht="15" x14ac:dyDescent="0.35">
      <c r="A70" s="59" t="s">
        <v>110</v>
      </c>
      <c r="B70" s="59" t="s">
        <v>552</v>
      </c>
      <c r="C70" s="59" t="s">
        <v>132</v>
      </c>
      <c r="D70" s="60">
        <v>0</v>
      </c>
      <c r="E70" s="61">
        <v>0</v>
      </c>
      <c r="F70" s="61">
        <v>37000</v>
      </c>
      <c r="G70" s="61">
        <v>2500</v>
      </c>
      <c r="H70" s="61">
        <v>1500</v>
      </c>
      <c r="I70" s="61">
        <v>7000</v>
      </c>
      <c r="J70" s="61">
        <f t="shared" si="14"/>
        <v>0</v>
      </c>
      <c r="K70" s="61">
        <f t="shared" si="15"/>
        <v>37000</v>
      </c>
      <c r="L70" s="61">
        <f t="shared" si="16"/>
        <v>2500</v>
      </c>
      <c r="M70" s="61">
        <f t="shared" si="17"/>
        <v>1500</v>
      </c>
      <c r="N70" s="61">
        <f t="shared" si="18"/>
        <v>7000</v>
      </c>
      <c r="O70" s="61">
        <v>10800</v>
      </c>
      <c r="P70" s="61">
        <v>8000</v>
      </c>
      <c r="Q70" s="61">
        <v>0</v>
      </c>
      <c r="R70" s="61">
        <v>0</v>
      </c>
      <c r="S70" s="61">
        <v>0</v>
      </c>
      <c r="T70" s="61">
        <v>0</v>
      </c>
      <c r="U70" s="61">
        <v>0</v>
      </c>
      <c r="V70" s="61">
        <v>40000</v>
      </c>
      <c r="W70" s="61">
        <v>0</v>
      </c>
      <c r="X70" s="61">
        <v>0</v>
      </c>
      <c r="Y70" s="61">
        <v>0</v>
      </c>
      <c r="Z70" s="61">
        <f t="shared" si="19"/>
        <v>106800</v>
      </c>
      <c r="AA70" s="61">
        <v>106800</v>
      </c>
      <c r="AB70" s="61">
        <f t="shared" si="20"/>
        <v>0</v>
      </c>
    </row>
    <row r="71" spans="1:28" ht="15" x14ac:dyDescent="0.35">
      <c r="A71" s="59" t="s">
        <v>402</v>
      </c>
      <c r="B71" s="59" t="s">
        <v>403</v>
      </c>
      <c r="C71" s="59" t="s">
        <v>36</v>
      </c>
      <c r="D71" s="60">
        <v>0</v>
      </c>
      <c r="E71" s="61">
        <v>0</v>
      </c>
      <c r="F71" s="61">
        <v>23000</v>
      </c>
      <c r="G71" s="61">
        <v>1500</v>
      </c>
      <c r="H71" s="61">
        <v>1000</v>
      </c>
      <c r="I71" s="61">
        <v>0</v>
      </c>
      <c r="J71" s="61">
        <f t="shared" si="14"/>
        <v>0</v>
      </c>
      <c r="K71" s="61">
        <f t="shared" si="15"/>
        <v>23000</v>
      </c>
      <c r="L71" s="61">
        <f t="shared" si="16"/>
        <v>1500</v>
      </c>
      <c r="M71" s="61">
        <f t="shared" si="17"/>
        <v>1000</v>
      </c>
      <c r="N71" s="61">
        <f t="shared" si="18"/>
        <v>0</v>
      </c>
      <c r="O71" s="61">
        <v>12500</v>
      </c>
      <c r="P71" s="61">
        <v>3800</v>
      </c>
      <c r="Q71" s="61">
        <v>0</v>
      </c>
      <c r="R71" s="61">
        <v>0</v>
      </c>
      <c r="S71" s="61">
        <v>0</v>
      </c>
      <c r="T71" s="61">
        <v>0</v>
      </c>
      <c r="U71" s="61">
        <v>0</v>
      </c>
      <c r="V71" s="61">
        <v>0</v>
      </c>
      <c r="W71" s="61">
        <v>0</v>
      </c>
      <c r="X71" s="61">
        <v>0</v>
      </c>
      <c r="Y71" s="61">
        <v>0</v>
      </c>
      <c r="Z71" s="61">
        <f t="shared" si="19"/>
        <v>41800</v>
      </c>
      <c r="AA71" s="61">
        <v>41800</v>
      </c>
      <c r="AB71" s="61">
        <f t="shared" si="20"/>
        <v>0</v>
      </c>
    </row>
    <row r="72" spans="1:28" ht="15" x14ac:dyDescent="0.35">
      <c r="A72" s="59" t="s">
        <v>112</v>
      </c>
      <c r="B72" s="59" t="s">
        <v>530</v>
      </c>
      <c r="C72" s="59" t="s">
        <v>36</v>
      </c>
      <c r="D72" s="60">
        <v>0.25</v>
      </c>
      <c r="E72" s="61">
        <v>1500</v>
      </c>
      <c r="F72" s="61">
        <v>23000</v>
      </c>
      <c r="G72" s="61">
        <v>1500</v>
      </c>
      <c r="H72" s="61">
        <v>1000</v>
      </c>
      <c r="I72" s="61">
        <v>0</v>
      </c>
      <c r="J72" s="61">
        <f t="shared" si="14"/>
        <v>1125</v>
      </c>
      <c r="K72" s="61">
        <f t="shared" si="15"/>
        <v>17250</v>
      </c>
      <c r="L72" s="61">
        <f t="shared" si="16"/>
        <v>1125</v>
      </c>
      <c r="M72" s="61">
        <f t="shared" si="17"/>
        <v>750</v>
      </c>
      <c r="N72" s="61">
        <f t="shared" si="18"/>
        <v>0</v>
      </c>
      <c r="O72" s="61">
        <v>12500</v>
      </c>
      <c r="P72" s="61">
        <v>3800</v>
      </c>
      <c r="Q72" s="61">
        <v>14000</v>
      </c>
      <c r="R72" s="61">
        <v>4000</v>
      </c>
      <c r="S72" s="61">
        <v>4000</v>
      </c>
      <c r="T72" s="61">
        <v>0</v>
      </c>
      <c r="U72" s="61">
        <v>0</v>
      </c>
      <c r="V72" s="61">
        <v>0</v>
      </c>
      <c r="W72" s="61">
        <v>0</v>
      </c>
      <c r="X72" s="61">
        <v>0</v>
      </c>
      <c r="Y72" s="61">
        <v>0</v>
      </c>
      <c r="Z72" s="61">
        <f t="shared" si="19"/>
        <v>58550</v>
      </c>
      <c r="AA72" s="61">
        <v>50000</v>
      </c>
      <c r="AB72" s="61">
        <f t="shared" si="20"/>
        <v>8550</v>
      </c>
    </row>
    <row r="73" spans="1:28" ht="15" x14ac:dyDescent="0.35">
      <c r="A73" s="59" t="s">
        <v>112</v>
      </c>
      <c r="B73" s="59" t="s">
        <v>114</v>
      </c>
      <c r="C73" s="59" t="s">
        <v>52</v>
      </c>
      <c r="D73" s="60">
        <v>0.25</v>
      </c>
      <c r="E73" s="61">
        <v>0</v>
      </c>
      <c r="F73" s="61">
        <v>25000</v>
      </c>
      <c r="G73" s="61">
        <v>2000</v>
      </c>
      <c r="H73" s="61">
        <v>2500</v>
      </c>
      <c r="I73" s="61">
        <v>4000</v>
      </c>
      <c r="J73" s="61">
        <f t="shared" si="14"/>
        <v>0</v>
      </c>
      <c r="K73" s="61">
        <f t="shared" si="15"/>
        <v>18750</v>
      </c>
      <c r="L73" s="61">
        <f t="shared" si="16"/>
        <v>1500</v>
      </c>
      <c r="M73" s="61">
        <f t="shared" si="17"/>
        <v>1875</v>
      </c>
      <c r="N73" s="61">
        <f t="shared" si="18"/>
        <v>3000</v>
      </c>
      <c r="O73" s="61">
        <v>24400</v>
      </c>
      <c r="P73" s="61">
        <v>10400</v>
      </c>
      <c r="Q73" s="61">
        <v>0</v>
      </c>
      <c r="R73" s="61">
        <v>0</v>
      </c>
      <c r="S73" s="61">
        <v>0</v>
      </c>
      <c r="T73" s="61">
        <v>0</v>
      </c>
      <c r="U73" s="61">
        <v>0</v>
      </c>
      <c r="V73" s="61">
        <v>0</v>
      </c>
      <c r="W73" s="61">
        <v>0</v>
      </c>
      <c r="X73" s="61">
        <v>0</v>
      </c>
      <c r="Y73" s="61">
        <v>140</v>
      </c>
      <c r="Z73" s="61">
        <f t="shared" si="19"/>
        <v>60065</v>
      </c>
      <c r="AA73" s="61">
        <v>55000</v>
      </c>
      <c r="AB73" s="61">
        <f t="shared" si="20"/>
        <v>5065</v>
      </c>
    </row>
    <row r="74" spans="1:28" ht="15" x14ac:dyDescent="0.35">
      <c r="A74" s="59" t="s">
        <v>112</v>
      </c>
      <c r="B74" s="59" t="s">
        <v>113</v>
      </c>
      <c r="C74" s="59" t="s">
        <v>66</v>
      </c>
      <c r="D74" s="60">
        <v>0.25</v>
      </c>
      <c r="E74" s="61">
        <v>0</v>
      </c>
      <c r="F74" s="61">
        <v>25000</v>
      </c>
      <c r="G74" s="61">
        <v>2000</v>
      </c>
      <c r="H74" s="61">
        <v>0</v>
      </c>
      <c r="I74" s="61">
        <v>4000</v>
      </c>
      <c r="J74" s="61">
        <f t="shared" si="14"/>
        <v>0</v>
      </c>
      <c r="K74" s="61">
        <f t="shared" si="15"/>
        <v>18750</v>
      </c>
      <c r="L74" s="61">
        <f t="shared" si="16"/>
        <v>1500</v>
      </c>
      <c r="M74" s="61">
        <f t="shared" si="17"/>
        <v>0</v>
      </c>
      <c r="N74" s="61">
        <f t="shared" si="18"/>
        <v>3000</v>
      </c>
      <c r="O74" s="61">
        <v>25500</v>
      </c>
      <c r="P74" s="61">
        <v>12000</v>
      </c>
      <c r="Q74" s="61">
        <v>0</v>
      </c>
      <c r="R74" s="61">
        <v>0</v>
      </c>
      <c r="S74" s="61">
        <v>0</v>
      </c>
      <c r="T74" s="61">
        <v>0</v>
      </c>
      <c r="U74" s="61">
        <v>0</v>
      </c>
      <c r="V74" s="61">
        <v>0</v>
      </c>
      <c r="W74" s="61">
        <v>0</v>
      </c>
      <c r="X74" s="61">
        <v>0</v>
      </c>
      <c r="Y74" s="61">
        <v>750</v>
      </c>
      <c r="Z74" s="61">
        <f t="shared" si="19"/>
        <v>61500</v>
      </c>
      <c r="AA74" s="61">
        <v>55000</v>
      </c>
      <c r="AB74" s="61">
        <f t="shared" si="20"/>
        <v>6500</v>
      </c>
    </row>
    <row r="75" spans="1:28" ht="15" x14ac:dyDescent="0.35">
      <c r="A75" s="59" t="s">
        <v>490</v>
      </c>
      <c r="B75" s="59" t="s">
        <v>491</v>
      </c>
      <c r="C75" s="59" t="s">
        <v>71</v>
      </c>
      <c r="D75" s="60">
        <v>0.25</v>
      </c>
      <c r="E75" s="61">
        <v>1500</v>
      </c>
      <c r="F75" s="61">
        <v>23000</v>
      </c>
      <c r="G75" s="61">
        <v>1000</v>
      </c>
      <c r="H75" s="61">
        <v>1000</v>
      </c>
      <c r="I75" s="61">
        <v>0</v>
      </c>
      <c r="J75" s="61">
        <f t="shared" si="14"/>
        <v>1125</v>
      </c>
      <c r="K75" s="61">
        <f t="shared" si="15"/>
        <v>17250</v>
      </c>
      <c r="L75" s="61">
        <f t="shared" si="16"/>
        <v>750</v>
      </c>
      <c r="M75" s="61">
        <f t="shared" si="17"/>
        <v>750</v>
      </c>
      <c r="N75" s="61">
        <f t="shared" si="18"/>
        <v>0</v>
      </c>
      <c r="O75" s="61">
        <v>0</v>
      </c>
      <c r="P75" s="61">
        <v>2400</v>
      </c>
      <c r="Q75" s="61">
        <v>14000</v>
      </c>
      <c r="R75" s="61">
        <v>4000</v>
      </c>
      <c r="S75" s="61">
        <v>4000</v>
      </c>
      <c r="T75" s="61">
        <v>5000</v>
      </c>
      <c r="U75" s="61">
        <v>0</v>
      </c>
      <c r="V75" s="61">
        <v>0</v>
      </c>
      <c r="W75" s="61">
        <v>0</v>
      </c>
      <c r="X75" s="61">
        <v>0</v>
      </c>
      <c r="Y75" s="61">
        <v>0</v>
      </c>
      <c r="Z75" s="61">
        <f t="shared" si="19"/>
        <v>49275</v>
      </c>
      <c r="AA75" s="61">
        <v>49275</v>
      </c>
      <c r="AB75" s="61">
        <f t="shared" si="20"/>
        <v>0</v>
      </c>
    </row>
    <row r="76" spans="1:28" ht="15" x14ac:dyDescent="0.35">
      <c r="A76" s="59" t="s">
        <v>490</v>
      </c>
      <c r="B76" s="59" t="s">
        <v>531</v>
      </c>
      <c r="C76" s="59" t="s">
        <v>36</v>
      </c>
      <c r="D76" s="60">
        <v>0.25</v>
      </c>
      <c r="E76" s="61">
        <v>1500</v>
      </c>
      <c r="F76" s="61">
        <v>23000</v>
      </c>
      <c r="G76" s="61">
        <v>1500</v>
      </c>
      <c r="H76" s="61">
        <v>1000</v>
      </c>
      <c r="I76" s="61">
        <v>0</v>
      </c>
      <c r="J76" s="61">
        <f t="shared" si="14"/>
        <v>1125</v>
      </c>
      <c r="K76" s="61">
        <f t="shared" si="15"/>
        <v>17250</v>
      </c>
      <c r="L76" s="61">
        <f t="shared" si="16"/>
        <v>1125</v>
      </c>
      <c r="M76" s="61">
        <f t="shared" si="17"/>
        <v>750</v>
      </c>
      <c r="N76" s="61">
        <f t="shared" si="18"/>
        <v>0</v>
      </c>
      <c r="O76" s="61">
        <v>12500</v>
      </c>
      <c r="P76" s="61">
        <v>3800</v>
      </c>
      <c r="Q76" s="61">
        <v>14000</v>
      </c>
      <c r="R76" s="61">
        <v>4000</v>
      </c>
      <c r="S76" s="61">
        <v>4000</v>
      </c>
      <c r="T76" s="61">
        <v>5000</v>
      </c>
      <c r="U76" s="61">
        <v>0</v>
      </c>
      <c r="V76" s="61">
        <v>0</v>
      </c>
      <c r="W76" s="61">
        <v>0</v>
      </c>
      <c r="X76" s="61">
        <v>0</v>
      </c>
      <c r="Y76" s="61">
        <v>0</v>
      </c>
      <c r="Z76" s="61">
        <f t="shared" si="19"/>
        <v>63550</v>
      </c>
      <c r="AA76" s="61">
        <v>63550</v>
      </c>
      <c r="AB76" s="61">
        <f t="shared" si="20"/>
        <v>0</v>
      </c>
    </row>
    <row r="77" spans="1:28" ht="15" x14ac:dyDescent="0.35">
      <c r="A77" s="59" t="s">
        <v>115</v>
      </c>
      <c r="B77" s="59" t="s">
        <v>117</v>
      </c>
      <c r="C77" s="59" t="s">
        <v>54</v>
      </c>
      <c r="D77" s="60">
        <v>0.25</v>
      </c>
      <c r="E77" s="61">
        <v>0</v>
      </c>
      <c r="F77" s="61">
        <v>23000</v>
      </c>
      <c r="G77" s="61">
        <v>1500</v>
      </c>
      <c r="H77" s="61">
        <v>1000</v>
      </c>
      <c r="I77" s="61">
        <v>2000</v>
      </c>
      <c r="J77" s="61">
        <f t="shared" si="14"/>
        <v>0</v>
      </c>
      <c r="K77" s="61">
        <f t="shared" si="15"/>
        <v>17250</v>
      </c>
      <c r="L77" s="61">
        <f t="shared" si="16"/>
        <v>1125</v>
      </c>
      <c r="M77" s="61">
        <f t="shared" si="17"/>
        <v>750</v>
      </c>
      <c r="N77" s="61">
        <f t="shared" si="18"/>
        <v>1500</v>
      </c>
      <c r="O77" s="61">
        <v>14400</v>
      </c>
      <c r="P77" s="61">
        <v>5300</v>
      </c>
      <c r="Q77" s="61">
        <v>0</v>
      </c>
      <c r="R77" s="61">
        <v>0</v>
      </c>
      <c r="S77" s="61">
        <v>0</v>
      </c>
      <c r="T77" s="61">
        <v>5000</v>
      </c>
      <c r="U77" s="61">
        <v>0</v>
      </c>
      <c r="V77" s="61">
        <v>0</v>
      </c>
      <c r="W77" s="61">
        <v>0</v>
      </c>
      <c r="X77" s="61">
        <v>4800</v>
      </c>
      <c r="Y77" s="61">
        <v>0</v>
      </c>
      <c r="Z77" s="61">
        <f t="shared" si="19"/>
        <v>50125</v>
      </c>
      <c r="AA77" s="61">
        <v>45250</v>
      </c>
      <c r="AB77" s="61">
        <f t="shared" si="20"/>
        <v>4875</v>
      </c>
    </row>
    <row r="78" spans="1:28" ht="15" x14ac:dyDescent="0.35">
      <c r="A78" s="59" t="s">
        <v>115</v>
      </c>
      <c r="B78" s="59" t="s">
        <v>118</v>
      </c>
      <c r="C78" s="59" t="s">
        <v>36</v>
      </c>
      <c r="D78" s="60">
        <v>0.25</v>
      </c>
      <c r="E78" s="61">
        <v>0</v>
      </c>
      <c r="F78" s="61">
        <v>23000</v>
      </c>
      <c r="G78" s="61">
        <v>1500</v>
      </c>
      <c r="H78" s="61">
        <v>1000</v>
      </c>
      <c r="I78" s="61">
        <v>0</v>
      </c>
      <c r="J78" s="61">
        <f t="shared" si="14"/>
        <v>0</v>
      </c>
      <c r="K78" s="61">
        <f t="shared" si="15"/>
        <v>17250</v>
      </c>
      <c r="L78" s="61">
        <f t="shared" si="16"/>
        <v>1125</v>
      </c>
      <c r="M78" s="61">
        <f t="shared" si="17"/>
        <v>750</v>
      </c>
      <c r="N78" s="61">
        <f t="shared" si="18"/>
        <v>0</v>
      </c>
      <c r="O78" s="61">
        <f>12500-1380</f>
        <v>11120</v>
      </c>
      <c r="P78" s="61">
        <v>3800</v>
      </c>
      <c r="Q78" s="61">
        <v>0</v>
      </c>
      <c r="R78" s="61">
        <v>0</v>
      </c>
      <c r="S78" s="61">
        <v>0</v>
      </c>
      <c r="T78" s="61">
        <v>0</v>
      </c>
      <c r="U78" s="61">
        <v>0</v>
      </c>
      <c r="V78" s="61">
        <v>0</v>
      </c>
      <c r="W78" s="61">
        <v>0</v>
      </c>
      <c r="X78" s="61">
        <v>4800</v>
      </c>
      <c r="Y78" s="61">
        <v>0</v>
      </c>
      <c r="Z78" s="61">
        <f t="shared" si="19"/>
        <v>38845</v>
      </c>
      <c r="AA78" s="61">
        <v>39850</v>
      </c>
      <c r="AB78" s="61">
        <f t="shared" si="20"/>
        <v>-1005</v>
      </c>
    </row>
    <row r="79" spans="1:28" ht="15" x14ac:dyDescent="0.35">
      <c r="A79" s="59" t="s">
        <v>115</v>
      </c>
      <c r="B79" s="59" t="s">
        <v>116</v>
      </c>
      <c r="C79" s="59" t="s">
        <v>52</v>
      </c>
      <c r="D79" s="60">
        <v>0.25</v>
      </c>
      <c r="E79" s="61">
        <v>0</v>
      </c>
      <c r="F79" s="61">
        <v>25000</v>
      </c>
      <c r="G79" s="61">
        <v>2000</v>
      </c>
      <c r="H79" s="61">
        <v>2500</v>
      </c>
      <c r="I79" s="61">
        <v>4000</v>
      </c>
      <c r="J79" s="61">
        <f t="shared" si="14"/>
        <v>0</v>
      </c>
      <c r="K79" s="61">
        <f t="shared" si="15"/>
        <v>18750</v>
      </c>
      <c r="L79" s="61">
        <f t="shared" si="16"/>
        <v>1500</v>
      </c>
      <c r="M79" s="61">
        <f t="shared" si="17"/>
        <v>1875</v>
      </c>
      <c r="N79" s="61">
        <f t="shared" si="18"/>
        <v>3000</v>
      </c>
      <c r="O79" s="61">
        <v>24400</v>
      </c>
      <c r="P79" s="61">
        <v>10400</v>
      </c>
      <c r="Q79" s="61">
        <v>0</v>
      </c>
      <c r="R79" s="61">
        <v>0</v>
      </c>
      <c r="S79" s="61">
        <v>0</v>
      </c>
      <c r="T79" s="61">
        <v>5000</v>
      </c>
      <c r="U79" s="61">
        <v>0</v>
      </c>
      <c r="V79" s="61">
        <v>0</v>
      </c>
      <c r="W79" s="61">
        <v>0</v>
      </c>
      <c r="X79" s="61">
        <v>4800</v>
      </c>
      <c r="Y79" s="61">
        <v>0</v>
      </c>
      <c r="Z79" s="61">
        <f t="shared" si="19"/>
        <v>69725</v>
      </c>
      <c r="AA79" s="61">
        <v>74350</v>
      </c>
      <c r="AB79" s="61">
        <f t="shared" si="20"/>
        <v>-4625</v>
      </c>
    </row>
    <row r="80" spans="1:28" ht="15" x14ac:dyDescent="0.35">
      <c r="A80" s="59" t="s">
        <v>518</v>
      </c>
      <c r="B80" s="59" t="s">
        <v>47</v>
      </c>
      <c r="C80" s="59" t="s">
        <v>54</v>
      </c>
      <c r="D80" s="60">
        <v>0</v>
      </c>
      <c r="E80" s="61">
        <v>1500</v>
      </c>
      <c r="F80" s="61">
        <v>23000</v>
      </c>
      <c r="G80" s="61">
        <v>1500</v>
      </c>
      <c r="H80" s="61">
        <v>1000</v>
      </c>
      <c r="I80" s="61">
        <v>2000</v>
      </c>
      <c r="J80" s="61">
        <f t="shared" si="14"/>
        <v>1500</v>
      </c>
      <c r="K80" s="61">
        <f t="shared" si="15"/>
        <v>23000</v>
      </c>
      <c r="L80" s="61">
        <f t="shared" si="16"/>
        <v>1500</v>
      </c>
      <c r="M80" s="61">
        <f t="shared" si="17"/>
        <v>1000</v>
      </c>
      <c r="N80" s="61">
        <f t="shared" si="18"/>
        <v>2000</v>
      </c>
      <c r="O80" s="61">
        <v>14400</v>
      </c>
      <c r="P80" s="61">
        <v>5300</v>
      </c>
      <c r="Q80" s="61">
        <v>14000</v>
      </c>
      <c r="R80" s="61">
        <v>4000</v>
      </c>
      <c r="S80" s="61">
        <v>4000</v>
      </c>
      <c r="T80" s="61">
        <v>5000</v>
      </c>
      <c r="U80" s="61">
        <v>0</v>
      </c>
      <c r="V80" s="61">
        <v>0</v>
      </c>
      <c r="W80" s="61">
        <v>0</v>
      </c>
      <c r="X80" s="61">
        <v>0</v>
      </c>
      <c r="Y80" s="61">
        <v>0</v>
      </c>
      <c r="Z80" s="61">
        <f t="shared" si="19"/>
        <v>75700</v>
      </c>
      <c r="AA80" s="61">
        <v>75700</v>
      </c>
      <c r="AB80" s="61">
        <f t="shared" si="20"/>
        <v>0</v>
      </c>
    </row>
    <row r="81" spans="1:28" ht="15" x14ac:dyDescent="0.35">
      <c r="A81" s="59" t="s">
        <v>119</v>
      </c>
      <c r="B81" s="59" t="s">
        <v>121</v>
      </c>
      <c r="C81" s="59" t="s">
        <v>28</v>
      </c>
      <c r="D81" s="60">
        <v>0.25</v>
      </c>
      <c r="E81" s="61">
        <v>0</v>
      </c>
      <c r="F81" s="61">
        <v>25000</v>
      </c>
      <c r="G81" s="61">
        <v>2000</v>
      </c>
      <c r="H81" s="61">
        <v>0</v>
      </c>
      <c r="I81" s="61">
        <v>4000</v>
      </c>
      <c r="J81" s="61">
        <f t="shared" si="14"/>
        <v>0</v>
      </c>
      <c r="K81" s="61">
        <f t="shared" si="15"/>
        <v>18750</v>
      </c>
      <c r="L81" s="61">
        <f t="shared" si="16"/>
        <v>1500</v>
      </c>
      <c r="M81" s="61">
        <f t="shared" si="17"/>
        <v>0</v>
      </c>
      <c r="N81" s="61">
        <f t="shared" si="18"/>
        <v>3000</v>
      </c>
      <c r="O81" s="61">
        <v>24400</v>
      </c>
      <c r="P81" s="61">
        <v>10400</v>
      </c>
      <c r="Q81" s="61">
        <v>0</v>
      </c>
      <c r="R81" s="61">
        <v>0</v>
      </c>
      <c r="S81" s="61">
        <v>0</v>
      </c>
      <c r="T81" s="61">
        <v>5000</v>
      </c>
      <c r="U81" s="61">
        <v>0</v>
      </c>
      <c r="V81" s="61">
        <v>0</v>
      </c>
      <c r="W81" s="61">
        <v>0</v>
      </c>
      <c r="X81" s="61">
        <v>4800</v>
      </c>
      <c r="Y81" s="61">
        <v>25</v>
      </c>
      <c r="Z81" s="61">
        <f t="shared" si="19"/>
        <v>67875</v>
      </c>
      <c r="AA81" s="61">
        <v>72900</v>
      </c>
      <c r="AB81" s="61">
        <f t="shared" si="20"/>
        <v>-5025</v>
      </c>
    </row>
    <row r="82" spans="1:28" ht="15" x14ac:dyDescent="0.35">
      <c r="A82" s="59" t="s">
        <v>119</v>
      </c>
      <c r="B82" s="59" t="s">
        <v>120</v>
      </c>
      <c r="C82" s="59" t="s">
        <v>32</v>
      </c>
      <c r="D82" s="60">
        <v>0.25</v>
      </c>
      <c r="E82" s="61">
        <v>0</v>
      </c>
      <c r="F82" s="61">
        <v>25000</v>
      </c>
      <c r="G82" s="61">
        <v>2000</v>
      </c>
      <c r="H82" s="61">
        <v>0</v>
      </c>
      <c r="I82" s="61">
        <v>4000</v>
      </c>
      <c r="J82" s="61">
        <f t="shared" si="14"/>
        <v>0</v>
      </c>
      <c r="K82" s="61">
        <f t="shared" si="15"/>
        <v>18750</v>
      </c>
      <c r="L82" s="61">
        <f t="shared" si="16"/>
        <v>1500</v>
      </c>
      <c r="M82" s="61">
        <f t="shared" si="17"/>
        <v>0</v>
      </c>
      <c r="N82" s="61">
        <f t="shared" si="18"/>
        <v>3000</v>
      </c>
      <c r="O82" s="61">
        <v>25900</v>
      </c>
      <c r="P82" s="61">
        <v>12000</v>
      </c>
      <c r="Q82" s="61">
        <v>0</v>
      </c>
      <c r="R82" s="61">
        <v>0</v>
      </c>
      <c r="S82" s="61">
        <v>0</v>
      </c>
      <c r="T82" s="61">
        <v>5000</v>
      </c>
      <c r="U82" s="61">
        <v>0</v>
      </c>
      <c r="V82" s="61">
        <v>0</v>
      </c>
      <c r="W82" s="61">
        <v>0</v>
      </c>
      <c r="X82" s="61">
        <v>4800</v>
      </c>
      <c r="Y82" s="61">
        <v>50</v>
      </c>
      <c r="Z82" s="61">
        <f t="shared" si="19"/>
        <v>71000</v>
      </c>
      <c r="AA82" s="61">
        <v>71000</v>
      </c>
      <c r="AB82" s="61">
        <f t="shared" si="20"/>
        <v>0</v>
      </c>
    </row>
    <row r="83" spans="1:28" ht="15" x14ac:dyDescent="0.35">
      <c r="A83" s="59" t="s">
        <v>122</v>
      </c>
      <c r="B83" s="59" t="s">
        <v>549</v>
      </c>
      <c r="C83" s="59" t="s">
        <v>28</v>
      </c>
      <c r="D83" s="60">
        <v>1</v>
      </c>
      <c r="E83" s="61">
        <v>0</v>
      </c>
      <c r="F83" s="61">
        <v>25000</v>
      </c>
      <c r="G83" s="61">
        <v>2000</v>
      </c>
      <c r="H83" s="61">
        <v>0</v>
      </c>
      <c r="I83" s="61">
        <v>4000</v>
      </c>
      <c r="J83" s="61">
        <f t="shared" si="14"/>
        <v>0</v>
      </c>
      <c r="K83" s="61">
        <f t="shared" si="15"/>
        <v>0</v>
      </c>
      <c r="L83" s="61">
        <f t="shared" si="16"/>
        <v>0</v>
      </c>
      <c r="M83" s="61">
        <f t="shared" si="17"/>
        <v>0</v>
      </c>
      <c r="N83" s="61">
        <f t="shared" si="18"/>
        <v>0</v>
      </c>
      <c r="O83" s="61">
        <v>24400</v>
      </c>
      <c r="P83" s="61">
        <v>10400</v>
      </c>
      <c r="Q83" s="61">
        <v>8000</v>
      </c>
      <c r="R83" s="61">
        <v>0</v>
      </c>
      <c r="S83" s="61">
        <v>0</v>
      </c>
      <c r="T83" s="61">
        <v>5000</v>
      </c>
      <c r="U83" s="61">
        <v>0</v>
      </c>
      <c r="V83" s="61">
        <v>0</v>
      </c>
      <c r="W83" s="61">
        <v>0</v>
      </c>
      <c r="X83" s="61">
        <v>4800</v>
      </c>
      <c r="Y83" s="61">
        <v>0</v>
      </c>
      <c r="Z83" s="61">
        <f t="shared" si="19"/>
        <v>52600</v>
      </c>
      <c r="AA83" s="61">
        <v>44400</v>
      </c>
      <c r="AB83" s="61">
        <f t="shared" si="20"/>
        <v>8200</v>
      </c>
    </row>
    <row r="84" spans="1:28" ht="15" x14ac:dyDescent="0.35">
      <c r="A84" s="59" t="s">
        <v>122</v>
      </c>
      <c r="B84" s="59" t="s">
        <v>405</v>
      </c>
      <c r="C84" s="59" t="s">
        <v>57</v>
      </c>
      <c r="D84" s="60">
        <v>1</v>
      </c>
      <c r="E84" s="61">
        <v>0</v>
      </c>
      <c r="F84" s="61">
        <v>37000</v>
      </c>
      <c r="G84" s="61">
        <v>2500</v>
      </c>
      <c r="H84" s="61">
        <v>1500</v>
      </c>
      <c r="I84" s="61">
        <v>7000</v>
      </c>
      <c r="J84" s="61">
        <f t="shared" si="14"/>
        <v>0</v>
      </c>
      <c r="K84" s="61">
        <f t="shared" si="15"/>
        <v>0</v>
      </c>
      <c r="L84" s="61">
        <f t="shared" si="16"/>
        <v>0</v>
      </c>
      <c r="M84" s="61">
        <f t="shared" si="17"/>
        <v>0</v>
      </c>
      <c r="N84" s="61">
        <f t="shared" si="18"/>
        <v>0</v>
      </c>
      <c r="O84" s="61">
        <v>10800</v>
      </c>
      <c r="P84" s="61">
        <v>8000</v>
      </c>
      <c r="Q84" s="61">
        <v>0</v>
      </c>
      <c r="R84" s="61">
        <v>0</v>
      </c>
      <c r="S84" s="61">
        <v>0</v>
      </c>
      <c r="T84" s="61">
        <v>6000</v>
      </c>
      <c r="U84" s="61">
        <v>0</v>
      </c>
      <c r="V84" s="61">
        <v>0</v>
      </c>
      <c r="W84" s="61">
        <v>0</v>
      </c>
      <c r="X84" s="61">
        <v>4800</v>
      </c>
      <c r="Y84" s="61">
        <v>0</v>
      </c>
      <c r="Z84" s="61">
        <f t="shared" si="19"/>
        <v>29600</v>
      </c>
      <c r="AA84" s="61">
        <v>29600</v>
      </c>
      <c r="AB84" s="61">
        <f t="shared" si="20"/>
        <v>0</v>
      </c>
    </row>
    <row r="85" spans="1:28" ht="15" x14ac:dyDescent="0.35">
      <c r="A85" s="59" t="s">
        <v>124</v>
      </c>
      <c r="B85" s="59" t="s">
        <v>304</v>
      </c>
      <c r="C85" s="59" t="s">
        <v>54</v>
      </c>
      <c r="D85" s="60">
        <v>0</v>
      </c>
      <c r="E85" s="61">
        <v>0</v>
      </c>
      <c r="F85" s="61">
        <v>23000</v>
      </c>
      <c r="G85" s="61">
        <v>1500</v>
      </c>
      <c r="H85" s="61">
        <v>1000</v>
      </c>
      <c r="I85" s="61">
        <v>2000</v>
      </c>
      <c r="J85" s="61">
        <f t="shared" si="14"/>
        <v>0</v>
      </c>
      <c r="K85" s="61">
        <f t="shared" si="15"/>
        <v>23000</v>
      </c>
      <c r="L85" s="61">
        <f t="shared" si="16"/>
        <v>1500</v>
      </c>
      <c r="M85" s="61">
        <f t="shared" si="17"/>
        <v>1000</v>
      </c>
      <c r="N85" s="61">
        <f t="shared" si="18"/>
        <v>2000</v>
      </c>
      <c r="O85" s="61">
        <v>14400</v>
      </c>
      <c r="P85" s="61">
        <v>5300</v>
      </c>
      <c r="Q85" s="61">
        <v>0</v>
      </c>
      <c r="R85" s="61">
        <v>0</v>
      </c>
      <c r="S85" s="61">
        <v>0</v>
      </c>
      <c r="T85" s="61">
        <v>5000</v>
      </c>
      <c r="U85" s="61">
        <v>0</v>
      </c>
      <c r="V85" s="61">
        <v>0</v>
      </c>
      <c r="W85" s="61">
        <v>0</v>
      </c>
      <c r="X85" s="61">
        <v>6000</v>
      </c>
      <c r="Y85" s="61">
        <v>0</v>
      </c>
      <c r="Z85" s="61">
        <f t="shared" si="19"/>
        <v>58200</v>
      </c>
      <c r="AA85" s="61">
        <v>54200</v>
      </c>
      <c r="AB85" s="61">
        <f t="shared" si="20"/>
        <v>4000</v>
      </c>
    </row>
    <row r="86" spans="1:28" ht="15" x14ac:dyDescent="0.35">
      <c r="A86" s="59" t="s">
        <v>512</v>
      </c>
      <c r="B86" s="59" t="s">
        <v>513</v>
      </c>
      <c r="C86" s="59" t="s">
        <v>30</v>
      </c>
      <c r="D86" s="60">
        <v>0.3</v>
      </c>
      <c r="E86" s="61">
        <v>2500</v>
      </c>
      <c r="F86" s="61">
        <v>29500</v>
      </c>
      <c r="G86" s="61">
        <v>2500</v>
      </c>
      <c r="H86" s="61">
        <v>1500</v>
      </c>
      <c r="I86" s="61">
        <v>5000</v>
      </c>
      <c r="J86" s="61">
        <f t="shared" si="14"/>
        <v>1750</v>
      </c>
      <c r="K86" s="61">
        <f t="shared" si="15"/>
        <v>20650</v>
      </c>
      <c r="L86" s="61">
        <f t="shared" si="16"/>
        <v>1750</v>
      </c>
      <c r="M86" s="61">
        <f t="shared" si="17"/>
        <v>1050</v>
      </c>
      <c r="N86" s="61">
        <f t="shared" si="18"/>
        <v>3500</v>
      </c>
      <c r="O86" s="61">
        <v>16500</v>
      </c>
      <c r="P86" s="61">
        <v>25000</v>
      </c>
      <c r="Q86" s="61">
        <v>10000</v>
      </c>
      <c r="R86" s="61">
        <v>6000</v>
      </c>
      <c r="S86" s="61">
        <v>6000</v>
      </c>
      <c r="T86" s="61">
        <v>0</v>
      </c>
      <c r="U86" s="61">
        <v>0</v>
      </c>
      <c r="V86" s="61">
        <v>0</v>
      </c>
      <c r="W86" s="61">
        <v>0</v>
      </c>
      <c r="X86" s="61">
        <v>0</v>
      </c>
      <c r="Y86" s="61">
        <v>0</v>
      </c>
      <c r="Z86" s="61">
        <f t="shared" si="19"/>
        <v>92200</v>
      </c>
      <c r="AA86" s="61">
        <v>92000</v>
      </c>
      <c r="AB86" s="61">
        <f t="shared" si="20"/>
        <v>200</v>
      </c>
    </row>
    <row r="87" spans="1:28" ht="15" x14ac:dyDescent="0.35">
      <c r="A87" s="59" t="s">
        <v>492</v>
      </c>
      <c r="B87" s="59" t="s">
        <v>493</v>
      </c>
      <c r="C87" s="59" t="s">
        <v>71</v>
      </c>
      <c r="D87" s="60">
        <v>0</v>
      </c>
      <c r="E87" s="61">
        <v>1500</v>
      </c>
      <c r="F87" s="61">
        <v>23000</v>
      </c>
      <c r="G87" s="61">
        <v>1000</v>
      </c>
      <c r="H87" s="61">
        <v>1000</v>
      </c>
      <c r="I87" s="61">
        <v>0</v>
      </c>
      <c r="J87" s="61">
        <f t="shared" si="14"/>
        <v>1500</v>
      </c>
      <c r="K87" s="61">
        <f t="shared" si="15"/>
        <v>23000</v>
      </c>
      <c r="L87" s="61">
        <f t="shared" si="16"/>
        <v>1000</v>
      </c>
      <c r="M87" s="61">
        <f t="shared" si="17"/>
        <v>1000</v>
      </c>
      <c r="N87" s="61">
        <f t="shared" si="18"/>
        <v>0</v>
      </c>
      <c r="O87" s="61">
        <v>0</v>
      </c>
      <c r="P87" s="61">
        <v>2400</v>
      </c>
      <c r="Q87" s="61">
        <v>14000</v>
      </c>
      <c r="R87" s="61">
        <v>4000</v>
      </c>
      <c r="S87" s="61">
        <v>4000</v>
      </c>
      <c r="T87" s="61">
        <v>5000</v>
      </c>
      <c r="U87" s="61">
        <v>0</v>
      </c>
      <c r="V87" s="61">
        <v>0</v>
      </c>
      <c r="W87" s="61">
        <v>0</v>
      </c>
      <c r="X87" s="61">
        <v>0</v>
      </c>
      <c r="Y87" s="61">
        <v>0</v>
      </c>
      <c r="Z87" s="61">
        <f t="shared" si="19"/>
        <v>55900</v>
      </c>
      <c r="AA87" s="61">
        <v>55900</v>
      </c>
      <c r="AB87" s="61">
        <f t="shared" si="20"/>
        <v>0</v>
      </c>
    </row>
    <row r="88" spans="1:28" ht="15" x14ac:dyDescent="0.35">
      <c r="A88" s="59" t="s">
        <v>521</v>
      </c>
      <c r="B88" s="59" t="s">
        <v>522</v>
      </c>
      <c r="C88" s="59" t="s">
        <v>34</v>
      </c>
      <c r="D88" s="60">
        <v>0.5</v>
      </c>
      <c r="E88" s="61">
        <v>1500</v>
      </c>
      <c r="F88" s="61">
        <v>23000</v>
      </c>
      <c r="G88" s="61">
        <v>1500</v>
      </c>
      <c r="H88" s="61">
        <v>1000</v>
      </c>
      <c r="I88" s="61">
        <v>2000</v>
      </c>
      <c r="J88" s="61">
        <f t="shared" si="14"/>
        <v>750</v>
      </c>
      <c r="K88" s="61">
        <f t="shared" si="15"/>
        <v>11500</v>
      </c>
      <c r="L88" s="61">
        <f t="shared" si="16"/>
        <v>750</v>
      </c>
      <c r="M88" s="61">
        <f t="shared" si="17"/>
        <v>500</v>
      </c>
      <c r="N88" s="61">
        <f t="shared" si="18"/>
        <v>1000</v>
      </c>
      <c r="O88" s="61">
        <v>23600</v>
      </c>
      <c r="P88" s="61">
        <v>9800</v>
      </c>
      <c r="Q88" s="61">
        <v>14000</v>
      </c>
      <c r="R88" s="61">
        <v>4000</v>
      </c>
      <c r="S88" s="61">
        <v>4000</v>
      </c>
      <c r="T88" s="61">
        <v>0</v>
      </c>
      <c r="U88" s="61">
        <v>0</v>
      </c>
      <c r="V88" s="61">
        <v>0</v>
      </c>
      <c r="W88" s="61">
        <v>0</v>
      </c>
      <c r="X88" s="61">
        <v>0</v>
      </c>
      <c r="Y88" s="61">
        <v>0</v>
      </c>
      <c r="Z88" s="61">
        <f t="shared" si="19"/>
        <v>69900</v>
      </c>
      <c r="AA88" s="61">
        <v>69900</v>
      </c>
      <c r="AB88" s="61">
        <f t="shared" si="20"/>
        <v>0</v>
      </c>
    </row>
    <row r="89" spans="1:28" ht="15" x14ac:dyDescent="0.35">
      <c r="A89" s="59" t="s">
        <v>521</v>
      </c>
      <c r="B89" s="59" t="s">
        <v>532</v>
      </c>
      <c r="C89" s="59" t="s">
        <v>36</v>
      </c>
      <c r="D89" s="60">
        <v>0.5</v>
      </c>
      <c r="E89" s="61">
        <v>1500</v>
      </c>
      <c r="F89" s="61">
        <v>23000</v>
      </c>
      <c r="G89" s="61">
        <v>1500</v>
      </c>
      <c r="H89" s="61">
        <v>1000</v>
      </c>
      <c r="I89" s="61">
        <v>0</v>
      </c>
      <c r="J89" s="61">
        <f t="shared" si="14"/>
        <v>750</v>
      </c>
      <c r="K89" s="61">
        <f t="shared" si="15"/>
        <v>11500</v>
      </c>
      <c r="L89" s="61">
        <f t="shared" si="16"/>
        <v>750</v>
      </c>
      <c r="M89" s="61">
        <f t="shared" si="17"/>
        <v>500</v>
      </c>
      <c r="N89" s="61">
        <f t="shared" si="18"/>
        <v>0</v>
      </c>
      <c r="O89" s="61">
        <v>12500</v>
      </c>
      <c r="P89" s="61">
        <v>3800</v>
      </c>
      <c r="Q89" s="61">
        <v>14000</v>
      </c>
      <c r="R89" s="61">
        <v>4000</v>
      </c>
      <c r="S89" s="61">
        <v>4000</v>
      </c>
      <c r="T89" s="61">
        <v>0</v>
      </c>
      <c r="U89" s="61">
        <v>0</v>
      </c>
      <c r="V89" s="61">
        <v>0</v>
      </c>
      <c r="W89" s="61">
        <v>0</v>
      </c>
      <c r="X89" s="61">
        <v>0</v>
      </c>
      <c r="Y89" s="61">
        <v>0</v>
      </c>
      <c r="Z89" s="61">
        <f t="shared" si="19"/>
        <v>51800</v>
      </c>
      <c r="AA89" s="61">
        <v>51800</v>
      </c>
      <c r="AB89" s="61">
        <f t="shared" si="20"/>
        <v>0</v>
      </c>
    </row>
    <row r="90" spans="1:28" ht="15" x14ac:dyDescent="0.35">
      <c r="A90" s="59" t="s">
        <v>125</v>
      </c>
      <c r="B90" s="59" t="s">
        <v>126</v>
      </c>
      <c r="C90" s="59" t="s">
        <v>30</v>
      </c>
      <c r="D90" s="60">
        <v>0.5</v>
      </c>
      <c r="E90" s="61">
        <v>2500</v>
      </c>
      <c r="F90" s="61">
        <v>29500</v>
      </c>
      <c r="G90" s="61">
        <v>2500</v>
      </c>
      <c r="H90" s="61">
        <v>1500</v>
      </c>
      <c r="I90" s="61">
        <v>5000</v>
      </c>
      <c r="J90" s="61">
        <f t="shared" si="14"/>
        <v>1250</v>
      </c>
      <c r="K90" s="61">
        <f t="shared" si="15"/>
        <v>14750</v>
      </c>
      <c r="L90" s="61">
        <f t="shared" si="16"/>
        <v>1250</v>
      </c>
      <c r="M90" s="61">
        <f t="shared" si="17"/>
        <v>750</v>
      </c>
      <c r="N90" s="61">
        <f t="shared" si="18"/>
        <v>2500</v>
      </c>
      <c r="O90" s="61">
        <v>16500</v>
      </c>
      <c r="P90" s="61">
        <v>25000</v>
      </c>
      <c r="Q90" s="61">
        <v>10000</v>
      </c>
      <c r="R90" s="61">
        <v>6000</v>
      </c>
      <c r="S90" s="61">
        <v>6000</v>
      </c>
      <c r="T90" s="61">
        <v>0</v>
      </c>
      <c r="U90" s="61">
        <v>0</v>
      </c>
      <c r="V90" s="61">
        <v>0</v>
      </c>
      <c r="W90" s="61">
        <v>0</v>
      </c>
      <c r="X90" s="61">
        <v>0</v>
      </c>
      <c r="Y90" s="61">
        <v>26275</v>
      </c>
      <c r="Z90" s="61">
        <f t="shared" si="19"/>
        <v>110275</v>
      </c>
      <c r="AA90" s="61">
        <v>91000</v>
      </c>
      <c r="AB90" s="61">
        <f t="shared" si="20"/>
        <v>19275</v>
      </c>
    </row>
    <row r="91" spans="1:28" ht="15" x14ac:dyDescent="0.35">
      <c r="A91" s="59" t="s">
        <v>533</v>
      </c>
      <c r="B91" s="59" t="s">
        <v>534</v>
      </c>
      <c r="C91" s="59" t="s">
        <v>36</v>
      </c>
      <c r="D91" s="60">
        <v>0.25</v>
      </c>
      <c r="E91" s="61">
        <v>1500</v>
      </c>
      <c r="F91" s="61">
        <v>23000</v>
      </c>
      <c r="G91" s="61">
        <v>1500</v>
      </c>
      <c r="H91" s="61">
        <v>1000</v>
      </c>
      <c r="I91" s="61">
        <v>0</v>
      </c>
      <c r="J91" s="61">
        <f t="shared" si="14"/>
        <v>1125</v>
      </c>
      <c r="K91" s="61">
        <f t="shared" si="15"/>
        <v>17250</v>
      </c>
      <c r="L91" s="61">
        <f t="shared" si="16"/>
        <v>1125</v>
      </c>
      <c r="M91" s="61">
        <f t="shared" si="17"/>
        <v>750</v>
      </c>
      <c r="N91" s="61">
        <f t="shared" si="18"/>
        <v>0</v>
      </c>
      <c r="O91" s="61">
        <v>12500</v>
      </c>
      <c r="P91" s="61">
        <v>3800</v>
      </c>
      <c r="Q91" s="61">
        <v>14000</v>
      </c>
      <c r="R91" s="61">
        <v>4000</v>
      </c>
      <c r="S91" s="61">
        <v>4000</v>
      </c>
      <c r="T91" s="61">
        <v>0</v>
      </c>
      <c r="U91" s="61">
        <v>0</v>
      </c>
      <c r="V91" s="61">
        <v>0</v>
      </c>
      <c r="W91" s="61">
        <v>0</v>
      </c>
      <c r="X91" s="61">
        <v>0</v>
      </c>
      <c r="Y91" s="61">
        <v>0</v>
      </c>
      <c r="Z91" s="61">
        <f t="shared" si="19"/>
        <v>58550</v>
      </c>
      <c r="AA91" s="61">
        <v>58550</v>
      </c>
      <c r="AB91" s="61">
        <f t="shared" si="20"/>
        <v>0</v>
      </c>
    </row>
    <row r="92" spans="1:28" ht="15" x14ac:dyDescent="0.35">
      <c r="A92" s="59" t="s">
        <v>533</v>
      </c>
      <c r="B92" s="59" t="s">
        <v>544</v>
      </c>
      <c r="C92" s="59" t="s">
        <v>52</v>
      </c>
      <c r="D92" s="60">
        <v>0.25</v>
      </c>
      <c r="E92" s="61">
        <v>1500</v>
      </c>
      <c r="F92" s="61">
        <v>25000</v>
      </c>
      <c r="G92" s="61">
        <v>2000</v>
      </c>
      <c r="H92" s="61">
        <v>2500</v>
      </c>
      <c r="I92" s="61">
        <v>4000</v>
      </c>
      <c r="J92" s="61">
        <f t="shared" si="14"/>
        <v>1125</v>
      </c>
      <c r="K92" s="61">
        <f t="shared" si="15"/>
        <v>18750</v>
      </c>
      <c r="L92" s="61">
        <f t="shared" si="16"/>
        <v>1500</v>
      </c>
      <c r="M92" s="61">
        <f t="shared" si="17"/>
        <v>1875</v>
      </c>
      <c r="N92" s="61">
        <f t="shared" si="18"/>
        <v>3000</v>
      </c>
      <c r="O92" s="61">
        <v>24400</v>
      </c>
      <c r="P92" s="61">
        <v>10400</v>
      </c>
      <c r="Q92" s="61">
        <v>16000</v>
      </c>
      <c r="R92" s="61">
        <v>4000</v>
      </c>
      <c r="S92" s="61">
        <v>4000</v>
      </c>
      <c r="T92" s="61">
        <v>5000</v>
      </c>
      <c r="U92" s="61">
        <v>0</v>
      </c>
      <c r="V92" s="61">
        <v>0</v>
      </c>
      <c r="W92" s="61">
        <v>0</v>
      </c>
      <c r="X92" s="61">
        <v>0</v>
      </c>
      <c r="Y92" s="61">
        <v>0</v>
      </c>
      <c r="Z92" s="61">
        <f t="shared" si="19"/>
        <v>90050</v>
      </c>
      <c r="AA92" s="61">
        <v>90050</v>
      </c>
      <c r="AB92" s="61">
        <f t="shared" si="20"/>
        <v>0</v>
      </c>
    </row>
    <row r="93" spans="1:28" ht="15" x14ac:dyDescent="0.35">
      <c r="A93" s="59" t="s">
        <v>305</v>
      </c>
      <c r="B93" s="59" t="s">
        <v>306</v>
      </c>
      <c r="C93" s="59" t="s">
        <v>25</v>
      </c>
      <c r="D93" s="60">
        <v>0</v>
      </c>
      <c r="E93" s="61">
        <v>0</v>
      </c>
      <c r="F93" s="61">
        <v>23000</v>
      </c>
      <c r="G93" s="61">
        <v>1500</v>
      </c>
      <c r="H93" s="61">
        <v>1000</v>
      </c>
      <c r="I93" s="61">
        <v>0</v>
      </c>
      <c r="J93" s="61">
        <f t="shared" si="14"/>
        <v>0</v>
      </c>
      <c r="K93" s="61">
        <f t="shared" si="15"/>
        <v>23000</v>
      </c>
      <c r="L93" s="61">
        <f t="shared" si="16"/>
        <v>1500</v>
      </c>
      <c r="M93" s="61">
        <f t="shared" si="17"/>
        <v>1000</v>
      </c>
      <c r="N93" s="61">
        <f t="shared" si="18"/>
        <v>0</v>
      </c>
      <c r="O93" s="61">
        <v>8800</v>
      </c>
      <c r="P93" s="61">
        <v>5300</v>
      </c>
      <c r="Q93" s="61">
        <v>0</v>
      </c>
      <c r="R93" s="61">
        <v>0</v>
      </c>
      <c r="S93" s="61">
        <v>0</v>
      </c>
      <c r="T93" s="61">
        <v>0</v>
      </c>
      <c r="U93" s="61">
        <v>0</v>
      </c>
      <c r="V93" s="61">
        <v>0</v>
      </c>
      <c r="W93" s="61">
        <v>0</v>
      </c>
      <c r="X93" s="61">
        <v>6000</v>
      </c>
      <c r="Y93" s="61">
        <v>1000</v>
      </c>
      <c r="Z93" s="61">
        <f t="shared" si="19"/>
        <v>46600</v>
      </c>
      <c r="AA93" s="61">
        <v>35000</v>
      </c>
      <c r="AB93" s="61">
        <f t="shared" si="20"/>
        <v>11600</v>
      </c>
    </row>
    <row r="94" spans="1:28" ht="15" x14ac:dyDescent="0.35">
      <c r="A94" s="59" t="s">
        <v>535</v>
      </c>
      <c r="B94" s="59" t="s">
        <v>536</v>
      </c>
      <c r="C94" s="59" t="s">
        <v>36</v>
      </c>
      <c r="D94" s="60">
        <v>0</v>
      </c>
      <c r="E94" s="61">
        <v>1500</v>
      </c>
      <c r="F94" s="61">
        <v>23000</v>
      </c>
      <c r="G94" s="61">
        <v>1500</v>
      </c>
      <c r="H94" s="61">
        <v>1000</v>
      </c>
      <c r="I94" s="61">
        <v>0</v>
      </c>
      <c r="J94" s="61">
        <f t="shared" si="14"/>
        <v>1500</v>
      </c>
      <c r="K94" s="61">
        <f t="shared" si="15"/>
        <v>23000</v>
      </c>
      <c r="L94" s="61">
        <f t="shared" si="16"/>
        <v>1500</v>
      </c>
      <c r="M94" s="61">
        <f t="shared" si="17"/>
        <v>1000</v>
      </c>
      <c r="N94" s="61">
        <f t="shared" si="18"/>
        <v>0</v>
      </c>
      <c r="O94" s="61">
        <v>12500</v>
      </c>
      <c r="P94" s="61">
        <v>3800</v>
      </c>
      <c r="Q94" s="61">
        <v>14000</v>
      </c>
      <c r="R94" s="61">
        <v>4000</v>
      </c>
      <c r="S94" s="61">
        <v>4000</v>
      </c>
      <c r="T94" s="61">
        <v>0</v>
      </c>
      <c r="U94" s="61">
        <v>0</v>
      </c>
      <c r="V94" s="61">
        <v>0</v>
      </c>
      <c r="W94" s="61">
        <v>0</v>
      </c>
      <c r="X94" s="61">
        <v>0</v>
      </c>
      <c r="Y94" s="61">
        <v>0</v>
      </c>
      <c r="Z94" s="61">
        <f t="shared" si="19"/>
        <v>65300</v>
      </c>
      <c r="AA94" s="61">
        <v>65300</v>
      </c>
      <c r="AB94" s="61">
        <f t="shared" si="20"/>
        <v>0</v>
      </c>
    </row>
    <row r="95" spans="1:28" ht="15" x14ac:dyDescent="0.35">
      <c r="A95" s="59" t="s">
        <v>134</v>
      </c>
      <c r="B95" s="59" t="s">
        <v>406</v>
      </c>
      <c r="C95" s="59" t="s">
        <v>107</v>
      </c>
      <c r="D95" s="60">
        <v>0.25</v>
      </c>
      <c r="E95" s="61">
        <v>0</v>
      </c>
      <c r="F95" s="61">
        <v>29500</v>
      </c>
      <c r="G95" s="61">
        <v>2500</v>
      </c>
      <c r="H95" s="61">
        <v>1500</v>
      </c>
      <c r="I95" s="61">
        <v>5000</v>
      </c>
      <c r="J95" s="61">
        <f t="shared" si="14"/>
        <v>0</v>
      </c>
      <c r="K95" s="61">
        <f t="shared" si="15"/>
        <v>22125</v>
      </c>
      <c r="L95" s="61">
        <f t="shared" si="16"/>
        <v>1875</v>
      </c>
      <c r="M95" s="61">
        <f t="shared" si="17"/>
        <v>1125</v>
      </c>
      <c r="N95" s="61">
        <f t="shared" si="18"/>
        <v>3750</v>
      </c>
      <c r="O95" s="61">
        <v>17800</v>
      </c>
      <c r="P95" s="61">
        <v>8000</v>
      </c>
      <c r="Q95" s="61">
        <v>0</v>
      </c>
      <c r="R95" s="61">
        <v>0</v>
      </c>
      <c r="S95" s="61">
        <v>0</v>
      </c>
      <c r="T95" s="61">
        <v>6000</v>
      </c>
      <c r="U95" s="61">
        <v>0</v>
      </c>
      <c r="V95" s="61">
        <v>0</v>
      </c>
      <c r="W95" s="61">
        <v>0</v>
      </c>
      <c r="X95" s="61">
        <v>0</v>
      </c>
      <c r="Y95" s="61">
        <v>2125</v>
      </c>
      <c r="Z95" s="61">
        <f t="shared" si="19"/>
        <v>62800</v>
      </c>
      <c r="AA95" s="61">
        <v>60000</v>
      </c>
      <c r="AB95" s="61">
        <f t="shared" si="20"/>
        <v>2800</v>
      </c>
    </row>
    <row r="96" spans="1:28" ht="15" x14ac:dyDescent="0.35">
      <c r="A96" s="59" t="s">
        <v>134</v>
      </c>
      <c r="B96" s="59" t="s">
        <v>523</v>
      </c>
      <c r="C96" s="59" t="s">
        <v>34</v>
      </c>
      <c r="D96" s="60">
        <v>0.25</v>
      </c>
      <c r="E96" s="61">
        <v>1500</v>
      </c>
      <c r="F96" s="61">
        <v>23000</v>
      </c>
      <c r="G96" s="61">
        <v>1500</v>
      </c>
      <c r="H96" s="61">
        <v>1000</v>
      </c>
      <c r="I96" s="61">
        <v>2000</v>
      </c>
      <c r="J96" s="61">
        <f t="shared" si="14"/>
        <v>1125</v>
      </c>
      <c r="K96" s="61">
        <f t="shared" si="15"/>
        <v>17250</v>
      </c>
      <c r="L96" s="61">
        <f t="shared" si="16"/>
        <v>1125</v>
      </c>
      <c r="M96" s="61">
        <f t="shared" si="17"/>
        <v>750</v>
      </c>
      <c r="N96" s="61">
        <f t="shared" si="18"/>
        <v>1500</v>
      </c>
      <c r="O96" s="61">
        <v>23600</v>
      </c>
      <c r="P96" s="61">
        <v>9800</v>
      </c>
      <c r="Q96" s="61">
        <v>14000</v>
      </c>
      <c r="R96" s="61">
        <v>4000</v>
      </c>
      <c r="S96" s="61">
        <v>4000</v>
      </c>
      <c r="T96" s="61">
        <v>5000</v>
      </c>
      <c r="U96" s="61">
        <v>0</v>
      </c>
      <c r="V96" s="61">
        <v>0</v>
      </c>
      <c r="W96" s="61">
        <v>0</v>
      </c>
      <c r="X96" s="61">
        <v>0</v>
      </c>
      <c r="Y96" s="61">
        <v>0</v>
      </c>
      <c r="Z96" s="61">
        <f t="shared" si="19"/>
        <v>82150</v>
      </c>
      <c r="AA96" s="61">
        <v>82150</v>
      </c>
      <c r="AB96" s="61">
        <f t="shared" si="20"/>
        <v>0</v>
      </c>
    </row>
    <row r="97" spans="1:28" ht="15" x14ac:dyDescent="0.35">
      <c r="A97" s="59" t="s">
        <v>134</v>
      </c>
      <c r="B97" s="59" t="s">
        <v>537</v>
      </c>
      <c r="C97" s="59" t="s">
        <v>36</v>
      </c>
      <c r="D97" s="60">
        <v>0.25</v>
      </c>
      <c r="E97" s="61">
        <v>1500</v>
      </c>
      <c r="F97" s="61">
        <v>23000</v>
      </c>
      <c r="G97" s="61">
        <v>1500</v>
      </c>
      <c r="H97" s="61">
        <v>1000</v>
      </c>
      <c r="I97" s="61">
        <v>0</v>
      </c>
      <c r="J97" s="61">
        <f t="shared" si="14"/>
        <v>1125</v>
      </c>
      <c r="K97" s="61">
        <f t="shared" si="15"/>
        <v>17250</v>
      </c>
      <c r="L97" s="61">
        <f t="shared" si="16"/>
        <v>1125</v>
      </c>
      <c r="M97" s="61">
        <f t="shared" si="17"/>
        <v>750</v>
      </c>
      <c r="N97" s="61">
        <f t="shared" si="18"/>
        <v>0</v>
      </c>
      <c r="O97" s="61">
        <v>12500</v>
      </c>
      <c r="P97" s="61">
        <v>3800</v>
      </c>
      <c r="Q97" s="61">
        <v>14000</v>
      </c>
      <c r="R97" s="61">
        <v>4000</v>
      </c>
      <c r="S97" s="61">
        <v>4000</v>
      </c>
      <c r="T97" s="61">
        <v>5000</v>
      </c>
      <c r="U97" s="61">
        <v>0</v>
      </c>
      <c r="V97" s="61">
        <v>0</v>
      </c>
      <c r="W97" s="61">
        <v>0</v>
      </c>
      <c r="X97" s="61">
        <v>0</v>
      </c>
      <c r="Y97" s="61">
        <v>0</v>
      </c>
      <c r="Z97" s="61">
        <f t="shared" si="19"/>
        <v>63550</v>
      </c>
      <c r="AA97" s="61">
        <v>63550</v>
      </c>
      <c r="AB97" s="61">
        <f t="shared" si="20"/>
        <v>0</v>
      </c>
    </row>
    <row r="98" spans="1:28" ht="15" x14ac:dyDescent="0.35">
      <c r="A98" s="59" t="s">
        <v>134</v>
      </c>
      <c r="B98" s="59" t="s">
        <v>97</v>
      </c>
      <c r="C98" s="59" t="s">
        <v>66</v>
      </c>
      <c r="D98" s="60">
        <v>0.25</v>
      </c>
      <c r="E98" s="61">
        <v>0</v>
      </c>
      <c r="F98" s="61">
        <v>25000</v>
      </c>
      <c r="G98" s="61">
        <v>2000</v>
      </c>
      <c r="H98" s="61">
        <v>0</v>
      </c>
      <c r="I98" s="61">
        <v>4000</v>
      </c>
      <c r="J98" s="61">
        <f t="shared" ref="J98:J105" si="21">(1-$D98)*E98</f>
        <v>0</v>
      </c>
      <c r="K98" s="61">
        <f t="shared" ref="K98:K105" si="22">(1-$D98)*F98</f>
        <v>18750</v>
      </c>
      <c r="L98" s="61">
        <f t="shared" ref="L98:L105" si="23">(1-$D98)*G98</f>
        <v>1500</v>
      </c>
      <c r="M98" s="61">
        <f t="shared" ref="M98:M105" si="24">(1-$D98)*H98</f>
        <v>0</v>
      </c>
      <c r="N98" s="61">
        <f t="shared" ref="N98:N105" si="25">(1-$D98)*I98</f>
        <v>3000</v>
      </c>
      <c r="O98" s="61">
        <v>25500</v>
      </c>
      <c r="P98" s="61">
        <v>12000</v>
      </c>
      <c r="Q98" s="61">
        <v>8000</v>
      </c>
      <c r="R98" s="61">
        <v>0</v>
      </c>
      <c r="S98" s="61">
        <v>0</v>
      </c>
      <c r="T98" s="61">
        <v>5000</v>
      </c>
      <c r="U98" s="61">
        <v>0</v>
      </c>
      <c r="V98" s="61">
        <v>0</v>
      </c>
      <c r="W98" s="61">
        <v>0</v>
      </c>
      <c r="X98" s="61">
        <v>0</v>
      </c>
      <c r="Y98" s="61">
        <v>5950</v>
      </c>
      <c r="Z98" s="61">
        <f t="shared" ref="Z98:Z129" si="26">SUM(J98:Y98)</f>
        <v>79700</v>
      </c>
      <c r="AA98" s="61">
        <v>75000</v>
      </c>
      <c r="AB98" s="61">
        <f t="shared" ref="AB98:AB129" si="27">Z98-AA98</f>
        <v>4700</v>
      </c>
    </row>
    <row r="99" spans="1:28" ht="15" x14ac:dyDescent="0.35">
      <c r="A99" s="59" t="s">
        <v>550</v>
      </c>
      <c r="B99" s="59" t="s">
        <v>551</v>
      </c>
      <c r="C99" s="59" t="s">
        <v>57</v>
      </c>
      <c r="D99" s="60">
        <v>0</v>
      </c>
      <c r="E99" s="61">
        <v>2500</v>
      </c>
      <c r="F99" s="61">
        <v>37000</v>
      </c>
      <c r="G99" s="61">
        <v>2500</v>
      </c>
      <c r="H99" s="61">
        <v>1500</v>
      </c>
      <c r="I99" s="61">
        <v>7000</v>
      </c>
      <c r="J99" s="61">
        <f t="shared" si="21"/>
        <v>2500</v>
      </c>
      <c r="K99" s="61">
        <f t="shared" si="22"/>
        <v>37000</v>
      </c>
      <c r="L99" s="61">
        <f t="shared" si="23"/>
        <v>2500</v>
      </c>
      <c r="M99" s="61">
        <f t="shared" si="24"/>
        <v>1500</v>
      </c>
      <c r="N99" s="61">
        <f t="shared" si="25"/>
        <v>7000</v>
      </c>
      <c r="O99" s="61">
        <v>10800</v>
      </c>
      <c r="P99" s="61">
        <v>23000</v>
      </c>
      <c r="Q99" s="61">
        <v>15000</v>
      </c>
      <c r="R99" s="61">
        <v>6000</v>
      </c>
      <c r="S99" s="61">
        <v>6000</v>
      </c>
      <c r="T99" s="61">
        <v>6000</v>
      </c>
      <c r="U99" s="61">
        <v>0</v>
      </c>
      <c r="V99" s="61">
        <v>0</v>
      </c>
      <c r="W99" s="61">
        <v>0</v>
      </c>
      <c r="X99" s="61">
        <v>0</v>
      </c>
      <c r="Y99" s="61">
        <v>0</v>
      </c>
      <c r="Z99" s="61">
        <f t="shared" si="26"/>
        <v>117300</v>
      </c>
      <c r="AA99" s="61">
        <v>117300</v>
      </c>
      <c r="AB99" s="61">
        <f t="shared" si="27"/>
        <v>0</v>
      </c>
    </row>
    <row r="100" spans="1:28" ht="15" x14ac:dyDescent="0.35">
      <c r="A100" s="59" t="s">
        <v>307</v>
      </c>
      <c r="B100" s="59" t="s">
        <v>308</v>
      </c>
      <c r="C100" s="59" t="s">
        <v>25</v>
      </c>
      <c r="D100" s="60">
        <v>0.25</v>
      </c>
      <c r="E100" s="61">
        <v>0</v>
      </c>
      <c r="F100" s="61">
        <v>23000</v>
      </c>
      <c r="G100" s="61">
        <v>1500</v>
      </c>
      <c r="H100" s="61">
        <v>1000</v>
      </c>
      <c r="I100" s="61">
        <v>0</v>
      </c>
      <c r="J100" s="61">
        <f t="shared" si="21"/>
        <v>0</v>
      </c>
      <c r="K100" s="61">
        <f t="shared" si="22"/>
        <v>17250</v>
      </c>
      <c r="L100" s="61">
        <f t="shared" si="23"/>
        <v>1125</v>
      </c>
      <c r="M100" s="61">
        <f t="shared" si="24"/>
        <v>750</v>
      </c>
      <c r="N100" s="61">
        <f t="shared" si="25"/>
        <v>0</v>
      </c>
      <c r="O100" s="61">
        <v>13200</v>
      </c>
      <c r="P100" s="61">
        <v>5300</v>
      </c>
      <c r="Q100" s="61">
        <v>14000</v>
      </c>
      <c r="R100" s="61">
        <v>0</v>
      </c>
      <c r="S100" s="61">
        <v>0</v>
      </c>
      <c r="T100" s="61">
        <v>5000</v>
      </c>
      <c r="U100" s="61">
        <v>0</v>
      </c>
      <c r="V100" s="61">
        <v>0</v>
      </c>
      <c r="W100" s="61">
        <v>0</v>
      </c>
      <c r="X100" s="61">
        <v>0</v>
      </c>
      <c r="Y100" s="61">
        <v>0</v>
      </c>
      <c r="Z100" s="61">
        <f t="shared" si="26"/>
        <v>56625</v>
      </c>
      <c r="AA100" s="61">
        <v>57250</v>
      </c>
      <c r="AB100" s="61">
        <f t="shared" si="27"/>
        <v>-625</v>
      </c>
    </row>
    <row r="101" spans="1:28" ht="15" x14ac:dyDescent="0.35">
      <c r="A101" s="59" t="s">
        <v>136</v>
      </c>
      <c r="B101" s="59" t="s">
        <v>408</v>
      </c>
      <c r="C101" s="59" t="s">
        <v>30</v>
      </c>
      <c r="D101" s="60">
        <v>0.5</v>
      </c>
      <c r="E101" s="61">
        <v>2500</v>
      </c>
      <c r="F101" s="61">
        <v>29500</v>
      </c>
      <c r="G101" s="61">
        <v>2500</v>
      </c>
      <c r="H101" s="61">
        <v>1500</v>
      </c>
      <c r="I101" s="61">
        <v>5000</v>
      </c>
      <c r="J101" s="61">
        <f t="shared" si="21"/>
        <v>1250</v>
      </c>
      <c r="K101" s="61">
        <f t="shared" si="22"/>
        <v>14750</v>
      </c>
      <c r="L101" s="61">
        <f t="shared" si="23"/>
        <v>1250</v>
      </c>
      <c r="M101" s="61">
        <f t="shared" si="24"/>
        <v>750</v>
      </c>
      <c r="N101" s="61">
        <f t="shared" si="25"/>
        <v>2500</v>
      </c>
      <c r="O101" s="61">
        <v>16500</v>
      </c>
      <c r="P101" s="61">
        <v>25000</v>
      </c>
      <c r="Q101" s="61">
        <v>10000</v>
      </c>
      <c r="R101" s="61">
        <v>6000</v>
      </c>
      <c r="S101" s="61">
        <v>6000</v>
      </c>
      <c r="T101" s="61">
        <v>0</v>
      </c>
      <c r="U101" s="61">
        <v>0</v>
      </c>
      <c r="V101" s="61">
        <v>0</v>
      </c>
      <c r="W101" s="61">
        <v>0</v>
      </c>
      <c r="X101" s="61">
        <v>0</v>
      </c>
      <c r="Y101" s="61">
        <v>4430</v>
      </c>
      <c r="Z101" s="61">
        <f t="shared" si="26"/>
        <v>88430</v>
      </c>
      <c r="AA101" s="61">
        <v>88430</v>
      </c>
      <c r="AB101" s="61">
        <f t="shared" si="27"/>
        <v>0</v>
      </c>
    </row>
    <row r="102" spans="1:28" ht="15" x14ac:dyDescent="0.35">
      <c r="A102" s="59" t="s">
        <v>136</v>
      </c>
      <c r="B102" s="59" t="s">
        <v>407</v>
      </c>
      <c r="C102" s="59" t="s">
        <v>107</v>
      </c>
      <c r="D102" s="60">
        <v>0.25</v>
      </c>
      <c r="E102" s="61">
        <v>0</v>
      </c>
      <c r="F102" s="61">
        <v>29500</v>
      </c>
      <c r="G102" s="61">
        <v>2500</v>
      </c>
      <c r="H102" s="61">
        <v>1500</v>
      </c>
      <c r="I102" s="61">
        <v>5000</v>
      </c>
      <c r="J102" s="61">
        <f t="shared" si="21"/>
        <v>0</v>
      </c>
      <c r="K102" s="61">
        <f t="shared" si="22"/>
        <v>22125</v>
      </c>
      <c r="L102" s="61">
        <f t="shared" si="23"/>
        <v>1875</v>
      </c>
      <c r="M102" s="61">
        <f t="shared" si="24"/>
        <v>1125</v>
      </c>
      <c r="N102" s="61">
        <f t="shared" si="25"/>
        <v>3750</v>
      </c>
      <c r="O102" s="61">
        <v>17800</v>
      </c>
      <c r="P102" s="61">
        <v>8000</v>
      </c>
      <c r="Q102" s="61">
        <v>0</v>
      </c>
      <c r="R102" s="61">
        <v>0</v>
      </c>
      <c r="S102" s="61">
        <v>0</v>
      </c>
      <c r="T102" s="61">
        <v>0</v>
      </c>
      <c r="U102" s="61">
        <v>0</v>
      </c>
      <c r="V102" s="61">
        <v>0</v>
      </c>
      <c r="W102" s="61">
        <v>0</v>
      </c>
      <c r="X102" s="61">
        <v>0</v>
      </c>
      <c r="Y102" s="61">
        <v>2625</v>
      </c>
      <c r="Z102" s="61">
        <f t="shared" si="26"/>
        <v>57300</v>
      </c>
      <c r="AA102" s="61">
        <v>57300</v>
      </c>
      <c r="AB102" s="61">
        <f t="shared" si="27"/>
        <v>0</v>
      </c>
    </row>
    <row r="103" spans="1:28" ht="15" x14ac:dyDescent="0.35">
      <c r="A103" s="59" t="s">
        <v>524</v>
      </c>
      <c r="B103" s="59" t="s">
        <v>525</v>
      </c>
      <c r="C103" s="59" t="s">
        <v>34</v>
      </c>
      <c r="D103" s="60">
        <v>0</v>
      </c>
      <c r="E103" s="61">
        <v>1500</v>
      </c>
      <c r="F103" s="61">
        <v>23000</v>
      </c>
      <c r="G103" s="61">
        <v>1500</v>
      </c>
      <c r="H103" s="61">
        <v>1000</v>
      </c>
      <c r="I103" s="61">
        <v>2000</v>
      </c>
      <c r="J103" s="61">
        <f t="shared" si="21"/>
        <v>1500</v>
      </c>
      <c r="K103" s="61">
        <f t="shared" si="22"/>
        <v>23000</v>
      </c>
      <c r="L103" s="61">
        <f t="shared" si="23"/>
        <v>1500</v>
      </c>
      <c r="M103" s="61">
        <f t="shared" si="24"/>
        <v>1000</v>
      </c>
      <c r="N103" s="61">
        <f t="shared" si="25"/>
        <v>2000</v>
      </c>
      <c r="O103" s="61">
        <v>23600</v>
      </c>
      <c r="P103" s="61">
        <v>9800</v>
      </c>
      <c r="Q103" s="61">
        <v>14000</v>
      </c>
      <c r="R103" s="61">
        <v>4000</v>
      </c>
      <c r="S103" s="61">
        <v>4000</v>
      </c>
      <c r="T103" s="61">
        <v>0</v>
      </c>
      <c r="U103" s="61">
        <v>0</v>
      </c>
      <c r="V103" s="61">
        <v>0</v>
      </c>
      <c r="W103" s="61">
        <v>0</v>
      </c>
      <c r="X103" s="61">
        <v>0</v>
      </c>
      <c r="Y103" s="61">
        <v>0</v>
      </c>
      <c r="Z103" s="61">
        <f t="shared" si="26"/>
        <v>84400</v>
      </c>
      <c r="AA103" s="61">
        <v>84400</v>
      </c>
      <c r="AB103" s="61">
        <f t="shared" si="27"/>
        <v>0</v>
      </c>
    </row>
    <row r="104" spans="1:28" ht="15" x14ac:dyDescent="0.35">
      <c r="A104" s="59" t="s">
        <v>494</v>
      </c>
      <c r="B104" s="59" t="s">
        <v>63</v>
      </c>
      <c r="C104" s="59" t="s">
        <v>71</v>
      </c>
      <c r="D104" s="60">
        <v>0</v>
      </c>
      <c r="E104" s="61">
        <v>1500</v>
      </c>
      <c r="F104" s="61">
        <v>23000</v>
      </c>
      <c r="G104" s="61">
        <v>1000</v>
      </c>
      <c r="H104" s="61">
        <v>1000</v>
      </c>
      <c r="I104" s="61">
        <v>0</v>
      </c>
      <c r="J104" s="61">
        <f t="shared" si="21"/>
        <v>1500</v>
      </c>
      <c r="K104" s="61">
        <f t="shared" si="22"/>
        <v>23000</v>
      </c>
      <c r="L104" s="61">
        <f t="shared" si="23"/>
        <v>1000</v>
      </c>
      <c r="M104" s="61">
        <f t="shared" si="24"/>
        <v>1000</v>
      </c>
      <c r="N104" s="61">
        <f t="shared" si="25"/>
        <v>0</v>
      </c>
      <c r="O104" s="61">
        <v>0</v>
      </c>
      <c r="P104" s="61">
        <v>2400</v>
      </c>
      <c r="Q104" s="61">
        <v>0</v>
      </c>
      <c r="R104" s="61">
        <v>0</v>
      </c>
      <c r="S104" s="61">
        <v>0</v>
      </c>
      <c r="T104" s="61">
        <v>0</v>
      </c>
      <c r="U104" s="61">
        <v>0</v>
      </c>
      <c r="V104" s="61">
        <v>0</v>
      </c>
      <c r="W104" s="61">
        <v>0</v>
      </c>
      <c r="X104" s="61">
        <v>0</v>
      </c>
      <c r="Y104" s="61">
        <v>0</v>
      </c>
      <c r="Z104" s="61">
        <f t="shared" si="26"/>
        <v>28900</v>
      </c>
      <c r="AA104" s="61">
        <v>28900</v>
      </c>
      <c r="AB104" s="61">
        <f t="shared" si="27"/>
        <v>0</v>
      </c>
    </row>
    <row r="105" spans="1:28" ht="15" x14ac:dyDescent="0.35">
      <c r="A105" s="59" t="s">
        <v>495</v>
      </c>
      <c r="B105" s="59" t="s">
        <v>496</v>
      </c>
      <c r="C105" s="59" t="s">
        <v>71</v>
      </c>
      <c r="D105" s="60">
        <v>0</v>
      </c>
      <c r="E105" s="61">
        <v>1500</v>
      </c>
      <c r="F105" s="61">
        <v>23000</v>
      </c>
      <c r="G105" s="61">
        <v>1000</v>
      </c>
      <c r="H105" s="61">
        <v>1000</v>
      </c>
      <c r="I105" s="61">
        <v>0</v>
      </c>
      <c r="J105" s="61">
        <f t="shared" si="21"/>
        <v>1500</v>
      </c>
      <c r="K105" s="61">
        <f t="shared" si="22"/>
        <v>23000</v>
      </c>
      <c r="L105" s="61">
        <f t="shared" si="23"/>
        <v>1000</v>
      </c>
      <c r="M105" s="61">
        <f t="shared" si="24"/>
        <v>1000</v>
      </c>
      <c r="N105" s="61">
        <f t="shared" si="25"/>
        <v>0</v>
      </c>
      <c r="O105" s="61">
        <v>0</v>
      </c>
      <c r="P105" s="61">
        <v>2400</v>
      </c>
      <c r="Q105" s="61">
        <v>14000</v>
      </c>
      <c r="R105" s="61">
        <v>4000</v>
      </c>
      <c r="S105" s="61">
        <v>4000</v>
      </c>
      <c r="T105" s="61">
        <v>0</v>
      </c>
      <c r="U105" s="61">
        <v>0</v>
      </c>
      <c r="V105" s="61">
        <v>0</v>
      </c>
      <c r="W105" s="61">
        <v>0</v>
      </c>
      <c r="X105" s="61">
        <v>0</v>
      </c>
      <c r="Y105" s="61">
        <v>0</v>
      </c>
      <c r="Z105" s="61">
        <f t="shared" si="26"/>
        <v>50900</v>
      </c>
      <c r="AA105" s="61">
        <v>50000</v>
      </c>
      <c r="AB105" s="61">
        <f t="shared" si="27"/>
        <v>900</v>
      </c>
    </row>
    <row r="106" spans="1:28" ht="15" x14ac:dyDescent="0.35">
      <c r="A106" s="44"/>
      <c r="B106" s="44"/>
      <c r="C106" s="44"/>
      <c r="D106" s="45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</row>
    <row r="107" spans="1:28" ht="15" x14ac:dyDescent="0.35">
      <c r="A107" s="44"/>
      <c r="B107" s="44"/>
      <c r="C107" s="44"/>
      <c r="D107" s="45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</row>
    <row r="108" spans="1:28" ht="15" x14ac:dyDescent="0.35">
      <c r="A108" s="44"/>
      <c r="B108" s="44"/>
      <c r="C108" s="44"/>
      <c r="D108" s="45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</row>
    <row r="109" spans="1:28" ht="15" x14ac:dyDescent="0.35">
      <c r="A109" s="44"/>
      <c r="B109" s="44"/>
      <c r="C109" s="44"/>
      <c r="D109" s="45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</row>
    <row r="110" spans="1:28" ht="15" x14ac:dyDescent="0.35">
      <c r="A110" s="44"/>
      <c r="B110" s="44"/>
      <c r="C110" s="44"/>
      <c r="D110" s="45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</row>
    <row r="111" spans="1:28" ht="15" x14ac:dyDescent="0.35">
      <c r="A111" s="44"/>
      <c r="B111" s="44"/>
      <c r="C111" s="44"/>
      <c r="D111" s="45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</row>
    <row r="112" spans="1:28" ht="15" x14ac:dyDescent="0.35">
      <c r="A112" s="44"/>
      <c r="B112" s="44"/>
      <c r="C112" s="44"/>
      <c r="D112" s="45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</row>
    <row r="113" spans="1:28" ht="15" x14ac:dyDescent="0.35">
      <c r="A113" s="44"/>
      <c r="B113" s="44"/>
      <c r="C113" s="44"/>
      <c r="D113" s="45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</row>
    <row r="114" spans="1:28" ht="15" x14ac:dyDescent="0.35">
      <c r="A114" s="44"/>
      <c r="B114" s="44"/>
      <c r="C114" s="44"/>
      <c r="D114" s="45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</row>
    <row r="115" spans="1:28" ht="15" x14ac:dyDescent="0.35">
      <c r="A115" s="44"/>
      <c r="B115" s="44"/>
      <c r="C115" s="44"/>
      <c r="D115" s="45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</row>
    <row r="116" spans="1:28" ht="15" x14ac:dyDescent="0.35">
      <c r="A116" s="44"/>
      <c r="B116" s="44"/>
      <c r="C116" s="44"/>
      <c r="D116" s="45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</row>
    <row r="117" spans="1:28" ht="15" x14ac:dyDescent="0.35">
      <c r="A117" s="44"/>
      <c r="B117" s="44"/>
      <c r="C117" s="44"/>
      <c r="D117" s="45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</row>
    <row r="118" spans="1:28" ht="15" x14ac:dyDescent="0.35">
      <c r="A118" s="44"/>
      <c r="B118" s="44"/>
      <c r="C118" s="44"/>
      <c r="D118" s="45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</row>
    <row r="119" spans="1:28" ht="15" x14ac:dyDescent="0.35">
      <c r="A119" s="44"/>
      <c r="B119" s="44"/>
      <c r="C119" s="44"/>
      <c r="D119" s="45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</row>
    <row r="120" spans="1:28" ht="15" x14ac:dyDescent="0.35">
      <c r="A120" s="44"/>
      <c r="B120" s="44"/>
      <c r="C120" s="44"/>
      <c r="D120" s="45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</row>
    <row r="121" spans="1:28" ht="15" x14ac:dyDescent="0.35">
      <c r="A121" s="44"/>
      <c r="B121" s="44"/>
      <c r="C121" s="44"/>
      <c r="D121" s="45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</row>
    <row r="122" spans="1:28" ht="15" x14ac:dyDescent="0.35">
      <c r="A122" s="44"/>
      <c r="B122" s="44"/>
      <c r="C122" s="44"/>
      <c r="D122" s="45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</row>
    <row r="123" spans="1:28" ht="15" x14ac:dyDescent="0.35">
      <c r="A123" s="44"/>
      <c r="B123" s="44"/>
      <c r="C123" s="44"/>
      <c r="D123" s="45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</row>
    <row r="124" spans="1:28" ht="15" x14ac:dyDescent="0.35">
      <c r="A124" s="44"/>
      <c r="B124" s="44"/>
      <c r="C124" s="44"/>
      <c r="D124" s="45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</row>
    <row r="125" spans="1:28" ht="15" x14ac:dyDescent="0.35">
      <c r="A125" s="44"/>
      <c r="B125" s="44"/>
      <c r="C125" s="44"/>
      <c r="D125" s="45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</row>
    <row r="126" spans="1:28" ht="15" x14ac:dyDescent="0.35">
      <c r="A126" s="44"/>
      <c r="B126" s="44"/>
      <c r="C126" s="44"/>
      <c r="D126" s="45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</row>
    <row r="127" spans="1:28" ht="15" x14ac:dyDescent="0.35">
      <c r="A127" s="44"/>
      <c r="B127" s="44"/>
      <c r="C127" s="44"/>
      <c r="D127" s="45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</row>
    <row r="128" spans="1:28" ht="15" x14ac:dyDescent="0.35">
      <c r="A128" s="44"/>
      <c r="B128" s="44"/>
      <c r="C128" s="44"/>
      <c r="D128" s="45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</row>
    <row r="129" spans="1:28" ht="15" x14ac:dyDescent="0.35">
      <c r="A129" s="44"/>
      <c r="B129" s="44"/>
      <c r="C129" s="44"/>
      <c r="D129" s="45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</row>
    <row r="130" spans="1:28" ht="15" x14ac:dyDescent="0.35">
      <c r="A130" s="44"/>
      <c r="B130" s="44"/>
      <c r="C130" s="44"/>
      <c r="D130" s="45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</row>
    <row r="131" spans="1:28" ht="15" x14ac:dyDescent="0.35">
      <c r="A131" s="44"/>
      <c r="B131" s="44"/>
      <c r="C131" s="44"/>
      <c r="D131" s="45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</row>
    <row r="132" spans="1:28" ht="15" x14ac:dyDescent="0.35">
      <c r="A132" s="44"/>
      <c r="B132" s="44"/>
      <c r="C132" s="44"/>
      <c r="D132" s="45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</row>
    <row r="133" spans="1:28" ht="15" x14ac:dyDescent="0.35">
      <c r="A133" s="44"/>
      <c r="B133" s="44"/>
      <c r="C133" s="44"/>
      <c r="D133" s="45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</row>
    <row r="134" spans="1:28" ht="15" x14ac:dyDescent="0.35">
      <c r="A134" s="44"/>
      <c r="B134" s="44"/>
      <c r="C134" s="44"/>
      <c r="D134" s="45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</row>
    <row r="135" spans="1:28" ht="15" x14ac:dyDescent="0.35">
      <c r="A135" s="44"/>
      <c r="B135" s="44"/>
      <c r="C135" s="44"/>
      <c r="D135" s="45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</row>
    <row r="136" spans="1:28" ht="15" x14ac:dyDescent="0.35">
      <c r="A136" s="44"/>
      <c r="B136" s="44"/>
      <c r="C136" s="44"/>
      <c r="D136" s="45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</row>
    <row r="137" spans="1:28" ht="15" x14ac:dyDescent="0.35">
      <c r="A137" s="44"/>
      <c r="B137" s="44"/>
      <c r="C137" s="44"/>
      <c r="D137" s="45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</row>
    <row r="138" spans="1:28" ht="15" x14ac:dyDescent="0.35">
      <c r="A138" s="44"/>
      <c r="B138" s="44"/>
      <c r="C138" s="44"/>
      <c r="D138" s="45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</row>
    <row r="139" spans="1:28" ht="15" x14ac:dyDescent="0.35">
      <c r="A139" s="44"/>
      <c r="B139" s="44"/>
      <c r="C139" s="44"/>
      <c r="D139" s="45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</row>
    <row r="140" spans="1:28" ht="15" x14ac:dyDescent="0.35">
      <c r="A140" s="44"/>
      <c r="B140" s="44"/>
      <c r="C140" s="44"/>
      <c r="D140" s="45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</row>
    <row r="141" spans="1:28" ht="15" x14ac:dyDescent="0.35">
      <c r="A141" s="44"/>
      <c r="B141" s="44"/>
      <c r="C141" s="44"/>
      <c r="D141" s="45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</row>
    <row r="142" spans="1:28" ht="15" x14ac:dyDescent="0.35">
      <c r="A142" s="44"/>
      <c r="B142" s="44"/>
      <c r="C142" s="44"/>
      <c r="D142" s="45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</row>
    <row r="143" spans="1:28" ht="15" x14ac:dyDescent="0.35">
      <c r="A143" s="44"/>
      <c r="B143" s="44"/>
      <c r="C143" s="44"/>
      <c r="D143" s="45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</row>
    <row r="144" spans="1:28" ht="15" x14ac:dyDescent="0.35">
      <c r="A144" s="44"/>
      <c r="B144" s="44"/>
      <c r="C144" s="44"/>
      <c r="D144" s="45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</row>
    <row r="145" spans="1:28" ht="15" x14ac:dyDescent="0.35">
      <c r="A145" s="44"/>
      <c r="B145" s="44"/>
      <c r="C145" s="44"/>
      <c r="D145" s="45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</row>
    <row r="146" spans="1:28" ht="15" x14ac:dyDescent="0.35">
      <c r="A146" s="44"/>
      <c r="B146" s="44"/>
      <c r="C146" s="44"/>
      <c r="D146" s="45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</row>
    <row r="147" spans="1:28" ht="15" x14ac:dyDescent="0.35">
      <c r="A147" s="44"/>
      <c r="B147" s="44"/>
      <c r="C147" s="44"/>
      <c r="D147" s="45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</row>
    <row r="148" spans="1:28" ht="15" x14ac:dyDescent="0.35">
      <c r="A148" s="44"/>
      <c r="B148" s="44"/>
      <c r="C148" s="44"/>
      <c r="D148" s="45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</row>
    <row r="149" spans="1:28" ht="15" x14ac:dyDescent="0.35">
      <c r="A149" s="44"/>
      <c r="B149" s="44"/>
      <c r="C149" s="44"/>
      <c r="D149" s="45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</row>
    <row r="150" spans="1:28" ht="15" x14ac:dyDescent="0.35">
      <c r="A150" s="44"/>
      <c r="B150" s="44"/>
      <c r="C150" s="44"/>
      <c r="D150" s="45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</row>
    <row r="151" spans="1:28" ht="15" x14ac:dyDescent="0.35">
      <c r="A151" s="44"/>
      <c r="B151" s="44"/>
      <c r="C151" s="44"/>
      <c r="D151" s="45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</row>
    <row r="152" spans="1:28" ht="15" x14ac:dyDescent="0.35">
      <c r="A152" s="44"/>
      <c r="B152" s="44"/>
      <c r="C152" s="44"/>
      <c r="D152" s="45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</row>
    <row r="153" spans="1:28" ht="15" x14ac:dyDescent="0.35">
      <c r="A153" s="44"/>
      <c r="B153" s="44"/>
      <c r="C153" s="44"/>
      <c r="D153" s="45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</row>
    <row r="154" spans="1:28" ht="15" x14ac:dyDescent="0.35">
      <c r="A154" s="44"/>
      <c r="B154" s="44"/>
      <c r="C154" s="44"/>
      <c r="D154" s="45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</row>
    <row r="155" spans="1:28" ht="15" x14ac:dyDescent="0.35">
      <c r="A155" s="44"/>
      <c r="B155" s="44"/>
      <c r="C155" s="44"/>
      <c r="D155" s="45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</row>
    <row r="156" spans="1:28" ht="15" x14ac:dyDescent="0.35">
      <c r="A156" s="44"/>
      <c r="B156" s="44"/>
      <c r="C156" s="44"/>
      <c r="D156" s="45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</row>
    <row r="157" spans="1:28" ht="15" x14ac:dyDescent="0.35">
      <c r="A157" s="44"/>
      <c r="B157" s="44"/>
      <c r="C157" s="44"/>
      <c r="D157" s="45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</row>
    <row r="158" spans="1:28" ht="15" x14ac:dyDescent="0.35">
      <c r="A158" s="44"/>
      <c r="B158" s="44"/>
      <c r="C158" s="44"/>
      <c r="D158" s="45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</row>
    <row r="159" spans="1:28" ht="15" x14ac:dyDescent="0.35">
      <c r="A159" s="44"/>
      <c r="B159" s="44"/>
      <c r="C159" s="44"/>
      <c r="D159" s="45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</row>
    <row r="160" spans="1:28" ht="15" x14ac:dyDescent="0.35">
      <c r="A160" s="44"/>
      <c r="B160" s="44"/>
      <c r="C160" s="44"/>
      <c r="D160" s="45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</row>
    <row r="161" spans="1:28" ht="15" x14ac:dyDescent="0.35">
      <c r="A161" s="44"/>
      <c r="B161" s="44"/>
      <c r="C161" s="44"/>
      <c r="D161" s="45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</row>
    <row r="162" spans="1:28" ht="15" x14ac:dyDescent="0.35">
      <c r="A162" s="44"/>
      <c r="B162" s="44"/>
      <c r="C162" s="44"/>
      <c r="D162" s="45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</row>
    <row r="163" spans="1:28" ht="15" x14ac:dyDescent="0.35">
      <c r="A163" s="44"/>
      <c r="B163" s="44"/>
      <c r="C163" s="44"/>
      <c r="D163" s="45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</row>
    <row r="164" spans="1:28" ht="15" x14ac:dyDescent="0.35">
      <c r="A164" s="44"/>
      <c r="B164" s="44"/>
      <c r="C164" s="44"/>
      <c r="D164" s="45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</row>
    <row r="165" spans="1:28" ht="15" x14ac:dyDescent="0.35">
      <c r="A165" s="44"/>
      <c r="B165" s="44"/>
      <c r="C165" s="44"/>
      <c r="D165" s="45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</row>
    <row r="166" spans="1:28" ht="15" x14ac:dyDescent="0.35">
      <c r="A166" s="44"/>
      <c r="B166" s="44"/>
      <c r="C166" s="44"/>
      <c r="D166" s="45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</row>
    <row r="167" spans="1:28" ht="15" x14ac:dyDescent="0.35">
      <c r="A167" s="44"/>
      <c r="B167" s="44"/>
      <c r="C167" s="44"/>
      <c r="D167" s="45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</row>
    <row r="168" spans="1:28" ht="15" x14ac:dyDescent="0.35">
      <c r="A168" s="44"/>
      <c r="B168" s="44"/>
      <c r="C168" s="44"/>
      <c r="D168" s="45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</row>
    <row r="169" spans="1:28" ht="15" x14ac:dyDescent="0.35">
      <c r="A169" s="44"/>
      <c r="B169" s="44"/>
      <c r="C169" s="44"/>
      <c r="D169" s="45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</row>
    <row r="170" spans="1:28" ht="15" x14ac:dyDescent="0.35">
      <c r="A170" s="44"/>
      <c r="B170" s="44"/>
      <c r="C170" s="44"/>
      <c r="D170" s="45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</row>
    <row r="171" spans="1:28" ht="15" x14ac:dyDescent="0.35">
      <c r="A171" s="44"/>
      <c r="B171" s="44"/>
      <c r="C171" s="44"/>
      <c r="D171" s="45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</row>
    <row r="172" spans="1:28" ht="15" x14ac:dyDescent="0.35">
      <c r="A172" s="44"/>
      <c r="B172" s="44"/>
      <c r="C172" s="44"/>
      <c r="D172" s="45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</row>
    <row r="173" spans="1:28" ht="15" x14ac:dyDescent="0.35">
      <c r="A173" s="44"/>
      <c r="B173" s="44"/>
      <c r="C173" s="44"/>
      <c r="D173" s="45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</row>
    <row r="174" spans="1:28" ht="15" x14ac:dyDescent="0.35">
      <c r="A174" s="44"/>
      <c r="B174" s="44"/>
      <c r="C174" s="44"/>
      <c r="D174" s="45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</row>
    <row r="175" spans="1:28" ht="15" x14ac:dyDescent="0.35">
      <c r="A175" s="44"/>
      <c r="B175" s="44"/>
      <c r="C175" s="44"/>
      <c r="D175" s="45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</row>
    <row r="176" spans="1:28" ht="15" x14ac:dyDescent="0.35">
      <c r="A176" s="44"/>
      <c r="B176" s="44"/>
      <c r="C176" s="44"/>
      <c r="D176" s="45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</row>
    <row r="177" spans="1:28" ht="15" x14ac:dyDescent="0.35">
      <c r="A177" s="44"/>
      <c r="B177" s="44"/>
      <c r="C177" s="44"/>
      <c r="D177" s="45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</row>
    <row r="178" spans="1:28" ht="15" x14ac:dyDescent="0.35">
      <c r="A178" s="44"/>
      <c r="B178" s="44"/>
      <c r="C178" s="44"/>
      <c r="D178" s="45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</row>
    <row r="179" spans="1:28" ht="15" x14ac:dyDescent="0.35">
      <c r="A179" s="44"/>
      <c r="B179" s="44"/>
      <c r="C179" s="44"/>
      <c r="D179" s="45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</row>
    <row r="180" spans="1:28" ht="15" x14ac:dyDescent="0.35">
      <c r="A180" s="44"/>
      <c r="B180" s="44"/>
      <c r="C180" s="44"/>
      <c r="D180" s="45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</row>
    <row r="181" spans="1:28" ht="15" x14ac:dyDescent="0.35">
      <c r="A181" s="44"/>
      <c r="B181" s="44"/>
      <c r="C181" s="44"/>
      <c r="D181" s="45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</row>
    <row r="182" spans="1:28" ht="15" x14ac:dyDescent="0.35">
      <c r="A182" s="44"/>
      <c r="B182" s="44"/>
      <c r="C182" s="44"/>
      <c r="D182" s="45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</row>
    <row r="183" spans="1:28" ht="15" x14ac:dyDescent="0.35">
      <c r="A183" s="44"/>
      <c r="B183" s="44"/>
      <c r="C183" s="44"/>
      <c r="D183" s="45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</row>
    <row r="184" spans="1:28" ht="15" x14ac:dyDescent="0.35">
      <c r="A184" s="44"/>
      <c r="B184" s="44"/>
      <c r="C184" s="44"/>
      <c r="D184" s="45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</row>
    <row r="185" spans="1:28" ht="15" x14ac:dyDescent="0.35">
      <c r="A185" s="44"/>
      <c r="B185" s="44"/>
      <c r="C185" s="44"/>
      <c r="D185" s="45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</row>
    <row r="186" spans="1:28" ht="15" x14ac:dyDescent="0.35">
      <c r="A186" s="44"/>
      <c r="B186" s="44"/>
      <c r="C186" s="44"/>
      <c r="D186" s="45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</row>
    <row r="187" spans="1:28" ht="15" x14ac:dyDescent="0.35">
      <c r="A187" s="44"/>
      <c r="B187" s="44"/>
      <c r="C187" s="44"/>
      <c r="D187" s="45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</row>
    <row r="188" spans="1:28" ht="15" x14ac:dyDescent="0.35">
      <c r="A188" s="44"/>
      <c r="B188" s="44"/>
      <c r="C188" s="44"/>
      <c r="D188" s="45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</row>
    <row r="189" spans="1:28" ht="15" x14ac:dyDescent="0.35">
      <c r="A189" s="44"/>
      <c r="B189" s="44"/>
      <c r="C189" s="44"/>
      <c r="D189" s="45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</row>
    <row r="190" spans="1:28" ht="15" x14ac:dyDescent="0.35">
      <c r="A190" s="44"/>
      <c r="B190" s="44"/>
      <c r="C190" s="44"/>
      <c r="D190" s="45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</row>
    <row r="191" spans="1:28" ht="15" x14ac:dyDescent="0.35">
      <c r="A191" s="44"/>
      <c r="B191" s="44"/>
      <c r="C191" s="44"/>
      <c r="D191" s="45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</row>
    <row r="192" spans="1:28" ht="15" x14ac:dyDescent="0.35">
      <c r="A192" s="44"/>
      <c r="B192" s="44"/>
      <c r="C192" s="44"/>
      <c r="D192" s="45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</row>
    <row r="193" spans="1:28" ht="15" x14ac:dyDescent="0.35">
      <c r="A193" s="44"/>
      <c r="B193" s="44"/>
      <c r="C193" s="44"/>
      <c r="D193" s="45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</row>
    <row r="194" spans="1:28" ht="15" x14ac:dyDescent="0.35">
      <c r="A194" s="44"/>
      <c r="B194" s="44"/>
      <c r="C194" s="44"/>
      <c r="D194" s="45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</row>
    <row r="195" spans="1:28" ht="15" x14ac:dyDescent="0.35">
      <c r="A195" s="44"/>
      <c r="B195" s="44"/>
      <c r="C195" s="44"/>
      <c r="D195" s="45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</row>
    <row r="196" spans="1:28" ht="15" x14ac:dyDescent="0.35">
      <c r="A196" s="44"/>
      <c r="B196" s="44"/>
      <c r="C196" s="44"/>
      <c r="D196" s="45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</row>
    <row r="197" spans="1:28" ht="15" x14ac:dyDescent="0.35">
      <c r="A197" s="44"/>
      <c r="B197" s="44"/>
      <c r="C197" s="44"/>
      <c r="D197" s="45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</row>
    <row r="198" spans="1:28" ht="15" x14ac:dyDescent="0.35">
      <c r="A198" s="44"/>
      <c r="B198" s="44"/>
      <c r="C198" s="44"/>
      <c r="D198" s="45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</row>
    <row r="199" spans="1:28" ht="15" x14ac:dyDescent="0.35">
      <c r="A199" s="44"/>
      <c r="B199" s="44"/>
      <c r="C199" s="44"/>
      <c r="D199" s="45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</row>
    <row r="200" spans="1:28" ht="15" x14ac:dyDescent="0.35">
      <c r="A200" s="44"/>
      <c r="B200" s="44"/>
      <c r="C200" s="44"/>
      <c r="D200" s="45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</row>
    <row r="201" spans="1:28" ht="15" x14ac:dyDescent="0.35">
      <c r="A201" s="44"/>
      <c r="B201" s="44"/>
      <c r="C201" s="44"/>
      <c r="D201" s="45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</row>
    <row r="202" spans="1:28" ht="15" x14ac:dyDescent="0.35">
      <c r="A202" s="44"/>
      <c r="B202" s="44"/>
      <c r="C202" s="44"/>
      <c r="D202" s="45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</row>
    <row r="203" spans="1:28" ht="15" x14ac:dyDescent="0.35">
      <c r="A203" s="44"/>
      <c r="B203" s="44"/>
      <c r="C203" s="44"/>
      <c r="D203" s="45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</row>
    <row r="204" spans="1:28" ht="15" x14ac:dyDescent="0.35">
      <c r="A204" s="44"/>
      <c r="B204" s="44"/>
      <c r="C204" s="44"/>
      <c r="D204" s="45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</row>
    <row r="205" spans="1:28" ht="15" x14ac:dyDescent="0.35">
      <c r="A205" s="44"/>
      <c r="B205" s="44"/>
      <c r="C205" s="44"/>
      <c r="D205" s="45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</row>
    <row r="206" spans="1:28" ht="15" x14ac:dyDescent="0.35">
      <c r="A206" s="44"/>
      <c r="B206" s="44"/>
      <c r="C206" s="44"/>
      <c r="D206" s="45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</row>
    <row r="207" spans="1:28" ht="15" x14ac:dyDescent="0.35">
      <c r="A207" s="44"/>
      <c r="B207" s="44"/>
      <c r="C207" s="44"/>
      <c r="D207" s="45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</row>
    <row r="208" spans="1:28" ht="15" x14ac:dyDescent="0.35">
      <c r="A208" s="44"/>
      <c r="B208" s="44"/>
      <c r="C208" s="44"/>
      <c r="D208" s="45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</row>
    <row r="209" spans="1:28" ht="15" x14ac:dyDescent="0.35">
      <c r="A209" s="44"/>
      <c r="B209" s="44"/>
      <c r="C209" s="44"/>
      <c r="D209" s="45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</row>
    <row r="210" spans="1:28" ht="15" x14ac:dyDescent="0.35">
      <c r="A210" s="44"/>
      <c r="B210" s="44"/>
      <c r="C210" s="44"/>
      <c r="D210" s="45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</row>
    <row r="211" spans="1:28" ht="15" x14ac:dyDescent="0.35">
      <c r="A211" s="44"/>
      <c r="B211" s="44"/>
      <c r="C211" s="44"/>
      <c r="D211" s="45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</row>
    <row r="212" spans="1:28" ht="15" x14ac:dyDescent="0.35">
      <c r="A212" s="44"/>
      <c r="B212" s="44"/>
      <c r="C212" s="44"/>
      <c r="D212" s="45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</row>
    <row r="213" spans="1:28" ht="15" x14ac:dyDescent="0.35">
      <c r="A213" s="44"/>
      <c r="B213" s="44"/>
      <c r="C213" s="44"/>
      <c r="D213" s="45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</row>
    <row r="214" spans="1:28" ht="15" x14ac:dyDescent="0.35">
      <c r="A214" s="44"/>
      <c r="B214" s="44"/>
      <c r="C214" s="44"/>
      <c r="D214" s="45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</row>
    <row r="215" spans="1:28" ht="15" x14ac:dyDescent="0.35">
      <c r="A215" s="44"/>
      <c r="B215" s="44"/>
      <c r="C215" s="44"/>
      <c r="D215" s="45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</row>
    <row r="216" spans="1:28" ht="15" x14ac:dyDescent="0.35">
      <c r="A216" s="44"/>
      <c r="B216" s="44"/>
      <c r="C216" s="44"/>
      <c r="D216" s="45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</row>
    <row r="217" spans="1:28" ht="15" x14ac:dyDescent="0.35">
      <c r="A217" s="44"/>
      <c r="B217" s="44"/>
      <c r="C217" s="44"/>
      <c r="D217" s="45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</row>
    <row r="218" spans="1:28" ht="15" x14ac:dyDescent="0.35">
      <c r="A218" s="44"/>
      <c r="B218" s="44"/>
      <c r="C218" s="44"/>
      <c r="D218" s="45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</row>
    <row r="219" spans="1:28" ht="15" x14ac:dyDescent="0.35">
      <c r="A219" s="44"/>
      <c r="B219" s="44"/>
      <c r="C219" s="44"/>
      <c r="D219" s="45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</row>
    <row r="220" spans="1:28" ht="15" x14ac:dyDescent="0.35">
      <c r="A220" s="44"/>
      <c r="B220" s="44"/>
      <c r="C220" s="44"/>
      <c r="D220" s="45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</row>
    <row r="221" spans="1:28" ht="15" x14ac:dyDescent="0.35">
      <c r="A221" s="44"/>
      <c r="B221" s="44"/>
      <c r="C221" s="44"/>
      <c r="D221" s="45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</row>
    <row r="222" spans="1:28" ht="15" x14ac:dyDescent="0.35">
      <c r="A222" s="44"/>
      <c r="B222" s="44"/>
      <c r="C222" s="44"/>
      <c r="D222" s="45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</row>
    <row r="223" spans="1:28" ht="15" x14ac:dyDescent="0.35">
      <c r="A223" s="44"/>
      <c r="B223" s="44"/>
      <c r="C223" s="44"/>
      <c r="D223" s="45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</row>
    <row r="224" spans="1:28" ht="15" x14ac:dyDescent="0.35">
      <c r="A224" s="44"/>
      <c r="B224" s="44"/>
      <c r="C224" s="44"/>
      <c r="D224" s="45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</row>
    <row r="225" spans="1:28" ht="15" x14ac:dyDescent="0.35">
      <c r="A225" s="44"/>
      <c r="B225" s="44"/>
      <c r="C225" s="44"/>
      <c r="D225" s="45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</row>
    <row r="226" spans="1:28" ht="15" x14ac:dyDescent="0.35">
      <c r="A226" s="44"/>
      <c r="B226" s="44"/>
      <c r="C226" s="44"/>
      <c r="D226" s="45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</row>
    <row r="227" spans="1:28" ht="15" x14ac:dyDescent="0.35">
      <c r="A227" s="44"/>
      <c r="B227" s="44"/>
      <c r="C227" s="44"/>
      <c r="D227" s="45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</row>
    <row r="228" spans="1:28" ht="15" x14ac:dyDescent="0.35">
      <c r="A228" s="44"/>
      <c r="B228" s="44"/>
      <c r="C228" s="44"/>
      <c r="D228" s="45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</row>
    <row r="229" spans="1:28" ht="15" x14ac:dyDescent="0.35">
      <c r="A229" s="44"/>
      <c r="B229" s="44"/>
      <c r="C229" s="44"/>
      <c r="D229" s="45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</row>
    <row r="230" spans="1:28" ht="15" x14ac:dyDescent="0.35">
      <c r="A230" s="44"/>
      <c r="B230" s="44"/>
      <c r="C230" s="44"/>
      <c r="D230" s="45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</row>
    <row r="231" spans="1:28" ht="15" x14ac:dyDescent="0.35">
      <c r="A231" s="44"/>
      <c r="B231" s="44"/>
      <c r="C231" s="44"/>
      <c r="D231" s="45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</row>
    <row r="232" spans="1:28" ht="15" x14ac:dyDescent="0.35">
      <c r="A232" s="44"/>
      <c r="B232" s="44"/>
      <c r="C232" s="44"/>
      <c r="D232" s="45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</row>
    <row r="233" spans="1:28" ht="15" x14ac:dyDescent="0.35">
      <c r="A233" s="44"/>
      <c r="B233" s="44"/>
      <c r="C233" s="44"/>
      <c r="D233" s="45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</row>
    <row r="234" spans="1:28" ht="15" x14ac:dyDescent="0.35">
      <c r="A234" s="44"/>
      <c r="B234" s="44"/>
      <c r="C234" s="44"/>
      <c r="D234" s="45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</row>
    <row r="235" spans="1:28" ht="15" x14ac:dyDescent="0.35">
      <c r="A235" s="44"/>
      <c r="B235" s="44"/>
      <c r="C235" s="44"/>
      <c r="D235" s="45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</row>
    <row r="236" spans="1:28" ht="15" x14ac:dyDescent="0.35">
      <c r="A236" s="44"/>
      <c r="B236" s="44"/>
      <c r="C236" s="44"/>
      <c r="D236" s="45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</row>
    <row r="237" spans="1:28" ht="15" x14ac:dyDescent="0.35">
      <c r="A237" s="44"/>
      <c r="B237" s="44"/>
      <c r="C237" s="44"/>
      <c r="D237" s="45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</row>
    <row r="238" spans="1:28" ht="15" x14ac:dyDescent="0.35">
      <c r="A238" s="44"/>
      <c r="B238" s="44"/>
      <c r="C238" s="44"/>
      <c r="D238" s="45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</row>
    <row r="239" spans="1:28" ht="15" x14ac:dyDescent="0.35">
      <c r="A239" s="44"/>
      <c r="B239" s="44"/>
      <c r="C239" s="44"/>
      <c r="D239" s="45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</row>
    <row r="240" spans="1:28" ht="15" x14ac:dyDescent="0.35">
      <c r="A240" s="44"/>
      <c r="B240" s="44"/>
      <c r="C240" s="44"/>
      <c r="D240" s="45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</row>
    <row r="241" spans="1:28" ht="15" x14ac:dyDescent="0.35">
      <c r="A241" s="44"/>
      <c r="B241" s="44"/>
      <c r="C241" s="44"/>
      <c r="D241" s="45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</row>
    <row r="242" spans="1:28" ht="15" x14ac:dyDescent="0.35">
      <c r="A242" s="44"/>
      <c r="B242" s="44"/>
      <c r="C242" s="44"/>
      <c r="D242" s="45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</row>
    <row r="243" spans="1:28" ht="15" x14ac:dyDescent="0.35">
      <c r="A243" s="44"/>
      <c r="B243" s="44"/>
      <c r="C243" s="44"/>
      <c r="D243" s="45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</row>
    <row r="244" spans="1:28" ht="15" x14ac:dyDescent="0.35">
      <c r="A244" s="44"/>
      <c r="B244" s="44"/>
      <c r="C244" s="44"/>
      <c r="D244" s="45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</row>
    <row r="245" spans="1:28" ht="15" x14ac:dyDescent="0.35">
      <c r="A245" s="44"/>
      <c r="B245" s="44"/>
      <c r="C245" s="44"/>
      <c r="D245" s="45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</row>
    <row r="246" spans="1:28" ht="15" x14ac:dyDescent="0.35">
      <c r="A246" s="44"/>
      <c r="B246" s="44"/>
      <c r="C246" s="44"/>
      <c r="D246" s="45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</row>
    <row r="247" spans="1:28" ht="15" x14ac:dyDescent="0.35">
      <c r="A247" s="44"/>
      <c r="B247" s="44"/>
      <c r="C247" s="44"/>
      <c r="D247" s="45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</row>
    <row r="248" spans="1:28" ht="15" x14ac:dyDescent="0.35">
      <c r="A248" s="44"/>
      <c r="B248" s="44"/>
      <c r="C248" s="44"/>
      <c r="D248" s="45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</row>
    <row r="249" spans="1:28" ht="15" x14ac:dyDescent="0.35">
      <c r="A249" s="44"/>
      <c r="B249" s="44"/>
      <c r="C249" s="44"/>
      <c r="D249" s="45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</row>
    <row r="250" spans="1:28" ht="15" x14ac:dyDescent="0.35">
      <c r="A250" s="44"/>
      <c r="B250" s="44"/>
      <c r="C250" s="44"/>
      <c r="D250" s="45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</row>
    <row r="251" spans="1:28" ht="15" x14ac:dyDescent="0.35">
      <c r="A251" s="44"/>
      <c r="B251" s="44"/>
      <c r="C251" s="44"/>
      <c r="D251" s="45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</row>
    <row r="252" spans="1:28" ht="15" x14ac:dyDescent="0.35">
      <c r="A252" s="44"/>
      <c r="B252" s="44"/>
      <c r="C252" s="44"/>
      <c r="D252" s="45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</row>
    <row r="253" spans="1:28" ht="15" x14ac:dyDescent="0.35">
      <c r="A253" s="44"/>
      <c r="B253" s="44"/>
      <c r="C253" s="44"/>
      <c r="D253" s="45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</row>
    <row r="254" spans="1:28" ht="15" x14ac:dyDescent="0.35">
      <c r="A254" s="44"/>
      <c r="B254" s="44"/>
      <c r="C254" s="44"/>
      <c r="D254" s="45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</row>
    <row r="255" spans="1:28" ht="15" x14ac:dyDescent="0.35">
      <c r="A255" s="44"/>
      <c r="B255" s="44"/>
      <c r="C255" s="44"/>
      <c r="D255" s="45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</row>
    <row r="256" spans="1:28" ht="15" x14ac:dyDescent="0.35">
      <c r="A256" s="44"/>
      <c r="B256" s="44"/>
      <c r="C256" s="44"/>
      <c r="D256" s="45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</row>
    <row r="257" spans="1:28" ht="15" x14ac:dyDescent="0.35">
      <c r="A257" s="44"/>
      <c r="B257" s="44"/>
      <c r="C257" s="44"/>
      <c r="D257" s="45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</row>
    <row r="258" spans="1:28" ht="15" x14ac:dyDescent="0.35">
      <c r="A258" s="44"/>
      <c r="B258" s="44"/>
      <c r="C258" s="44"/>
      <c r="D258" s="45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</row>
    <row r="259" spans="1:28" ht="15" x14ac:dyDescent="0.35">
      <c r="A259" s="44"/>
      <c r="B259" s="44"/>
      <c r="C259" s="44"/>
      <c r="D259" s="45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</row>
    <row r="260" spans="1:28" ht="15" x14ac:dyDescent="0.35">
      <c r="A260" s="44"/>
      <c r="B260" s="44"/>
      <c r="C260" s="44"/>
      <c r="D260" s="45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</row>
    <row r="261" spans="1:28" ht="15" x14ac:dyDescent="0.35">
      <c r="A261" s="44"/>
      <c r="B261" s="44"/>
      <c r="C261" s="44"/>
      <c r="D261" s="45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</row>
    <row r="262" spans="1:28" ht="15" x14ac:dyDescent="0.35">
      <c r="A262" s="44"/>
      <c r="B262" s="44"/>
      <c r="C262" s="44"/>
      <c r="D262" s="45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</row>
    <row r="263" spans="1:28" ht="15" x14ac:dyDescent="0.35">
      <c r="A263" s="44"/>
      <c r="B263" s="44"/>
      <c r="C263" s="44"/>
      <c r="D263" s="45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</row>
    <row r="264" spans="1:28" ht="15" x14ac:dyDescent="0.35">
      <c r="A264" s="44"/>
      <c r="B264" s="44"/>
      <c r="C264" s="44"/>
      <c r="D264" s="45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</row>
    <row r="265" spans="1:28" ht="15" x14ac:dyDescent="0.35">
      <c r="A265" s="44"/>
      <c r="B265" s="44"/>
      <c r="C265" s="44"/>
      <c r="D265" s="45"/>
      <c r="E265" s="46"/>
      <c r="F265" s="46"/>
      <c r="G265" s="46"/>
      <c r="H265" s="46"/>
      <c r="I265" s="46"/>
      <c r="J265" s="46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</row>
    <row r="266" spans="1:28" ht="15" x14ac:dyDescent="0.35">
      <c r="A266" s="44"/>
      <c r="B266" s="44"/>
      <c r="C266" s="44"/>
      <c r="D266" s="45"/>
      <c r="E266" s="46"/>
      <c r="F266" s="46"/>
      <c r="G266" s="46"/>
      <c r="H266" s="46"/>
      <c r="I266" s="46"/>
      <c r="J266" s="46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  <c r="AB266" s="44"/>
    </row>
    <row r="267" spans="1:28" ht="15" x14ac:dyDescent="0.35">
      <c r="A267" s="44"/>
      <c r="B267" s="44"/>
      <c r="C267" s="44"/>
      <c r="D267" s="45"/>
      <c r="E267" s="46"/>
      <c r="F267" s="46"/>
      <c r="G267" s="46"/>
      <c r="H267" s="46"/>
      <c r="I267" s="46"/>
      <c r="J267" s="46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</row>
    <row r="268" spans="1:28" ht="15" x14ac:dyDescent="0.35">
      <c r="A268" s="44"/>
      <c r="B268" s="44"/>
      <c r="C268" s="44"/>
      <c r="D268" s="45"/>
      <c r="E268" s="46"/>
      <c r="F268" s="46"/>
      <c r="G268" s="46"/>
      <c r="H268" s="46"/>
      <c r="I268" s="46"/>
      <c r="J268" s="46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</row>
    <row r="269" spans="1:28" ht="15" x14ac:dyDescent="0.35">
      <c r="A269" s="44"/>
      <c r="B269" s="44"/>
      <c r="C269" s="44"/>
      <c r="D269" s="45"/>
      <c r="E269" s="46"/>
      <c r="F269" s="46"/>
      <c r="G269" s="46"/>
      <c r="H269" s="46"/>
      <c r="I269" s="46"/>
      <c r="J269" s="46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/>
    </row>
    <row r="270" spans="1:28" ht="15" x14ac:dyDescent="0.35">
      <c r="A270" s="44"/>
      <c r="B270" s="44"/>
      <c r="C270" s="44"/>
      <c r="D270" s="45"/>
      <c r="E270" s="46"/>
      <c r="F270" s="46"/>
      <c r="G270" s="46"/>
      <c r="H270" s="46"/>
      <c r="I270" s="46"/>
      <c r="J270" s="46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  <c r="AB270" s="44"/>
    </row>
    <row r="271" spans="1:28" ht="15" x14ac:dyDescent="0.35">
      <c r="A271" s="44"/>
      <c r="B271" s="44"/>
      <c r="C271" s="44"/>
      <c r="D271" s="45"/>
      <c r="E271" s="46"/>
      <c r="F271" s="46"/>
      <c r="G271" s="46"/>
      <c r="H271" s="46"/>
      <c r="I271" s="46"/>
      <c r="J271" s="46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  <c r="AB271" s="44"/>
    </row>
    <row r="272" spans="1:28" ht="15" x14ac:dyDescent="0.35">
      <c r="A272" s="44"/>
      <c r="B272" s="44"/>
      <c r="C272" s="44"/>
      <c r="D272" s="45"/>
      <c r="E272" s="46"/>
      <c r="F272" s="46"/>
      <c r="G272" s="46"/>
      <c r="H272" s="46"/>
      <c r="I272" s="46"/>
      <c r="J272" s="46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  <c r="AB272" s="44"/>
    </row>
    <row r="273" spans="1:28" ht="15" x14ac:dyDescent="0.35">
      <c r="A273" s="44"/>
      <c r="B273" s="44"/>
      <c r="C273" s="44"/>
      <c r="D273" s="45"/>
      <c r="E273" s="46"/>
      <c r="F273" s="46"/>
      <c r="G273" s="46"/>
      <c r="H273" s="46"/>
      <c r="I273" s="46"/>
      <c r="J273" s="46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  <c r="AB273" s="44"/>
    </row>
    <row r="274" spans="1:28" ht="15" x14ac:dyDescent="0.35">
      <c r="A274" s="44"/>
      <c r="B274" s="44"/>
      <c r="C274" s="44"/>
      <c r="D274" s="45"/>
      <c r="E274" s="46"/>
      <c r="F274" s="46"/>
      <c r="G274" s="46"/>
      <c r="H274" s="46"/>
      <c r="I274" s="46"/>
      <c r="J274" s="46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4"/>
    </row>
    <row r="275" spans="1:28" ht="15" x14ac:dyDescent="0.35">
      <c r="A275" s="44"/>
      <c r="B275" s="44"/>
      <c r="C275" s="44"/>
      <c r="D275" s="45"/>
      <c r="E275" s="46"/>
      <c r="F275" s="46"/>
      <c r="G275" s="46"/>
      <c r="H275" s="46"/>
      <c r="I275" s="46"/>
      <c r="J275" s="46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  <c r="AB275" s="44"/>
    </row>
    <row r="276" spans="1:28" ht="15" x14ac:dyDescent="0.35">
      <c r="A276" s="44"/>
      <c r="B276" s="44"/>
      <c r="C276" s="44"/>
      <c r="D276" s="45"/>
      <c r="E276" s="46"/>
      <c r="F276" s="46"/>
      <c r="G276" s="46"/>
      <c r="H276" s="46"/>
      <c r="I276" s="46"/>
      <c r="J276" s="46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  <c r="AB276" s="44"/>
    </row>
    <row r="277" spans="1:28" ht="15" x14ac:dyDescent="0.35">
      <c r="A277" s="44"/>
      <c r="B277" s="44"/>
      <c r="C277" s="44"/>
      <c r="D277" s="45"/>
      <c r="E277" s="46"/>
      <c r="F277" s="46"/>
      <c r="G277" s="46"/>
      <c r="H277" s="46"/>
      <c r="I277" s="46"/>
      <c r="J277" s="46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  <c r="AB277" s="44"/>
    </row>
    <row r="278" spans="1:28" ht="15" x14ac:dyDescent="0.35">
      <c r="A278" s="44"/>
      <c r="B278" s="44"/>
      <c r="C278" s="44"/>
      <c r="D278" s="45"/>
      <c r="E278" s="46"/>
      <c r="F278" s="46"/>
      <c r="G278" s="46"/>
      <c r="H278" s="46"/>
      <c r="I278" s="46"/>
      <c r="J278" s="46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  <c r="AB278" s="44"/>
    </row>
    <row r="279" spans="1:28" ht="15" x14ac:dyDescent="0.35">
      <c r="A279" s="44"/>
      <c r="B279" s="44"/>
      <c r="C279" s="44"/>
      <c r="D279" s="45"/>
      <c r="E279" s="46"/>
      <c r="F279" s="46"/>
      <c r="G279" s="46"/>
      <c r="H279" s="46"/>
      <c r="I279" s="46"/>
      <c r="J279" s="46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</row>
    <row r="280" spans="1:28" ht="15" x14ac:dyDescent="0.35">
      <c r="A280" s="44"/>
      <c r="B280" s="44"/>
      <c r="C280" s="44"/>
      <c r="D280" s="45"/>
      <c r="E280" s="46"/>
      <c r="F280" s="46"/>
      <c r="G280" s="46"/>
      <c r="H280" s="46"/>
      <c r="I280" s="46"/>
      <c r="J280" s="46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</row>
    <row r="281" spans="1:28" ht="15" x14ac:dyDescent="0.35">
      <c r="A281" s="44"/>
      <c r="B281" s="44"/>
      <c r="C281" s="44"/>
      <c r="D281" s="45"/>
      <c r="E281" s="46"/>
      <c r="F281" s="46"/>
      <c r="G281" s="46"/>
      <c r="H281" s="46"/>
      <c r="I281" s="46"/>
      <c r="J281" s="46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  <c r="AB281" s="44"/>
    </row>
    <row r="282" spans="1:28" ht="15" x14ac:dyDescent="0.35">
      <c r="A282" s="44"/>
      <c r="B282" s="44"/>
      <c r="C282" s="44"/>
      <c r="D282" s="45"/>
      <c r="E282" s="46"/>
      <c r="F282" s="46"/>
      <c r="G282" s="46"/>
      <c r="H282" s="46"/>
      <c r="I282" s="46"/>
      <c r="J282" s="46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  <c r="AB282" s="44"/>
    </row>
    <row r="283" spans="1:28" ht="15" x14ac:dyDescent="0.35">
      <c r="A283" s="44"/>
      <c r="B283" s="44"/>
      <c r="C283" s="44"/>
      <c r="D283" s="45"/>
      <c r="E283" s="46"/>
      <c r="F283" s="46"/>
      <c r="G283" s="46"/>
      <c r="H283" s="46"/>
      <c r="I283" s="46"/>
      <c r="J283" s="46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  <c r="AB283" s="44"/>
    </row>
    <row r="284" spans="1:28" ht="15" x14ac:dyDescent="0.35">
      <c r="A284" s="44"/>
      <c r="B284" s="44"/>
      <c r="C284" s="44"/>
      <c r="D284" s="45"/>
      <c r="E284" s="46"/>
      <c r="F284" s="46"/>
      <c r="G284" s="46"/>
      <c r="H284" s="46"/>
      <c r="I284" s="46"/>
      <c r="J284" s="46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  <c r="AB284" s="44"/>
    </row>
    <row r="285" spans="1:28" ht="15" x14ac:dyDescent="0.35">
      <c r="A285" s="41"/>
      <c r="B285" s="41"/>
      <c r="C285" s="41"/>
      <c r="D285" s="47"/>
      <c r="E285" s="42"/>
      <c r="F285" s="42"/>
      <c r="G285" s="42"/>
      <c r="H285" s="42"/>
      <c r="I285" s="42"/>
      <c r="J285" s="42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</row>
    <row r="286" spans="1:28" ht="15" x14ac:dyDescent="0.35">
      <c r="A286" s="41"/>
      <c r="B286" s="41"/>
      <c r="C286" s="41"/>
      <c r="D286" s="47"/>
      <c r="E286" s="42"/>
      <c r="F286" s="42"/>
      <c r="G286" s="42"/>
      <c r="H286" s="42"/>
      <c r="I286" s="42"/>
      <c r="J286" s="42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</row>
    <row r="287" spans="1:28" ht="15" x14ac:dyDescent="0.35">
      <c r="A287" s="41"/>
      <c r="B287" s="41"/>
      <c r="C287" s="41"/>
      <c r="D287" s="47"/>
      <c r="E287" s="42"/>
      <c r="F287" s="42"/>
      <c r="G287" s="42"/>
      <c r="H287" s="42"/>
      <c r="I287" s="42"/>
      <c r="J287" s="42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</row>
    <row r="288" spans="1:28" ht="15" x14ac:dyDescent="0.35">
      <c r="A288" s="41"/>
      <c r="B288" s="41"/>
      <c r="C288" s="41"/>
      <c r="D288" s="47"/>
      <c r="E288" s="42"/>
      <c r="F288" s="42"/>
      <c r="G288" s="42"/>
      <c r="H288" s="42"/>
      <c r="I288" s="42"/>
      <c r="J288" s="42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</row>
    <row r="289" spans="1:28" ht="15" x14ac:dyDescent="0.35">
      <c r="A289" s="41"/>
      <c r="B289" s="41"/>
      <c r="C289" s="41"/>
      <c r="D289" s="47"/>
      <c r="E289" s="42"/>
      <c r="F289" s="42"/>
      <c r="G289" s="42"/>
      <c r="H289" s="42"/>
      <c r="I289" s="42"/>
      <c r="J289" s="42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</row>
    <row r="290" spans="1:28" ht="15" x14ac:dyDescent="0.35">
      <c r="A290" s="41"/>
      <c r="B290" s="41"/>
      <c r="C290" s="41"/>
      <c r="D290" s="47"/>
      <c r="E290" s="42"/>
      <c r="F290" s="42"/>
      <c r="G290" s="42"/>
      <c r="H290" s="42"/>
      <c r="I290" s="42"/>
      <c r="J290" s="42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</row>
    <row r="291" spans="1:28" ht="15" x14ac:dyDescent="0.35">
      <c r="A291" s="41"/>
      <c r="B291" s="41"/>
      <c r="C291" s="41"/>
      <c r="D291" s="47"/>
      <c r="E291" s="42"/>
      <c r="F291" s="42"/>
      <c r="G291" s="42"/>
      <c r="H291" s="42"/>
      <c r="I291" s="42"/>
      <c r="J291" s="42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</row>
    <row r="292" spans="1:28" ht="15" x14ac:dyDescent="0.35">
      <c r="A292" s="41"/>
      <c r="B292" s="41"/>
      <c r="C292" s="41"/>
      <c r="D292" s="47"/>
      <c r="E292" s="42"/>
      <c r="F292" s="42"/>
      <c r="G292" s="42"/>
      <c r="H292" s="42"/>
      <c r="I292" s="42"/>
      <c r="J292" s="42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</row>
    <row r="293" spans="1:28" ht="15" x14ac:dyDescent="0.35">
      <c r="A293" s="41"/>
      <c r="B293" s="41"/>
      <c r="C293" s="41"/>
      <c r="D293" s="47"/>
      <c r="E293" s="42"/>
      <c r="F293" s="42"/>
      <c r="G293" s="42"/>
      <c r="H293" s="42"/>
      <c r="I293" s="42"/>
      <c r="J293" s="42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</row>
    <row r="294" spans="1:28" ht="15" x14ac:dyDescent="0.35">
      <c r="A294" s="41"/>
      <c r="B294" s="41"/>
      <c r="C294" s="41"/>
      <c r="D294" s="47"/>
      <c r="E294" s="42"/>
      <c r="F294" s="42"/>
      <c r="G294" s="42"/>
      <c r="H294" s="42"/>
      <c r="I294" s="42"/>
      <c r="J294" s="42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</row>
    <row r="295" spans="1:28" ht="15" x14ac:dyDescent="0.35">
      <c r="A295" s="41"/>
      <c r="B295" s="41"/>
      <c r="C295" s="41"/>
      <c r="D295" s="47"/>
      <c r="E295" s="42"/>
      <c r="F295" s="42"/>
      <c r="G295" s="42"/>
      <c r="H295" s="42"/>
      <c r="I295" s="42"/>
      <c r="J295" s="42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</row>
    <row r="296" spans="1:28" ht="15" x14ac:dyDescent="0.35">
      <c r="A296" s="41"/>
      <c r="B296" s="41"/>
      <c r="C296" s="41"/>
      <c r="D296" s="47"/>
      <c r="E296" s="42"/>
      <c r="F296" s="42"/>
      <c r="G296" s="42"/>
      <c r="H296" s="42"/>
      <c r="I296" s="42"/>
      <c r="J296" s="42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</row>
    <row r="297" spans="1:28" ht="15" x14ac:dyDescent="0.35">
      <c r="A297" s="41"/>
      <c r="B297" s="41"/>
      <c r="C297" s="41"/>
      <c r="D297" s="47"/>
      <c r="E297" s="42"/>
      <c r="F297" s="42"/>
      <c r="G297" s="42"/>
      <c r="H297" s="42"/>
      <c r="I297" s="42"/>
      <c r="J297" s="42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</row>
    <row r="298" spans="1:28" ht="15" x14ac:dyDescent="0.35">
      <c r="A298" s="41"/>
      <c r="B298" s="41"/>
      <c r="C298" s="41"/>
      <c r="D298" s="47"/>
      <c r="E298" s="42"/>
      <c r="F298" s="42"/>
      <c r="G298" s="42"/>
      <c r="H298" s="42"/>
      <c r="I298" s="42"/>
      <c r="J298" s="42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</row>
    <row r="299" spans="1:28" ht="15" x14ac:dyDescent="0.35">
      <c r="A299" s="41"/>
      <c r="B299" s="41"/>
      <c r="C299" s="41"/>
      <c r="D299" s="47"/>
      <c r="E299" s="42"/>
      <c r="F299" s="42"/>
      <c r="G299" s="42"/>
      <c r="H299" s="42"/>
      <c r="I299" s="42"/>
      <c r="J299" s="42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</row>
    <row r="300" spans="1:28" ht="15" x14ac:dyDescent="0.35">
      <c r="A300" s="41"/>
      <c r="B300" s="41"/>
      <c r="C300" s="41"/>
      <c r="D300" s="47"/>
      <c r="E300" s="42"/>
      <c r="F300" s="42"/>
      <c r="G300" s="42"/>
      <c r="H300" s="42"/>
      <c r="I300" s="42"/>
      <c r="J300" s="42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</row>
    <row r="301" spans="1:28" ht="15" x14ac:dyDescent="0.35">
      <c r="A301" s="41"/>
      <c r="B301" s="41"/>
      <c r="C301" s="41"/>
      <c r="D301" s="47"/>
      <c r="E301" s="42"/>
      <c r="F301" s="42"/>
      <c r="G301" s="42"/>
      <c r="H301" s="42"/>
      <c r="I301" s="42"/>
      <c r="J301" s="42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</row>
    <row r="302" spans="1:28" ht="15" x14ac:dyDescent="0.35">
      <c r="A302" s="41"/>
      <c r="B302" s="41"/>
      <c r="C302" s="41"/>
      <c r="D302" s="47"/>
      <c r="E302" s="42"/>
      <c r="F302" s="42"/>
      <c r="G302" s="42"/>
      <c r="H302" s="42"/>
      <c r="I302" s="42"/>
      <c r="J302" s="42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</row>
    <row r="303" spans="1:28" ht="15" x14ac:dyDescent="0.35">
      <c r="A303" s="41"/>
      <c r="B303" s="41"/>
      <c r="C303" s="41"/>
      <c r="D303" s="47"/>
      <c r="E303" s="42"/>
      <c r="F303" s="42"/>
      <c r="G303" s="42"/>
      <c r="H303" s="42"/>
      <c r="I303" s="42"/>
      <c r="J303" s="42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</row>
    <row r="304" spans="1:28" ht="15" x14ac:dyDescent="0.35">
      <c r="A304" s="41"/>
      <c r="B304" s="41"/>
      <c r="C304" s="41"/>
      <c r="D304" s="47"/>
      <c r="E304" s="42"/>
      <c r="F304" s="42"/>
      <c r="G304" s="42"/>
      <c r="H304" s="42"/>
      <c r="I304" s="42"/>
      <c r="J304" s="42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</row>
    <row r="305" spans="1:28" ht="15" x14ac:dyDescent="0.35">
      <c r="A305" s="41"/>
      <c r="B305" s="41"/>
      <c r="C305" s="41"/>
      <c r="D305" s="47"/>
      <c r="E305" s="42"/>
      <c r="F305" s="42"/>
      <c r="G305" s="42"/>
      <c r="H305" s="42"/>
      <c r="I305" s="42"/>
      <c r="J305" s="42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</row>
    <row r="306" spans="1:28" ht="15" x14ac:dyDescent="0.35">
      <c r="A306" s="41"/>
      <c r="B306" s="41"/>
      <c r="C306" s="41"/>
      <c r="D306" s="47"/>
      <c r="E306" s="42"/>
      <c r="F306" s="42"/>
      <c r="G306" s="42"/>
      <c r="H306" s="42"/>
      <c r="I306" s="42"/>
      <c r="J306" s="42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</row>
    <row r="307" spans="1:28" ht="15" x14ac:dyDescent="0.35">
      <c r="A307" s="41"/>
      <c r="B307" s="41"/>
      <c r="C307" s="41"/>
      <c r="D307" s="47"/>
      <c r="E307" s="42"/>
      <c r="F307" s="42"/>
      <c r="G307" s="42"/>
      <c r="H307" s="42"/>
      <c r="I307" s="42"/>
      <c r="J307" s="42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</row>
    <row r="308" spans="1:28" ht="15" x14ac:dyDescent="0.35">
      <c r="A308" s="41"/>
      <c r="B308" s="41"/>
      <c r="C308" s="41"/>
      <c r="D308" s="47"/>
      <c r="E308" s="42"/>
      <c r="F308" s="42"/>
      <c r="G308" s="42"/>
      <c r="H308" s="42"/>
      <c r="I308" s="42"/>
      <c r="J308" s="42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</row>
    <row r="309" spans="1:28" ht="15" x14ac:dyDescent="0.35">
      <c r="A309" s="41"/>
      <c r="B309" s="41"/>
      <c r="C309" s="41"/>
      <c r="D309" s="47"/>
      <c r="E309" s="42"/>
      <c r="F309" s="42"/>
      <c r="G309" s="42"/>
      <c r="H309" s="42"/>
      <c r="I309" s="42"/>
      <c r="J309" s="42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</row>
    <row r="310" spans="1:28" ht="15" x14ac:dyDescent="0.35">
      <c r="A310" s="41"/>
      <c r="B310" s="41"/>
      <c r="C310" s="41"/>
      <c r="D310" s="47"/>
      <c r="E310" s="42"/>
      <c r="F310" s="42"/>
      <c r="G310" s="42"/>
      <c r="H310" s="42"/>
      <c r="I310" s="42"/>
      <c r="J310" s="42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</row>
    <row r="311" spans="1:28" ht="15" x14ac:dyDescent="0.35">
      <c r="A311" s="41"/>
      <c r="B311" s="41"/>
      <c r="C311" s="41"/>
      <c r="D311" s="47"/>
      <c r="E311" s="42"/>
      <c r="F311" s="42"/>
      <c r="G311" s="42"/>
      <c r="H311" s="42"/>
      <c r="I311" s="42"/>
      <c r="J311" s="42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</row>
    <row r="312" spans="1:28" ht="15" x14ac:dyDescent="0.35">
      <c r="A312" s="41"/>
      <c r="B312" s="41"/>
      <c r="C312" s="41"/>
      <c r="D312" s="47"/>
      <c r="E312" s="42"/>
      <c r="F312" s="42"/>
      <c r="G312" s="42"/>
      <c r="H312" s="42"/>
      <c r="I312" s="42"/>
      <c r="J312" s="42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</row>
    <row r="313" spans="1:28" ht="15" x14ac:dyDescent="0.35">
      <c r="A313" s="41"/>
      <c r="B313" s="41"/>
      <c r="C313" s="41"/>
      <c r="D313" s="47"/>
      <c r="E313" s="42"/>
      <c r="F313" s="42"/>
      <c r="G313" s="42"/>
      <c r="H313" s="42"/>
      <c r="I313" s="42"/>
      <c r="J313" s="42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</row>
    <row r="314" spans="1:28" ht="15" x14ac:dyDescent="0.35">
      <c r="A314" s="41"/>
      <c r="B314" s="41"/>
      <c r="C314" s="41"/>
      <c r="D314" s="47"/>
      <c r="E314" s="42"/>
      <c r="F314" s="42"/>
      <c r="G314" s="42"/>
      <c r="H314" s="42"/>
      <c r="I314" s="42"/>
      <c r="J314" s="42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</row>
    <row r="315" spans="1:28" ht="15" x14ac:dyDescent="0.35">
      <c r="A315" s="41"/>
      <c r="B315" s="41"/>
      <c r="C315" s="41"/>
      <c r="D315" s="47"/>
      <c r="E315" s="42"/>
      <c r="F315" s="42"/>
      <c r="G315" s="42"/>
      <c r="H315" s="42"/>
      <c r="I315" s="42"/>
      <c r="J315" s="42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</row>
    <row r="316" spans="1:28" ht="15" x14ac:dyDescent="0.35">
      <c r="A316" s="41"/>
      <c r="B316" s="41"/>
      <c r="C316" s="41"/>
      <c r="D316" s="47"/>
      <c r="E316" s="42"/>
      <c r="F316" s="42"/>
      <c r="G316" s="42"/>
      <c r="H316" s="42"/>
      <c r="I316" s="42"/>
      <c r="J316" s="42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</row>
    <row r="317" spans="1:28" ht="15" x14ac:dyDescent="0.35">
      <c r="A317" s="41"/>
      <c r="B317" s="41"/>
      <c r="C317" s="41"/>
      <c r="D317" s="47"/>
      <c r="E317" s="42"/>
      <c r="F317" s="42"/>
      <c r="G317" s="42"/>
      <c r="H317" s="42"/>
      <c r="I317" s="42"/>
      <c r="J317" s="42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</row>
    <row r="318" spans="1:28" ht="15" x14ac:dyDescent="0.35">
      <c r="A318" s="41"/>
      <c r="B318" s="41"/>
      <c r="C318" s="41"/>
      <c r="D318" s="47"/>
      <c r="E318" s="42"/>
      <c r="F318" s="42"/>
      <c r="G318" s="42"/>
      <c r="H318" s="42"/>
      <c r="I318" s="42"/>
      <c r="J318" s="42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</row>
    <row r="319" spans="1:28" ht="15" x14ac:dyDescent="0.35">
      <c r="A319" s="41"/>
      <c r="B319" s="41"/>
      <c r="C319" s="41"/>
      <c r="D319" s="47"/>
      <c r="E319" s="42"/>
      <c r="F319" s="42"/>
      <c r="G319" s="42"/>
      <c r="H319" s="42"/>
      <c r="I319" s="42"/>
      <c r="J319" s="42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</row>
    <row r="320" spans="1:28" ht="15" x14ac:dyDescent="0.35">
      <c r="A320" s="41"/>
      <c r="B320" s="41"/>
      <c r="C320" s="41"/>
      <c r="D320" s="47"/>
      <c r="E320" s="42"/>
      <c r="F320" s="42"/>
      <c r="G320" s="42"/>
      <c r="H320" s="42"/>
      <c r="I320" s="42"/>
      <c r="J320" s="42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</row>
    <row r="321" spans="1:28" ht="15" x14ac:dyDescent="0.35">
      <c r="A321" s="41"/>
      <c r="B321" s="41"/>
      <c r="C321" s="41"/>
      <c r="D321" s="47"/>
      <c r="E321" s="42"/>
      <c r="F321" s="42"/>
      <c r="G321" s="42"/>
      <c r="H321" s="42"/>
      <c r="I321" s="42"/>
      <c r="J321" s="42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</row>
    <row r="322" spans="1:28" ht="15" x14ac:dyDescent="0.35">
      <c r="A322" s="41"/>
      <c r="B322" s="41"/>
      <c r="C322" s="41"/>
      <c r="D322" s="47"/>
      <c r="E322" s="42"/>
      <c r="F322" s="42"/>
      <c r="G322" s="42"/>
      <c r="H322" s="42"/>
      <c r="I322" s="42"/>
      <c r="J322" s="42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</row>
    <row r="323" spans="1:28" ht="15" x14ac:dyDescent="0.35">
      <c r="A323" s="41"/>
      <c r="B323" s="41"/>
      <c r="C323" s="41"/>
      <c r="D323" s="47"/>
      <c r="E323" s="42"/>
      <c r="F323" s="42"/>
      <c r="G323" s="42"/>
      <c r="H323" s="42"/>
      <c r="I323" s="42"/>
      <c r="J323" s="42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</row>
    <row r="324" spans="1:28" ht="15" x14ac:dyDescent="0.35">
      <c r="A324" s="41"/>
      <c r="B324" s="41"/>
      <c r="C324" s="41"/>
      <c r="D324" s="47"/>
      <c r="E324" s="42"/>
      <c r="F324" s="42"/>
      <c r="G324" s="42"/>
      <c r="H324" s="42"/>
      <c r="I324" s="42"/>
      <c r="J324" s="42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</row>
    <row r="325" spans="1:28" ht="15" x14ac:dyDescent="0.35">
      <c r="A325" s="41"/>
      <c r="B325" s="41"/>
      <c r="C325" s="41"/>
      <c r="D325" s="47"/>
      <c r="E325" s="42"/>
      <c r="F325" s="42"/>
      <c r="G325" s="42"/>
      <c r="H325" s="42"/>
      <c r="I325" s="42"/>
      <c r="J325" s="42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</row>
    <row r="326" spans="1:28" ht="15" x14ac:dyDescent="0.35">
      <c r="A326" s="41"/>
      <c r="B326" s="41"/>
      <c r="C326" s="41"/>
      <c r="D326" s="47"/>
      <c r="E326" s="42"/>
      <c r="F326" s="42"/>
      <c r="G326" s="42"/>
      <c r="H326" s="42"/>
      <c r="I326" s="42"/>
      <c r="J326" s="42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</row>
    <row r="327" spans="1:28" ht="15" x14ac:dyDescent="0.35">
      <c r="A327" s="41"/>
      <c r="B327" s="41"/>
      <c r="C327" s="41"/>
      <c r="D327" s="47"/>
      <c r="E327" s="42"/>
      <c r="F327" s="42"/>
      <c r="G327" s="42"/>
      <c r="H327" s="42"/>
      <c r="I327" s="42"/>
      <c r="J327" s="42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</row>
    <row r="328" spans="1:28" ht="15" x14ac:dyDescent="0.35">
      <c r="A328" s="41"/>
      <c r="B328" s="41"/>
      <c r="C328" s="41"/>
      <c r="D328" s="47"/>
      <c r="E328" s="42"/>
      <c r="F328" s="42"/>
      <c r="G328" s="42"/>
      <c r="H328" s="42"/>
      <c r="I328" s="42"/>
      <c r="J328" s="42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</row>
    <row r="329" spans="1:28" ht="15" x14ac:dyDescent="0.35">
      <c r="A329" s="41"/>
      <c r="B329" s="41"/>
      <c r="C329" s="41"/>
      <c r="D329" s="47"/>
      <c r="E329" s="42"/>
      <c r="F329" s="42"/>
      <c r="G329" s="42"/>
      <c r="H329" s="42"/>
      <c r="I329" s="42"/>
      <c r="J329" s="42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</row>
    <row r="330" spans="1:28" ht="15" x14ac:dyDescent="0.35">
      <c r="A330" s="41"/>
      <c r="B330" s="41"/>
      <c r="C330" s="41"/>
      <c r="D330" s="47"/>
      <c r="E330" s="42"/>
      <c r="F330" s="42"/>
      <c r="G330" s="42"/>
      <c r="H330" s="42"/>
      <c r="I330" s="42"/>
      <c r="J330" s="42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</row>
    <row r="331" spans="1:28" ht="15" x14ac:dyDescent="0.35">
      <c r="A331" s="41"/>
      <c r="B331" s="41"/>
      <c r="C331" s="41"/>
      <c r="D331" s="47"/>
      <c r="E331" s="42"/>
      <c r="F331" s="42"/>
      <c r="G331" s="42"/>
      <c r="H331" s="42"/>
      <c r="I331" s="42"/>
      <c r="J331" s="42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</row>
    <row r="332" spans="1:28" ht="15" x14ac:dyDescent="0.35">
      <c r="A332" s="41"/>
      <c r="B332" s="41"/>
      <c r="C332" s="41"/>
      <c r="D332" s="47"/>
      <c r="E332" s="42"/>
      <c r="F332" s="42"/>
      <c r="G332" s="42"/>
      <c r="H332" s="42"/>
      <c r="I332" s="42"/>
      <c r="J332" s="42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</row>
    <row r="333" spans="1:28" ht="15" x14ac:dyDescent="0.35">
      <c r="A333" s="41"/>
      <c r="B333" s="41"/>
      <c r="C333" s="41"/>
      <c r="D333" s="47"/>
      <c r="E333" s="42"/>
      <c r="F333" s="42"/>
      <c r="G333" s="42"/>
      <c r="H333" s="42"/>
      <c r="I333" s="42"/>
      <c r="J333" s="42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</row>
    <row r="334" spans="1:28" ht="15" x14ac:dyDescent="0.35">
      <c r="A334" s="41"/>
      <c r="B334" s="41"/>
      <c r="C334" s="41"/>
      <c r="D334" s="47"/>
      <c r="E334" s="42"/>
      <c r="F334" s="42"/>
      <c r="G334" s="42"/>
      <c r="H334" s="42"/>
      <c r="I334" s="42"/>
      <c r="J334" s="42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</row>
    <row r="335" spans="1:28" ht="15" x14ac:dyDescent="0.35">
      <c r="A335" s="41"/>
      <c r="B335" s="41"/>
      <c r="C335" s="41"/>
      <c r="D335" s="47"/>
      <c r="E335" s="42"/>
      <c r="F335" s="42"/>
      <c r="G335" s="42"/>
      <c r="H335" s="42"/>
      <c r="I335" s="42"/>
      <c r="J335" s="42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</row>
    <row r="336" spans="1:28" ht="15" x14ac:dyDescent="0.35">
      <c r="A336" s="41"/>
      <c r="B336" s="41"/>
      <c r="C336" s="41"/>
      <c r="D336" s="47"/>
      <c r="E336" s="42"/>
      <c r="F336" s="42"/>
      <c r="G336" s="42"/>
      <c r="H336" s="42"/>
      <c r="I336" s="42"/>
      <c r="J336" s="42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</row>
    <row r="337" spans="1:28" ht="15" x14ac:dyDescent="0.35">
      <c r="A337" s="41"/>
      <c r="B337" s="41"/>
      <c r="C337" s="41"/>
      <c r="D337" s="47"/>
      <c r="E337" s="42"/>
      <c r="F337" s="42"/>
      <c r="G337" s="42"/>
      <c r="H337" s="42"/>
      <c r="I337" s="42"/>
      <c r="J337" s="42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</row>
    <row r="338" spans="1:28" ht="15" x14ac:dyDescent="0.35">
      <c r="A338" s="41"/>
      <c r="B338" s="41"/>
      <c r="C338" s="41"/>
      <c r="D338" s="47"/>
      <c r="E338" s="42"/>
      <c r="F338" s="42"/>
      <c r="G338" s="42"/>
      <c r="H338" s="42"/>
      <c r="I338" s="42"/>
      <c r="J338" s="42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</row>
    <row r="339" spans="1:28" ht="15" x14ac:dyDescent="0.35">
      <c r="A339" s="41"/>
      <c r="B339" s="41"/>
      <c r="C339" s="41"/>
      <c r="D339" s="47"/>
      <c r="E339" s="42"/>
      <c r="F339" s="42"/>
      <c r="G339" s="42"/>
      <c r="H339" s="42"/>
      <c r="I339" s="42"/>
      <c r="J339" s="42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</row>
    <row r="340" spans="1:28" ht="15" x14ac:dyDescent="0.35">
      <c r="A340" s="41"/>
      <c r="B340" s="41"/>
      <c r="C340" s="41"/>
      <c r="D340" s="47"/>
      <c r="E340" s="42"/>
      <c r="F340" s="42"/>
      <c r="G340" s="42"/>
      <c r="H340" s="42"/>
      <c r="I340" s="42"/>
      <c r="J340" s="42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</row>
    <row r="341" spans="1:28" ht="15" x14ac:dyDescent="0.35">
      <c r="A341" s="41"/>
      <c r="B341" s="41"/>
      <c r="C341" s="41"/>
      <c r="D341" s="47"/>
      <c r="E341" s="42"/>
      <c r="F341" s="42"/>
      <c r="G341" s="42"/>
      <c r="H341" s="42"/>
      <c r="I341" s="42"/>
      <c r="J341" s="42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</row>
    <row r="342" spans="1:28" ht="15" x14ac:dyDescent="0.35">
      <c r="A342" s="41"/>
      <c r="B342" s="41"/>
      <c r="C342" s="41"/>
      <c r="D342" s="47"/>
      <c r="E342" s="42"/>
      <c r="F342" s="42"/>
      <c r="G342" s="42"/>
      <c r="H342" s="42"/>
      <c r="I342" s="42"/>
      <c r="J342" s="42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</row>
    <row r="343" spans="1:28" ht="15" x14ac:dyDescent="0.35">
      <c r="A343" s="41"/>
      <c r="B343" s="41"/>
      <c r="C343" s="41"/>
      <c r="D343" s="47"/>
      <c r="E343" s="42"/>
      <c r="F343" s="42"/>
      <c r="G343" s="42"/>
      <c r="H343" s="42"/>
      <c r="I343" s="42"/>
      <c r="J343" s="42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</row>
    <row r="344" spans="1:28" ht="15" x14ac:dyDescent="0.35">
      <c r="A344" s="41"/>
      <c r="B344" s="41"/>
      <c r="C344" s="41"/>
      <c r="D344" s="47"/>
      <c r="E344" s="42"/>
      <c r="F344" s="42"/>
      <c r="G344" s="42"/>
      <c r="H344" s="42"/>
      <c r="I344" s="42"/>
      <c r="J344" s="42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</row>
    <row r="345" spans="1:28" ht="15" x14ac:dyDescent="0.35">
      <c r="A345" s="41"/>
      <c r="B345" s="41"/>
      <c r="C345" s="41"/>
      <c r="D345" s="47"/>
      <c r="E345" s="42"/>
      <c r="F345" s="42"/>
      <c r="G345" s="42"/>
      <c r="H345" s="42"/>
      <c r="I345" s="42"/>
      <c r="J345" s="42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</row>
    <row r="346" spans="1:28" ht="15" x14ac:dyDescent="0.35">
      <c r="A346" s="41"/>
      <c r="B346" s="41"/>
      <c r="C346" s="41"/>
      <c r="D346" s="47"/>
      <c r="E346" s="42"/>
      <c r="F346" s="42"/>
      <c r="G346" s="42"/>
      <c r="H346" s="42"/>
      <c r="I346" s="42"/>
      <c r="J346" s="42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</row>
    <row r="347" spans="1:28" ht="15" x14ac:dyDescent="0.35">
      <c r="A347" s="41"/>
      <c r="B347" s="41"/>
      <c r="C347" s="41"/>
      <c r="D347" s="47"/>
      <c r="E347" s="42"/>
      <c r="F347" s="42"/>
      <c r="G347" s="42"/>
      <c r="H347" s="42"/>
      <c r="I347" s="42"/>
      <c r="J347" s="42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</row>
    <row r="348" spans="1:28" ht="15" x14ac:dyDescent="0.35">
      <c r="A348" s="41"/>
      <c r="B348" s="41"/>
      <c r="C348" s="41"/>
      <c r="D348" s="47"/>
      <c r="E348" s="42"/>
      <c r="F348" s="42"/>
      <c r="G348" s="42"/>
      <c r="H348" s="42"/>
      <c r="I348" s="42"/>
      <c r="J348" s="42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</row>
    <row r="349" spans="1:28" ht="15" x14ac:dyDescent="0.35">
      <c r="A349" s="41"/>
      <c r="B349" s="41"/>
      <c r="C349" s="41"/>
      <c r="D349" s="47"/>
      <c r="E349" s="42"/>
      <c r="F349" s="42"/>
      <c r="G349" s="42"/>
      <c r="H349" s="42"/>
      <c r="I349" s="42"/>
      <c r="J349" s="42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</row>
    <row r="350" spans="1:28" ht="15" x14ac:dyDescent="0.35">
      <c r="A350" s="41"/>
      <c r="B350" s="41"/>
      <c r="C350" s="41"/>
      <c r="D350" s="47"/>
      <c r="E350" s="42"/>
      <c r="F350" s="42"/>
      <c r="G350" s="42"/>
      <c r="H350" s="42"/>
      <c r="I350" s="42"/>
      <c r="J350" s="42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</row>
    <row r="351" spans="1:28" ht="15" x14ac:dyDescent="0.35">
      <c r="A351" s="41"/>
      <c r="B351" s="41"/>
      <c r="C351" s="41"/>
      <c r="D351" s="47"/>
      <c r="E351" s="42"/>
      <c r="F351" s="42"/>
      <c r="G351" s="42"/>
      <c r="H351" s="42"/>
      <c r="I351" s="42"/>
      <c r="J351" s="42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</row>
    <row r="352" spans="1:28" ht="15" x14ac:dyDescent="0.35">
      <c r="A352" s="41"/>
      <c r="B352" s="41"/>
      <c r="C352" s="41"/>
      <c r="D352" s="47"/>
      <c r="E352" s="42"/>
      <c r="F352" s="42"/>
      <c r="G352" s="42"/>
      <c r="H352" s="42"/>
      <c r="I352" s="42"/>
      <c r="J352" s="42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</row>
    <row r="353" spans="1:28" ht="15" x14ac:dyDescent="0.35">
      <c r="A353" s="41"/>
      <c r="B353" s="41"/>
      <c r="C353" s="41"/>
      <c r="D353" s="47"/>
      <c r="E353" s="42"/>
      <c r="F353" s="42"/>
      <c r="G353" s="42"/>
      <c r="H353" s="42"/>
      <c r="I353" s="42"/>
      <c r="J353" s="42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</row>
    <row r="354" spans="1:28" ht="15" x14ac:dyDescent="0.35">
      <c r="A354" s="41"/>
      <c r="B354" s="41"/>
      <c r="C354" s="41"/>
      <c r="D354" s="47"/>
      <c r="E354" s="42"/>
      <c r="F354" s="42"/>
      <c r="G354" s="42"/>
      <c r="H354" s="42"/>
      <c r="I354" s="42"/>
      <c r="J354" s="42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</row>
    <row r="355" spans="1:28" ht="15" x14ac:dyDescent="0.35">
      <c r="A355" s="41"/>
      <c r="B355" s="41"/>
      <c r="C355" s="41"/>
      <c r="D355" s="47"/>
      <c r="E355" s="42"/>
      <c r="F355" s="42"/>
      <c r="G355" s="42"/>
      <c r="H355" s="42"/>
      <c r="I355" s="42"/>
      <c r="J355" s="42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</row>
    <row r="356" spans="1:28" ht="15" x14ac:dyDescent="0.35">
      <c r="A356" s="41"/>
      <c r="B356" s="41"/>
      <c r="C356" s="41"/>
      <c r="D356" s="47"/>
      <c r="E356" s="42"/>
      <c r="F356" s="42"/>
      <c r="G356" s="42"/>
      <c r="H356" s="42"/>
      <c r="I356" s="42"/>
      <c r="J356" s="42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</row>
    <row r="357" spans="1:28" ht="15" x14ac:dyDescent="0.35">
      <c r="A357" s="41"/>
      <c r="B357" s="41"/>
      <c r="C357" s="41"/>
      <c r="D357" s="47"/>
      <c r="E357" s="42"/>
      <c r="F357" s="42"/>
      <c r="G357" s="42"/>
      <c r="H357" s="42"/>
      <c r="I357" s="42"/>
      <c r="J357" s="42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</row>
    <row r="358" spans="1:28" ht="15" x14ac:dyDescent="0.35">
      <c r="A358" s="41"/>
      <c r="B358" s="41"/>
      <c r="C358" s="41"/>
      <c r="D358" s="47"/>
      <c r="E358" s="42"/>
      <c r="F358" s="42"/>
      <c r="G358" s="42"/>
      <c r="H358" s="42"/>
      <c r="I358" s="42"/>
      <c r="J358" s="42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</row>
    <row r="359" spans="1:28" ht="15" x14ac:dyDescent="0.35">
      <c r="A359" s="41"/>
      <c r="B359" s="41"/>
      <c r="C359" s="41"/>
      <c r="D359" s="47"/>
      <c r="E359" s="42"/>
      <c r="F359" s="42"/>
      <c r="G359" s="42"/>
      <c r="H359" s="42"/>
      <c r="I359" s="42"/>
      <c r="J359" s="42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</row>
    <row r="360" spans="1:28" ht="15" x14ac:dyDescent="0.35">
      <c r="A360" s="41"/>
      <c r="B360" s="41"/>
      <c r="C360" s="41"/>
      <c r="D360" s="47"/>
      <c r="E360" s="42"/>
      <c r="F360" s="42"/>
      <c r="G360" s="42"/>
      <c r="H360" s="42"/>
      <c r="I360" s="42"/>
      <c r="J360" s="42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</row>
    <row r="361" spans="1:28" ht="15" x14ac:dyDescent="0.35">
      <c r="A361" s="41"/>
      <c r="B361" s="41"/>
      <c r="C361" s="41"/>
      <c r="D361" s="47"/>
      <c r="E361" s="42"/>
      <c r="F361" s="42"/>
      <c r="G361" s="42"/>
      <c r="H361" s="42"/>
      <c r="I361" s="42"/>
      <c r="J361" s="42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</row>
    <row r="362" spans="1:28" ht="15" x14ac:dyDescent="0.35">
      <c r="A362" s="41"/>
      <c r="B362" s="41"/>
      <c r="C362" s="41"/>
      <c r="D362" s="47"/>
      <c r="E362" s="42"/>
      <c r="F362" s="42"/>
      <c r="G362" s="42"/>
      <c r="H362" s="42"/>
      <c r="I362" s="42"/>
      <c r="J362" s="42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</row>
    <row r="363" spans="1:28" ht="15" x14ac:dyDescent="0.35">
      <c r="A363" s="41"/>
      <c r="B363" s="41"/>
      <c r="C363" s="41"/>
      <c r="D363" s="47"/>
      <c r="E363" s="42"/>
      <c r="F363" s="42"/>
      <c r="G363" s="42"/>
      <c r="H363" s="42"/>
      <c r="I363" s="42"/>
      <c r="J363" s="42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</row>
    <row r="364" spans="1:28" ht="15" x14ac:dyDescent="0.35">
      <c r="A364" s="41"/>
      <c r="B364" s="41"/>
      <c r="C364" s="41"/>
      <c r="D364" s="47"/>
      <c r="E364" s="42"/>
      <c r="F364" s="42"/>
      <c r="G364" s="42"/>
      <c r="H364" s="42"/>
      <c r="I364" s="42"/>
      <c r="J364" s="42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</row>
    <row r="365" spans="1:28" ht="15" x14ac:dyDescent="0.35">
      <c r="A365" s="41"/>
      <c r="B365" s="41"/>
      <c r="C365" s="41"/>
      <c r="D365" s="47"/>
      <c r="E365" s="42"/>
      <c r="F365" s="42"/>
      <c r="G365" s="42"/>
      <c r="H365" s="42"/>
      <c r="I365" s="42"/>
      <c r="J365" s="42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</row>
    <row r="366" spans="1:28" ht="15" x14ac:dyDescent="0.35">
      <c r="A366" s="41"/>
      <c r="B366" s="41"/>
      <c r="C366" s="41"/>
      <c r="D366" s="47"/>
      <c r="E366" s="42"/>
      <c r="F366" s="42"/>
      <c r="G366" s="42"/>
      <c r="H366" s="42"/>
      <c r="I366" s="42"/>
      <c r="J366" s="42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</row>
    <row r="367" spans="1:28" ht="15" x14ac:dyDescent="0.35">
      <c r="A367" s="41"/>
      <c r="B367" s="41"/>
      <c r="C367" s="41"/>
      <c r="D367" s="47"/>
      <c r="E367" s="42"/>
      <c r="F367" s="42"/>
      <c r="G367" s="42"/>
      <c r="H367" s="42"/>
      <c r="I367" s="42"/>
      <c r="J367" s="42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</row>
    <row r="368" spans="1:28" ht="15" x14ac:dyDescent="0.35">
      <c r="A368" s="41"/>
      <c r="B368" s="41"/>
      <c r="C368" s="41"/>
      <c r="D368" s="47"/>
      <c r="E368" s="42"/>
      <c r="F368" s="42"/>
      <c r="G368" s="42"/>
      <c r="H368" s="42"/>
      <c r="I368" s="42"/>
      <c r="J368" s="42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</row>
    <row r="369" spans="1:28" ht="15" x14ac:dyDescent="0.35">
      <c r="A369" s="41"/>
      <c r="B369" s="41"/>
      <c r="C369" s="41"/>
      <c r="D369" s="47"/>
      <c r="E369" s="42"/>
      <c r="F369" s="42"/>
      <c r="G369" s="42"/>
      <c r="H369" s="42"/>
      <c r="I369" s="42"/>
      <c r="J369" s="42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</row>
    <row r="370" spans="1:28" ht="15" x14ac:dyDescent="0.35">
      <c r="A370" s="41"/>
      <c r="B370" s="41"/>
      <c r="C370" s="41"/>
      <c r="D370" s="47"/>
      <c r="E370" s="42"/>
      <c r="F370" s="42"/>
      <c r="G370" s="42"/>
      <c r="H370" s="42"/>
      <c r="I370" s="42"/>
      <c r="J370" s="42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</row>
    <row r="371" spans="1:28" ht="15" x14ac:dyDescent="0.35">
      <c r="A371" s="41"/>
      <c r="B371" s="41"/>
      <c r="C371" s="41"/>
      <c r="D371" s="47"/>
      <c r="E371" s="42"/>
      <c r="F371" s="42"/>
      <c r="G371" s="42"/>
      <c r="H371" s="42"/>
      <c r="I371" s="42"/>
      <c r="J371" s="42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</row>
    <row r="372" spans="1:28" ht="15" x14ac:dyDescent="0.35">
      <c r="A372" s="41"/>
      <c r="B372" s="41"/>
      <c r="C372" s="41"/>
      <c r="D372" s="47"/>
      <c r="E372" s="42"/>
      <c r="F372" s="42"/>
      <c r="G372" s="42"/>
      <c r="H372" s="42"/>
      <c r="I372" s="42"/>
      <c r="J372" s="42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</row>
    <row r="373" spans="1:28" ht="15" x14ac:dyDescent="0.35">
      <c r="A373" s="41"/>
      <c r="B373" s="41"/>
      <c r="C373" s="41"/>
      <c r="D373" s="47"/>
      <c r="E373" s="42"/>
      <c r="F373" s="42"/>
      <c r="G373" s="42"/>
      <c r="H373" s="42"/>
      <c r="I373" s="42"/>
      <c r="J373" s="42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</row>
    <row r="374" spans="1:28" ht="15" x14ac:dyDescent="0.35">
      <c r="A374" s="41"/>
      <c r="B374" s="41"/>
      <c r="C374" s="41"/>
      <c r="D374" s="47"/>
      <c r="E374" s="42"/>
      <c r="F374" s="42"/>
      <c r="G374" s="42"/>
      <c r="H374" s="42"/>
      <c r="I374" s="42"/>
      <c r="J374" s="42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</row>
    <row r="375" spans="1:28" ht="15" x14ac:dyDescent="0.35">
      <c r="A375" s="41"/>
      <c r="B375" s="41"/>
      <c r="C375" s="41"/>
      <c r="D375" s="47"/>
      <c r="E375" s="42"/>
      <c r="F375" s="42"/>
      <c r="G375" s="42"/>
      <c r="H375" s="42"/>
      <c r="I375" s="42"/>
      <c r="J375" s="42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</row>
    <row r="376" spans="1:28" ht="15" x14ac:dyDescent="0.35">
      <c r="A376" s="41"/>
      <c r="B376" s="41"/>
      <c r="C376" s="41"/>
      <c r="D376" s="47"/>
      <c r="E376" s="42"/>
      <c r="F376" s="42"/>
      <c r="G376" s="42"/>
      <c r="H376" s="42"/>
      <c r="I376" s="42"/>
      <c r="J376" s="42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</row>
    <row r="377" spans="1:28" ht="15" x14ac:dyDescent="0.35">
      <c r="A377" s="41"/>
      <c r="B377" s="41"/>
      <c r="C377" s="41"/>
      <c r="D377" s="47"/>
      <c r="E377" s="42"/>
      <c r="F377" s="42"/>
      <c r="G377" s="42"/>
      <c r="H377" s="42"/>
      <c r="I377" s="42"/>
      <c r="J377" s="42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</row>
    <row r="378" spans="1:28" ht="15" x14ac:dyDescent="0.35">
      <c r="A378" s="41"/>
      <c r="B378" s="41"/>
      <c r="C378" s="41"/>
      <c r="D378" s="47"/>
      <c r="E378" s="42"/>
      <c r="F378" s="42"/>
      <c r="G378" s="42"/>
      <c r="H378" s="42"/>
      <c r="I378" s="42"/>
      <c r="J378" s="42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</row>
    <row r="379" spans="1:28" ht="15" x14ac:dyDescent="0.35">
      <c r="A379" s="41"/>
      <c r="B379" s="41"/>
      <c r="C379" s="41"/>
      <c r="D379" s="47"/>
      <c r="E379" s="42"/>
      <c r="F379" s="42"/>
      <c r="G379" s="42"/>
      <c r="H379" s="42"/>
      <c r="I379" s="42"/>
      <c r="J379" s="42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</row>
    <row r="380" spans="1:28" ht="15" x14ac:dyDescent="0.35">
      <c r="A380" s="41"/>
      <c r="B380" s="41"/>
      <c r="C380" s="41"/>
      <c r="D380" s="47"/>
      <c r="E380" s="42"/>
      <c r="F380" s="42"/>
      <c r="G380" s="42"/>
      <c r="H380" s="42"/>
      <c r="I380" s="42"/>
      <c r="J380" s="42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</row>
    <row r="381" spans="1:28" ht="15" x14ac:dyDescent="0.35">
      <c r="A381" s="41"/>
      <c r="B381" s="41"/>
      <c r="C381" s="41"/>
      <c r="D381" s="47"/>
      <c r="E381" s="42"/>
      <c r="F381" s="42"/>
      <c r="G381" s="42"/>
      <c r="H381" s="42"/>
      <c r="I381" s="42"/>
      <c r="J381" s="42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</row>
    <row r="382" spans="1:28" ht="15" x14ac:dyDescent="0.35">
      <c r="A382" s="41"/>
      <c r="B382" s="41"/>
      <c r="C382" s="41"/>
      <c r="D382" s="47"/>
      <c r="E382" s="42"/>
      <c r="F382" s="42"/>
      <c r="G382" s="42"/>
      <c r="H382" s="42"/>
      <c r="I382" s="42"/>
      <c r="J382" s="42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</row>
    <row r="383" spans="1:28" ht="15" x14ac:dyDescent="0.35">
      <c r="A383" s="41"/>
      <c r="B383" s="41"/>
      <c r="C383" s="41"/>
      <c r="D383" s="47"/>
      <c r="E383" s="42"/>
      <c r="F383" s="42"/>
      <c r="G383" s="42"/>
      <c r="H383" s="42"/>
      <c r="I383" s="42"/>
      <c r="J383" s="42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</row>
    <row r="384" spans="1:28" ht="15" x14ac:dyDescent="0.35">
      <c r="A384" s="41"/>
      <c r="B384" s="41"/>
      <c r="C384" s="41"/>
      <c r="D384" s="47"/>
      <c r="E384" s="42"/>
      <c r="F384" s="42"/>
      <c r="G384" s="42"/>
      <c r="H384" s="42"/>
      <c r="I384" s="42"/>
      <c r="J384" s="42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</row>
    <row r="385" spans="1:28" ht="15" x14ac:dyDescent="0.35">
      <c r="A385" s="41"/>
      <c r="B385" s="41"/>
      <c r="C385" s="41"/>
      <c r="D385" s="47"/>
      <c r="E385" s="42"/>
      <c r="F385" s="42"/>
      <c r="G385" s="42"/>
      <c r="H385" s="42"/>
      <c r="I385" s="42"/>
      <c r="J385" s="42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</row>
    <row r="386" spans="1:28" ht="15" x14ac:dyDescent="0.35">
      <c r="A386" s="41"/>
      <c r="B386" s="41"/>
      <c r="C386" s="41"/>
      <c r="D386" s="47"/>
      <c r="E386" s="42"/>
      <c r="F386" s="42"/>
      <c r="G386" s="42"/>
      <c r="H386" s="42"/>
      <c r="I386" s="42"/>
      <c r="J386" s="42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</row>
    <row r="387" spans="1:28" ht="15" x14ac:dyDescent="0.35">
      <c r="A387" s="41"/>
      <c r="B387" s="41"/>
      <c r="C387" s="41"/>
      <c r="D387" s="47"/>
      <c r="E387" s="42"/>
      <c r="F387" s="42"/>
      <c r="G387" s="42"/>
      <c r="H387" s="42"/>
      <c r="I387" s="42"/>
      <c r="J387" s="42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</row>
    <row r="388" spans="1:28" ht="15" x14ac:dyDescent="0.35">
      <c r="A388" s="41"/>
      <c r="B388" s="41"/>
      <c r="C388" s="41"/>
      <c r="D388" s="47"/>
      <c r="E388" s="42"/>
      <c r="F388" s="42"/>
      <c r="G388" s="42"/>
      <c r="H388" s="42"/>
      <c r="I388" s="42"/>
      <c r="J388" s="42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</row>
    <row r="389" spans="1:28" ht="15" x14ac:dyDescent="0.35">
      <c r="A389" s="41"/>
      <c r="B389" s="41"/>
      <c r="C389" s="41"/>
      <c r="D389" s="47"/>
      <c r="E389" s="42"/>
      <c r="F389" s="42"/>
      <c r="G389" s="42"/>
      <c r="H389" s="42"/>
      <c r="I389" s="42"/>
      <c r="J389" s="42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</row>
    <row r="390" spans="1:28" ht="15" x14ac:dyDescent="0.35">
      <c r="A390" s="41"/>
      <c r="B390" s="41"/>
      <c r="C390" s="41"/>
      <c r="D390" s="47"/>
      <c r="E390" s="42"/>
      <c r="F390" s="42"/>
      <c r="G390" s="42"/>
      <c r="H390" s="42"/>
      <c r="I390" s="42"/>
      <c r="J390" s="42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</row>
    <row r="391" spans="1:28" ht="15" x14ac:dyDescent="0.35">
      <c r="A391" s="41"/>
      <c r="B391" s="41"/>
      <c r="C391" s="41"/>
      <c r="D391" s="47"/>
      <c r="E391" s="42"/>
      <c r="F391" s="42"/>
      <c r="G391" s="42"/>
      <c r="H391" s="42"/>
      <c r="I391" s="42"/>
      <c r="J391" s="42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</row>
    <row r="392" spans="1:28" ht="15" x14ac:dyDescent="0.35">
      <c r="A392" s="41"/>
      <c r="B392" s="41"/>
      <c r="C392" s="41"/>
      <c r="D392" s="47"/>
      <c r="E392" s="42"/>
      <c r="F392" s="42"/>
      <c r="G392" s="42"/>
      <c r="H392" s="42"/>
      <c r="I392" s="42"/>
      <c r="J392" s="42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</row>
    <row r="393" spans="1:28" ht="15" x14ac:dyDescent="0.35">
      <c r="A393" s="41"/>
      <c r="B393" s="41"/>
      <c r="C393" s="41"/>
      <c r="D393" s="47"/>
      <c r="E393" s="42"/>
      <c r="F393" s="42"/>
      <c r="G393" s="42"/>
      <c r="H393" s="42"/>
      <c r="I393" s="42"/>
      <c r="J393" s="42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</row>
    <row r="394" spans="1:28" ht="15" x14ac:dyDescent="0.35">
      <c r="A394" s="41"/>
      <c r="B394" s="41"/>
      <c r="C394" s="41"/>
      <c r="D394" s="47"/>
      <c r="E394" s="42"/>
      <c r="F394" s="42"/>
      <c r="G394" s="42"/>
      <c r="H394" s="42"/>
      <c r="I394" s="42"/>
      <c r="J394" s="42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</row>
    <row r="395" spans="1:28" ht="15" x14ac:dyDescent="0.35">
      <c r="A395" s="41"/>
      <c r="B395" s="41"/>
      <c r="C395" s="41"/>
      <c r="D395" s="47"/>
      <c r="E395" s="42"/>
      <c r="F395" s="42"/>
      <c r="G395" s="42"/>
      <c r="H395" s="42"/>
      <c r="I395" s="42"/>
      <c r="J395" s="42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</row>
    <row r="396" spans="1:28" ht="15" x14ac:dyDescent="0.35">
      <c r="A396" s="41"/>
      <c r="B396" s="41"/>
      <c r="C396" s="41"/>
      <c r="D396" s="47"/>
      <c r="E396" s="42"/>
      <c r="F396" s="42"/>
      <c r="G396" s="42"/>
      <c r="H396" s="42"/>
      <c r="I396" s="42"/>
      <c r="J396" s="42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</row>
    <row r="397" spans="1:28" ht="15" x14ac:dyDescent="0.35">
      <c r="A397" s="41"/>
      <c r="B397" s="41"/>
      <c r="C397" s="41"/>
      <c r="D397" s="47"/>
      <c r="E397" s="42"/>
      <c r="F397" s="42"/>
      <c r="G397" s="42"/>
      <c r="H397" s="42"/>
      <c r="I397" s="42"/>
      <c r="J397" s="42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</row>
    <row r="398" spans="1:28" ht="15" x14ac:dyDescent="0.35">
      <c r="A398" s="41"/>
      <c r="B398" s="41"/>
      <c r="C398" s="41"/>
      <c r="D398" s="47"/>
      <c r="E398" s="42"/>
      <c r="F398" s="42"/>
      <c r="G398" s="42"/>
      <c r="H398" s="42"/>
      <c r="I398" s="42"/>
      <c r="J398" s="42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</row>
    <row r="399" spans="1:28" ht="15" x14ac:dyDescent="0.35">
      <c r="A399" s="41"/>
      <c r="B399" s="41"/>
      <c r="C399" s="41"/>
      <c r="D399" s="47"/>
      <c r="E399" s="42"/>
      <c r="F399" s="42"/>
      <c r="G399" s="42"/>
      <c r="H399" s="42"/>
      <c r="I399" s="42"/>
      <c r="J399" s="42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</row>
    <row r="400" spans="1:28" ht="15" x14ac:dyDescent="0.35">
      <c r="A400" s="41"/>
      <c r="B400" s="41"/>
      <c r="C400" s="41"/>
      <c r="D400" s="47"/>
      <c r="E400" s="42"/>
      <c r="F400" s="42"/>
      <c r="G400" s="42"/>
      <c r="H400" s="42"/>
      <c r="I400" s="42"/>
      <c r="J400" s="42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</row>
    <row r="401" spans="1:28" ht="15" x14ac:dyDescent="0.35">
      <c r="A401" s="41"/>
      <c r="B401" s="41"/>
      <c r="C401" s="41"/>
      <c r="D401" s="47"/>
      <c r="E401" s="42"/>
      <c r="F401" s="42"/>
      <c r="G401" s="42"/>
      <c r="H401" s="42"/>
      <c r="I401" s="42"/>
      <c r="J401" s="42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</row>
    <row r="402" spans="1:28" ht="15" x14ac:dyDescent="0.35">
      <c r="A402" s="41"/>
      <c r="B402" s="41"/>
      <c r="C402" s="41"/>
      <c r="D402" s="47"/>
      <c r="E402" s="42"/>
      <c r="F402" s="42"/>
      <c r="G402" s="42"/>
      <c r="H402" s="42"/>
      <c r="I402" s="42"/>
      <c r="J402" s="42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</row>
    <row r="403" spans="1:28" ht="15" x14ac:dyDescent="0.35">
      <c r="A403" s="41"/>
      <c r="B403" s="41"/>
      <c r="C403" s="41"/>
      <c r="D403" s="47"/>
      <c r="E403" s="42"/>
      <c r="F403" s="42"/>
      <c r="G403" s="42"/>
      <c r="H403" s="42"/>
      <c r="I403" s="42"/>
      <c r="J403" s="42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</row>
    <row r="404" spans="1:28" ht="15" x14ac:dyDescent="0.35">
      <c r="A404" s="41"/>
      <c r="B404" s="41"/>
      <c r="C404" s="41"/>
      <c r="D404" s="47"/>
      <c r="E404" s="42"/>
      <c r="F404" s="42"/>
      <c r="G404" s="42"/>
      <c r="H404" s="42"/>
      <c r="I404" s="42"/>
      <c r="J404" s="42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</row>
    <row r="405" spans="1:28" ht="15" x14ac:dyDescent="0.35">
      <c r="A405" s="41"/>
      <c r="B405" s="41"/>
      <c r="C405" s="41"/>
      <c r="D405" s="47"/>
      <c r="E405" s="42"/>
      <c r="F405" s="42"/>
      <c r="G405" s="42"/>
      <c r="H405" s="42"/>
      <c r="I405" s="42"/>
      <c r="J405" s="42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</row>
    <row r="406" spans="1:28" ht="15" x14ac:dyDescent="0.35">
      <c r="A406" s="41"/>
      <c r="B406" s="41"/>
      <c r="C406" s="41"/>
      <c r="D406" s="47"/>
      <c r="E406" s="42"/>
      <c r="F406" s="42"/>
      <c r="G406" s="42"/>
      <c r="H406" s="42"/>
      <c r="I406" s="42"/>
      <c r="J406" s="42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</row>
    <row r="407" spans="1:28" ht="15" x14ac:dyDescent="0.35">
      <c r="A407" s="41"/>
      <c r="B407" s="41"/>
      <c r="C407" s="41"/>
      <c r="D407" s="47"/>
      <c r="E407" s="42"/>
      <c r="F407" s="42"/>
      <c r="G407" s="42"/>
      <c r="H407" s="42"/>
      <c r="I407" s="42"/>
      <c r="J407" s="42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</row>
    <row r="408" spans="1:28" ht="15" x14ac:dyDescent="0.35">
      <c r="A408" s="41"/>
      <c r="B408" s="41"/>
      <c r="C408" s="41"/>
      <c r="D408" s="47"/>
      <c r="E408" s="42"/>
      <c r="F408" s="42"/>
      <c r="G408" s="42"/>
      <c r="H408" s="42"/>
      <c r="I408" s="42"/>
      <c r="J408" s="42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</row>
    <row r="409" spans="1:28" ht="15" x14ac:dyDescent="0.35">
      <c r="A409" s="41"/>
      <c r="B409" s="41"/>
      <c r="C409" s="41"/>
      <c r="D409" s="47"/>
      <c r="E409" s="42"/>
      <c r="F409" s="42"/>
      <c r="G409" s="42"/>
      <c r="H409" s="42"/>
      <c r="I409" s="42"/>
      <c r="J409" s="42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</row>
    <row r="410" spans="1:28" ht="15" x14ac:dyDescent="0.35">
      <c r="A410" s="41"/>
      <c r="B410" s="41"/>
      <c r="C410" s="41"/>
      <c r="D410" s="47"/>
      <c r="E410" s="42"/>
      <c r="F410" s="42"/>
      <c r="G410" s="42"/>
      <c r="H410" s="42"/>
      <c r="I410" s="42"/>
      <c r="J410" s="42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</row>
    <row r="411" spans="1:28" ht="15" x14ac:dyDescent="0.35">
      <c r="A411" s="41"/>
      <c r="B411" s="41"/>
      <c r="C411" s="41"/>
      <c r="D411" s="47"/>
      <c r="E411" s="42"/>
      <c r="F411" s="42"/>
      <c r="G411" s="42"/>
      <c r="H411" s="42"/>
      <c r="I411" s="42"/>
      <c r="J411" s="42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</row>
    <row r="412" spans="1:28" ht="15" x14ac:dyDescent="0.35">
      <c r="A412" s="41"/>
      <c r="B412" s="41"/>
      <c r="C412" s="41"/>
      <c r="D412" s="47"/>
      <c r="E412" s="42"/>
      <c r="F412" s="42"/>
      <c r="G412" s="42"/>
      <c r="H412" s="42"/>
      <c r="I412" s="42"/>
      <c r="J412" s="42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</row>
    <row r="413" spans="1:28" ht="15" x14ac:dyDescent="0.35">
      <c r="A413" s="41"/>
      <c r="B413" s="41"/>
      <c r="C413" s="41"/>
      <c r="D413" s="47"/>
      <c r="E413" s="42"/>
      <c r="F413" s="42"/>
      <c r="G413" s="42"/>
      <c r="H413" s="42"/>
      <c r="I413" s="42"/>
      <c r="J413" s="42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</row>
    <row r="414" spans="1:28" ht="15" x14ac:dyDescent="0.35">
      <c r="A414" s="41"/>
      <c r="B414" s="41"/>
      <c r="C414" s="41"/>
      <c r="D414" s="47"/>
      <c r="E414" s="42"/>
      <c r="F414" s="42"/>
      <c r="G414" s="42"/>
      <c r="H414" s="42"/>
      <c r="I414" s="42"/>
      <c r="J414" s="42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</row>
    <row r="415" spans="1:28" ht="15" x14ac:dyDescent="0.35">
      <c r="A415" s="41"/>
      <c r="B415" s="41"/>
      <c r="C415" s="41"/>
      <c r="D415" s="47"/>
      <c r="E415" s="42"/>
      <c r="F415" s="42"/>
      <c r="G415" s="42"/>
      <c r="H415" s="42"/>
      <c r="I415" s="42"/>
      <c r="J415" s="42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</row>
    <row r="416" spans="1:28" ht="15" x14ac:dyDescent="0.35">
      <c r="A416" s="41"/>
      <c r="B416" s="41"/>
      <c r="C416" s="41"/>
      <c r="D416" s="47"/>
      <c r="E416" s="42"/>
      <c r="F416" s="42"/>
      <c r="G416" s="42"/>
      <c r="H416" s="42"/>
      <c r="I416" s="42"/>
      <c r="J416" s="42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</row>
    <row r="417" spans="1:28" ht="15" x14ac:dyDescent="0.35">
      <c r="A417" s="41"/>
      <c r="B417" s="41"/>
      <c r="C417" s="41"/>
      <c r="D417" s="47"/>
      <c r="E417" s="42"/>
      <c r="F417" s="42"/>
      <c r="G417" s="42"/>
      <c r="H417" s="42"/>
      <c r="I417" s="42"/>
      <c r="J417" s="42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</row>
    <row r="418" spans="1:28" ht="15" x14ac:dyDescent="0.35">
      <c r="A418" s="41"/>
      <c r="B418" s="41"/>
      <c r="C418" s="41"/>
      <c r="D418" s="47"/>
      <c r="E418" s="42"/>
      <c r="F418" s="42"/>
      <c r="G418" s="42"/>
      <c r="H418" s="42"/>
      <c r="I418" s="42"/>
      <c r="J418" s="42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</row>
    <row r="419" spans="1:28" ht="15" x14ac:dyDescent="0.35">
      <c r="A419" s="41"/>
      <c r="B419" s="41"/>
      <c r="C419" s="41"/>
      <c r="D419" s="47"/>
      <c r="E419" s="42"/>
      <c r="F419" s="42"/>
      <c r="G419" s="42"/>
      <c r="H419" s="42"/>
      <c r="I419" s="42"/>
      <c r="J419" s="42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</row>
    <row r="420" spans="1:28" ht="15" x14ac:dyDescent="0.35">
      <c r="A420" s="41"/>
      <c r="B420" s="41"/>
      <c r="C420" s="41"/>
      <c r="D420" s="47"/>
      <c r="E420" s="42"/>
      <c r="F420" s="42"/>
      <c r="G420" s="42"/>
      <c r="H420" s="42"/>
      <c r="I420" s="42"/>
      <c r="J420" s="42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</row>
    <row r="421" spans="1:28" ht="15" x14ac:dyDescent="0.35">
      <c r="A421" s="41"/>
      <c r="B421" s="41"/>
      <c r="C421" s="41"/>
      <c r="D421" s="47"/>
      <c r="E421" s="42"/>
      <c r="F421" s="42"/>
      <c r="G421" s="42"/>
      <c r="H421" s="42"/>
      <c r="I421" s="42"/>
      <c r="J421" s="42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</row>
    <row r="422" spans="1:28" ht="15" x14ac:dyDescent="0.35">
      <c r="A422" s="41"/>
      <c r="B422" s="41"/>
      <c r="C422" s="41"/>
      <c r="D422" s="47"/>
      <c r="E422" s="42"/>
      <c r="F422" s="42"/>
      <c r="G422" s="42"/>
      <c r="H422" s="42"/>
      <c r="I422" s="42"/>
      <c r="J422" s="42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</row>
    <row r="423" spans="1:28" ht="15" x14ac:dyDescent="0.35">
      <c r="A423" s="41"/>
      <c r="B423" s="41"/>
      <c r="C423" s="41"/>
      <c r="D423" s="47"/>
      <c r="E423" s="42"/>
      <c r="F423" s="42"/>
      <c r="G423" s="42"/>
      <c r="H423" s="42"/>
      <c r="I423" s="42"/>
      <c r="J423" s="42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</row>
    <row r="424" spans="1:28" ht="15" x14ac:dyDescent="0.35">
      <c r="A424" s="41"/>
      <c r="B424" s="41"/>
      <c r="C424" s="41"/>
      <c r="D424" s="47"/>
      <c r="E424" s="42"/>
      <c r="F424" s="42"/>
      <c r="G424" s="42"/>
      <c r="H424" s="42"/>
      <c r="I424" s="42"/>
      <c r="J424" s="42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</row>
    <row r="425" spans="1:28" ht="15" x14ac:dyDescent="0.35">
      <c r="A425" s="41"/>
      <c r="B425" s="41"/>
      <c r="C425" s="41"/>
      <c r="D425" s="47"/>
      <c r="E425" s="42"/>
      <c r="F425" s="42"/>
      <c r="G425" s="42"/>
      <c r="H425" s="42"/>
      <c r="I425" s="42"/>
      <c r="J425" s="42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</row>
    <row r="426" spans="1:28" ht="15" x14ac:dyDescent="0.35">
      <c r="A426" s="41"/>
      <c r="B426" s="41"/>
      <c r="C426" s="41"/>
      <c r="D426" s="47"/>
      <c r="E426" s="42"/>
      <c r="F426" s="42"/>
      <c r="G426" s="42"/>
      <c r="H426" s="42"/>
      <c r="I426" s="42"/>
      <c r="J426" s="42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</row>
    <row r="427" spans="1:28" ht="15" x14ac:dyDescent="0.35">
      <c r="A427" s="41"/>
      <c r="B427" s="41"/>
      <c r="C427" s="41"/>
      <c r="D427" s="47"/>
      <c r="E427" s="42"/>
      <c r="F427" s="42"/>
      <c r="G427" s="42"/>
      <c r="H427" s="42"/>
      <c r="I427" s="42"/>
      <c r="J427" s="42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</row>
    <row r="428" spans="1:28" ht="15" x14ac:dyDescent="0.35">
      <c r="A428" s="41"/>
      <c r="B428" s="41"/>
      <c r="C428" s="41"/>
      <c r="D428" s="47"/>
      <c r="E428" s="42"/>
      <c r="F428" s="42"/>
      <c r="G428" s="42"/>
      <c r="H428" s="42"/>
      <c r="I428" s="42"/>
      <c r="J428" s="42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</row>
    <row r="429" spans="1:28" ht="15" x14ac:dyDescent="0.35">
      <c r="A429" s="41"/>
      <c r="B429" s="41"/>
      <c r="C429" s="41"/>
      <c r="D429" s="47"/>
      <c r="E429" s="42"/>
      <c r="F429" s="42"/>
      <c r="G429" s="42"/>
      <c r="H429" s="42"/>
      <c r="I429" s="42"/>
      <c r="J429" s="42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</row>
    <row r="430" spans="1:28" ht="15" x14ac:dyDescent="0.35">
      <c r="A430" s="41"/>
      <c r="B430" s="41"/>
      <c r="C430" s="41"/>
      <c r="D430" s="47"/>
      <c r="E430" s="42"/>
      <c r="F430" s="42"/>
      <c r="G430" s="42"/>
      <c r="H430" s="42"/>
      <c r="I430" s="42"/>
      <c r="J430" s="42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</row>
    <row r="431" spans="1:28" ht="15" x14ac:dyDescent="0.35">
      <c r="A431" s="41"/>
      <c r="B431" s="41"/>
      <c r="C431" s="41"/>
      <c r="D431" s="47"/>
      <c r="E431" s="42"/>
      <c r="F431" s="42"/>
      <c r="G431" s="42"/>
      <c r="H431" s="42"/>
      <c r="I431" s="42"/>
      <c r="J431" s="42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</row>
    <row r="432" spans="1:28" ht="15" x14ac:dyDescent="0.35">
      <c r="A432" s="41"/>
      <c r="B432" s="41"/>
      <c r="C432" s="41"/>
      <c r="D432" s="47"/>
      <c r="E432" s="42"/>
      <c r="F432" s="42"/>
      <c r="G432" s="42"/>
      <c r="H432" s="42"/>
      <c r="I432" s="42"/>
      <c r="J432" s="42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</row>
    <row r="433" spans="1:28" ht="15" x14ac:dyDescent="0.35">
      <c r="A433" s="41"/>
      <c r="B433" s="41"/>
      <c r="C433" s="41"/>
      <c r="D433" s="47"/>
      <c r="E433" s="42"/>
      <c r="F433" s="42"/>
      <c r="G433" s="42"/>
      <c r="H433" s="42"/>
      <c r="I433" s="42"/>
      <c r="J433" s="42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</row>
    <row r="434" spans="1:28" ht="15" x14ac:dyDescent="0.35">
      <c r="A434" s="41"/>
      <c r="B434" s="41"/>
      <c r="C434" s="41"/>
      <c r="D434" s="47"/>
      <c r="E434" s="42"/>
      <c r="F434" s="42"/>
      <c r="G434" s="42"/>
      <c r="H434" s="42"/>
      <c r="I434" s="42"/>
      <c r="J434" s="42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</row>
    <row r="435" spans="1:28" ht="15" x14ac:dyDescent="0.35">
      <c r="A435" s="41"/>
      <c r="B435" s="41"/>
      <c r="C435" s="41"/>
      <c r="D435" s="47"/>
      <c r="E435" s="42"/>
      <c r="F435" s="42"/>
      <c r="G435" s="42"/>
      <c r="H435" s="42"/>
      <c r="I435" s="42"/>
      <c r="J435" s="42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</row>
    <row r="436" spans="1:28" ht="15" x14ac:dyDescent="0.35">
      <c r="A436" s="41"/>
      <c r="B436" s="41"/>
      <c r="C436" s="41"/>
      <c r="D436" s="47"/>
      <c r="E436" s="42"/>
      <c r="F436" s="42"/>
      <c r="G436" s="42"/>
      <c r="H436" s="42"/>
      <c r="I436" s="42"/>
      <c r="J436" s="42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</row>
    <row r="437" spans="1:28" ht="15" x14ac:dyDescent="0.35">
      <c r="A437" s="41"/>
      <c r="B437" s="41"/>
      <c r="C437" s="41"/>
      <c r="D437" s="47"/>
      <c r="E437" s="42"/>
      <c r="F437" s="42"/>
      <c r="G437" s="42"/>
      <c r="H437" s="42"/>
      <c r="I437" s="42"/>
      <c r="J437" s="42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</row>
    <row r="438" spans="1:28" ht="15" x14ac:dyDescent="0.35">
      <c r="A438" s="41"/>
      <c r="B438" s="41"/>
      <c r="C438" s="41"/>
      <c r="D438" s="47"/>
      <c r="E438" s="42"/>
      <c r="F438" s="42"/>
      <c r="G438" s="42"/>
      <c r="H438" s="42"/>
      <c r="I438" s="42"/>
      <c r="J438" s="42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</row>
    <row r="439" spans="1:28" ht="15" x14ac:dyDescent="0.35">
      <c r="A439" s="41"/>
      <c r="B439" s="41"/>
      <c r="C439" s="41"/>
      <c r="D439" s="47"/>
      <c r="E439" s="42"/>
      <c r="F439" s="42"/>
      <c r="G439" s="42"/>
      <c r="H439" s="42"/>
      <c r="I439" s="42"/>
      <c r="J439" s="42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</row>
    <row r="440" spans="1:28" ht="15" x14ac:dyDescent="0.35">
      <c r="A440" s="41"/>
      <c r="B440" s="41"/>
      <c r="C440" s="41"/>
      <c r="D440" s="47"/>
      <c r="E440" s="42"/>
      <c r="F440" s="42"/>
      <c r="G440" s="42"/>
      <c r="H440" s="42"/>
      <c r="I440" s="42"/>
      <c r="J440" s="42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</row>
    <row r="441" spans="1:28" ht="15" x14ac:dyDescent="0.35">
      <c r="A441" s="41"/>
      <c r="B441" s="41"/>
      <c r="C441" s="41"/>
      <c r="D441" s="47"/>
      <c r="E441" s="42"/>
      <c r="F441" s="42"/>
      <c r="G441" s="42"/>
      <c r="H441" s="42"/>
      <c r="I441" s="42"/>
      <c r="J441" s="42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</row>
    <row r="442" spans="1:28" ht="15" x14ac:dyDescent="0.35">
      <c r="A442" s="41"/>
      <c r="B442" s="41"/>
      <c r="C442" s="41"/>
      <c r="D442" s="47"/>
      <c r="E442" s="42"/>
      <c r="F442" s="42"/>
      <c r="G442" s="42"/>
      <c r="H442" s="42"/>
      <c r="I442" s="42"/>
      <c r="J442" s="42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</row>
    <row r="443" spans="1:28" ht="15" x14ac:dyDescent="0.35">
      <c r="A443" s="41"/>
      <c r="B443" s="41"/>
      <c r="C443" s="41"/>
      <c r="D443" s="47"/>
      <c r="E443" s="42"/>
      <c r="F443" s="42"/>
      <c r="G443" s="42"/>
      <c r="H443" s="42"/>
      <c r="I443" s="42"/>
      <c r="J443" s="42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</row>
    <row r="444" spans="1:28" ht="15" x14ac:dyDescent="0.35">
      <c r="A444" s="41"/>
      <c r="B444" s="41"/>
      <c r="C444" s="41"/>
      <c r="D444" s="47"/>
      <c r="E444" s="42"/>
      <c r="F444" s="42"/>
      <c r="G444" s="42"/>
      <c r="H444" s="42"/>
      <c r="I444" s="42"/>
      <c r="J444" s="42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</row>
    <row r="445" spans="1:28" ht="15" x14ac:dyDescent="0.35">
      <c r="A445" s="41"/>
      <c r="B445" s="41"/>
      <c r="C445" s="41"/>
      <c r="D445" s="47"/>
      <c r="E445" s="42"/>
      <c r="F445" s="42"/>
      <c r="G445" s="42"/>
      <c r="H445" s="42"/>
      <c r="I445" s="42"/>
      <c r="J445" s="42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</row>
    <row r="446" spans="1:28" ht="15" x14ac:dyDescent="0.35">
      <c r="A446" s="41"/>
      <c r="B446" s="41"/>
      <c r="C446" s="41"/>
      <c r="D446" s="47"/>
      <c r="E446" s="42"/>
      <c r="F446" s="42"/>
      <c r="G446" s="42"/>
      <c r="H446" s="42"/>
      <c r="I446" s="42"/>
      <c r="J446" s="42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</row>
    <row r="447" spans="1:28" ht="15" x14ac:dyDescent="0.35">
      <c r="A447" s="41"/>
      <c r="B447" s="41"/>
      <c r="C447" s="41"/>
      <c r="D447" s="47"/>
      <c r="E447" s="42"/>
      <c r="F447" s="42"/>
      <c r="G447" s="42"/>
      <c r="H447" s="42"/>
      <c r="I447" s="42"/>
      <c r="J447" s="42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</row>
    <row r="448" spans="1:28" ht="15" x14ac:dyDescent="0.35">
      <c r="A448" s="41"/>
      <c r="B448" s="41"/>
      <c r="C448" s="41"/>
      <c r="D448" s="47"/>
      <c r="E448" s="42"/>
      <c r="F448" s="42"/>
      <c r="G448" s="42"/>
      <c r="H448" s="42"/>
      <c r="I448" s="42"/>
      <c r="J448" s="42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</row>
    <row r="449" spans="1:28" ht="15" x14ac:dyDescent="0.35">
      <c r="A449" s="41"/>
      <c r="B449" s="41"/>
      <c r="C449" s="41"/>
      <c r="D449" s="47"/>
      <c r="E449" s="42"/>
      <c r="F449" s="42"/>
      <c r="G449" s="42"/>
      <c r="H449" s="42"/>
      <c r="I449" s="42"/>
      <c r="J449" s="42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</row>
    <row r="450" spans="1:28" ht="15" x14ac:dyDescent="0.35">
      <c r="A450" s="41"/>
      <c r="B450" s="41"/>
      <c r="C450" s="41"/>
      <c r="D450" s="47"/>
      <c r="E450" s="42"/>
      <c r="F450" s="42"/>
      <c r="G450" s="42"/>
      <c r="H450" s="42"/>
      <c r="I450" s="42"/>
      <c r="J450" s="42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</row>
    <row r="451" spans="1:28" ht="15" x14ac:dyDescent="0.35">
      <c r="A451" s="41"/>
      <c r="B451" s="41"/>
      <c r="C451" s="41"/>
      <c r="D451" s="47"/>
      <c r="E451" s="42"/>
      <c r="F451" s="42"/>
      <c r="G451" s="42"/>
      <c r="H451" s="42"/>
      <c r="I451" s="42"/>
      <c r="J451" s="42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</row>
    <row r="452" spans="1:28" ht="15" x14ac:dyDescent="0.35">
      <c r="A452" s="41"/>
      <c r="B452" s="41"/>
      <c r="C452" s="41"/>
      <c r="D452" s="47"/>
      <c r="E452" s="42"/>
      <c r="F452" s="42"/>
      <c r="G452" s="42"/>
      <c r="H452" s="42"/>
      <c r="I452" s="42"/>
      <c r="J452" s="42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</row>
    <row r="453" spans="1:28" ht="15" x14ac:dyDescent="0.35">
      <c r="A453" s="41"/>
      <c r="B453" s="41"/>
      <c r="C453" s="41"/>
      <c r="D453" s="47"/>
      <c r="E453" s="42"/>
      <c r="F453" s="42"/>
      <c r="G453" s="42"/>
      <c r="H453" s="42"/>
      <c r="I453" s="42"/>
      <c r="J453" s="42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</row>
    <row r="454" spans="1:28" ht="15" x14ac:dyDescent="0.35">
      <c r="A454" s="41"/>
      <c r="B454" s="41"/>
      <c r="C454" s="41"/>
      <c r="D454" s="47"/>
      <c r="E454" s="42"/>
      <c r="F454" s="42"/>
      <c r="G454" s="42"/>
      <c r="H454" s="42"/>
      <c r="I454" s="42"/>
      <c r="J454" s="42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</row>
    <row r="455" spans="1:28" ht="15" x14ac:dyDescent="0.35">
      <c r="A455" s="41"/>
      <c r="B455" s="41"/>
      <c r="C455" s="41"/>
      <c r="D455" s="47"/>
      <c r="E455" s="42"/>
      <c r="F455" s="42"/>
      <c r="G455" s="42"/>
      <c r="H455" s="42"/>
      <c r="I455" s="42"/>
      <c r="J455" s="42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</row>
    <row r="456" spans="1:28" ht="15" x14ac:dyDescent="0.35">
      <c r="A456" s="41"/>
      <c r="B456" s="41"/>
      <c r="C456" s="41"/>
      <c r="D456" s="47"/>
      <c r="E456" s="42"/>
      <c r="F456" s="42"/>
      <c r="G456" s="42"/>
      <c r="H456" s="42"/>
      <c r="I456" s="42"/>
      <c r="J456" s="42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</row>
    <row r="457" spans="1:28" ht="15" x14ac:dyDescent="0.35">
      <c r="A457" s="41"/>
      <c r="B457" s="41"/>
      <c r="C457" s="41"/>
      <c r="D457" s="47"/>
      <c r="E457" s="42"/>
      <c r="F457" s="42"/>
      <c r="G457" s="42"/>
      <c r="H457" s="42"/>
      <c r="I457" s="42"/>
      <c r="J457" s="42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</row>
    <row r="458" spans="1:28" ht="15" x14ac:dyDescent="0.35">
      <c r="A458" s="41"/>
      <c r="B458" s="41"/>
      <c r="C458" s="41"/>
      <c r="D458" s="47"/>
      <c r="E458" s="42"/>
      <c r="F458" s="42"/>
      <c r="G458" s="42"/>
      <c r="H458" s="42"/>
      <c r="I458" s="42"/>
      <c r="J458" s="42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</row>
    <row r="459" spans="1:28" ht="15" x14ac:dyDescent="0.35">
      <c r="A459" s="41"/>
      <c r="B459" s="41"/>
      <c r="C459" s="41"/>
      <c r="D459" s="47"/>
      <c r="E459" s="42"/>
      <c r="F459" s="42"/>
      <c r="G459" s="42"/>
      <c r="H459" s="42"/>
      <c r="I459" s="42"/>
      <c r="J459" s="42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</row>
    <row r="460" spans="1:28" ht="15" x14ac:dyDescent="0.35">
      <c r="A460" s="41"/>
      <c r="B460" s="41"/>
      <c r="C460" s="41"/>
      <c r="D460" s="47"/>
      <c r="E460" s="42"/>
      <c r="F460" s="42"/>
      <c r="G460" s="42"/>
      <c r="H460" s="42"/>
      <c r="I460" s="42"/>
      <c r="J460" s="42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</row>
    <row r="461" spans="1:28" ht="15" x14ac:dyDescent="0.35">
      <c r="A461" s="41"/>
      <c r="B461" s="41"/>
      <c r="C461" s="41"/>
      <c r="D461" s="47"/>
      <c r="E461" s="42"/>
      <c r="F461" s="42"/>
      <c r="G461" s="42"/>
      <c r="H461" s="42"/>
      <c r="I461" s="42"/>
      <c r="J461" s="42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</row>
    <row r="462" spans="1:28" ht="15" x14ac:dyDescent="0.35">
      <c r="A462" s="41"/>
      <c r="B462" s="41"/>
      <c r="C462" s="41"/>
      <c r="D462" s="47"/>
      <c r="E462" s="42"/>
      <c r="F462" s="42"/>
      <c r="G462" s="42"/>
      <c r="H462" s="42"/>
      <c r="I462" s="42"/>
      <c r="J462" s="42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</row>
    <row r="463" spans="1:28" ht="15" x14ac:dyDescent="0.35">
      <c r="A463" s="41"/>
      <c r="B463" s="41"/>
      <c r="C463" s="41"/>
      <c r="D463" s="47"/>
      <c r="E463" s="42"/>
      <c r="F463" s="42"/>
      <c r="G463" s="42"/>
      <c r="H463" s="42"/>
      <c r="I463" s="42"/>
      <c r="J463" s="42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</row>
    <row r="464" spans="1:28" ht="15" x14ac:dyDescent="0.35">
      <c r="A464" s="41"/>
      <c r="B464" s="41"/>
      <c r="C464" s="41"/>
      <c r="D464" s="47"/>
      <c r="E464" s="42"/>
      <c r="F464" s="42"/>
      <c r="G464" s="42"/>
      <c r="H464" s="42"/>
      <c r="I464" s="42"/>
      <c r="J464" s="42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</row>
    <row r="465" spans="1:28" ht="15" x14ac:dyDescent="0.35">
      <c r="A465" s="41"/>
      <c r="B465" s="41"/>
      <c r="C465" s="41"/>
      <c r="D465" s="47"/>
      <c r="E465" s="42"/>
      <c r="F465" s="42"/>
      <c r="G465" s="42"/>
      <c r="H465" s="42"/>
      <c r="I465" s="42"/>
      <c r="J465" s="42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</row>
    <row r="466" spans="1:28" ht="15" x14ac:dyDescent="0.35">
      <c r="A466" s="41"/>
      <c r="B466" s="41"/>
      <c r="C466" s="41"/>
      <c r="D466" s="47"/>
      <c r="E466" s="42"/>
      <c r="F466" s="42"/>
      <c r="G466" s="42"/>
      <c r="H466" s="42"/>
      <c r="I466" s="42"/>
      <c r="J466" s="42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</row>
    <row r="467" spans="1:28" ht="15" x14ac:dyDescent="0.35">
      <c r="A467" s="41"/>
      <c r="B467" s="41"/>
      <c r="C467" s="41"/>
      <c r="D467" s="47"/>
      <c r="E467" s="42"/>
      <c r="F467" s="42"/>
      <c r="G467" s="42"/>
      <c r="H467" s="42"/>
      <c r="I467" s="42"/>
      <c r="J467" s="42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</row>
    <row r="468" spans="1:28" ht="15" x14ac:dyDescent="0.35">
      <c r="A468" s="41"/>
      <c r="B468" s="41"/>
      <c r="C468" s="41"/>
      <c r="D468" s="47"/>
      <c r="E468" s="42"/>
      <c r="F468" s="42"/>
      <c r="G468" s="42"/>
      <c r="H468" s="42"/>
      <c r="I468" s="42"/>
      <c r="J468" s="42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</row>
    <row r="469" spans="1:28" ht="15" x14ac:dyDescent="0.35">
      <c r="A469" s="41"/>
      <c r="B469" s="41"/>
      <c r="C469" s="41"/>
      <c r="D469" s="47"/>
      <c r="E469" s="42"/>
      <c r="F469" s="42"/>
      <c r="G469" s="42"/>
      <c r="H469" s="42"/>
      <c r="I469" s="42"/>
      <c r="J469" s="42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</row>
    <row r="470" spans="1:28" ht="15" x14ac:dyDescent="0.35">
      <c r="A470" s="41"/>
      <c r="B470" s="41"/>
      <c r="C470" s="41"/>
      <c r="D470" s="47"/>
      <c r="E470" s="42"/>
      <c r="F470" s="42"/>
      <c r="G470" s="42"/>
      <c r="H470" s="42"/>
      <c r="I470" s="42"/>
      <c r="J470" s="42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</row>
    <row r="471" spans="1:28" ht="15" x14ac:dyDescent="0.35">
      <c r="A471" s="41"/>
      <c r="B471" s="41"/>
      <c r="C471" s="41"/>
      <c r="D471" s="47"/>
      <c r="E471" s="42"/>
      <c r="F471" s="42"/>
      <c r="G471" s="42"/>
      <c r="H471" s="42"/>
      <c r="I471" s="42"/>
      <c r="J471" s="42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</row>
    <row r="472" spans="1:28" ht="15" x14ac:dyDescent="0.35">
      <c r="A472" s="41"/>
      <c r="B472" s="41"/>
      <c r="C472" s="41"/>
      <c r="D472" s="47"/>
      <c r="E472" s="42"/>
      <c r="F472" s="42"/>
      <c r="G472" s="42"/>
      <c r="H472" s="42"/>
      <c r="I472" s="42"/>
      <c r="J472" s="42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</row>
    <row r="473" spans="1:28" ht="15" x14ac:dyDescent="0.35">
      <c r="A473" s="41"/>
      <c r="B473" s="41"/>
      <c r="C473" s="41"/>
      <c r="D473" s="47"/>
      <c r="E473" s="42"/>
      <c r="F473" s="42"/>
      <c r="G473" s="42"/>
      <c r="H473" s="42"/>
      <c r="I473" s="42"/>
      <c r="J473" s="42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</row>
    <row r="474" spans="1:28" ht="15" x14ac:dyDescent="0.35">
      <c r="A474" s="41"/>
      <c r="B474" s="41"/>
      <c r="C474" s="41"/>
      <c r="D474" s="47"/>
      <c r="E474" s="42"/>
      <c r="F474" s="42"/>
      <c r="G474" s="42"/>
      <c r="H474" s="42"/>
      <c r="I474" s="42"/>
      <c r="J474" s="42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</row>
    <row r="475" spans="1:28" ht="15" x14ac:dyDescent="0.35">
      <c r="A475" s="41"/>
      <c r="B475" s="41"/>
      <c r="C475" s="41"/>
      <c r="D475" s="47"/>
      <c r="E475" s="42"/>
      <c r="F475" s="42"/>
      <c r="G475" s="42"/>
      <c r="H475" s="42"/>
      <c r="I475" s="42"/>
      <c r="J475" s="42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</row>
    <row r="476" spans="1:28" ht="15" x14ac:dyDescent="0.35">
      <c r="A476" s="41"/>
      <c r="B476" s="41"/>
      <c r="C476" s="41"/>
      <c r="D476" s="47"/>
      <c r="E476" s="42"/>
      <c r="F476" s="42"/>
      <c r="G476" s="42"/>
      <c r="H476" s="42"/>
      <c r="I476" s="42"/>
      <c r="J476" s="42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</row>
    <row r="477" spans="1:28" ht="15" x14ac:dyDescent="0.35">
      <c r="A477" s="41"/>
      <c r="B477" s="41"/>
      <c r="C477" s="41"/>
      <c r="D477" s="47"/>
      <c r="E477" s="42"/>
      <c r="F477" s="42"/>
      <c r="G477" s="42"/>
      <c r="H477" s="42"/>
      <c r="I477" s="42"/>
      <c r="J477" s="42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</row>
    <row r="478" spans="1:28" ht="15" x14ac:dyDescent="0.35">
      <c r="A478" s="41"/>
      <c r="B478" s="41"/>
      <c r="C478" s="41"/>
      <c r="D478" s="47"/>
      <c r="E478" s="42"/>
      <c r="F478" s="42"/>
      <c r="G478" s="42"/>
      <c r="H478" s="42"/>
      <c r="I478" s="42"/>
      <c r="J478" s="42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</row>
    <row r="479" spans="1:28" ht="15" x14ac:dyDescent="0.35">
      <c r="A479" s="41"/>
      <c r="B479" s="41"/>
      <c r="C479" s="41"/>
      <c r="D479" s="47"/>
      <c r="E479" s="42"/>
      <c r="F479" s="42"/>
      <c r="G479" s="42"/>
      <c r="H479" s="42"/>
      <c r="I479" s="42"/>
      <c r="J479" s="42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</row>
    <row r="480" spans="1:28" ht="15" x14ac:dyDescent="0.35">
      <c r="A480" s="41"/>
      <c r="B480" s="41"/>
      <c r="C480" s="41"/>
      <c r="D480" s="47"/>
      <c r="E480" s="42"/>
      <c r="F480" s="42"/>
      <c r="G480" s="42"/>
      <c r="H480" s="42"/>
      <c r="I480" s="42"/>
      <c r="J480" s="42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</row>
    <row r="481" spans="1:28" ht="15" x14ac:dyDescent="0.35">
      <c r="A481" s="41"/>
      <c r="B481" s="41"/>
      <c r="C481" s="41"/>
      <c r="D481" s="47"/>
      <c r="E481" s="42"/>
      <c r="F481" s="42"/>
      <c r="G481" s="42"/>
      <c r="H481" s="42"/>
      <c r="I481" s="42"/>
      <c r="J481" s="42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</row>
    <row r="482" spans="1:28" ht="15" x14ac:dyDescent="0.35">
      <c r="A482" s="41"/>
      <c r="B482" s="41"/>
      <c r="C482" s="41"/>
      <c r="D482" s="47"/>
      <c r="E482" s="42"/>
      <c r="F482" s="42"/>
      <c r="G482" s="42"/>
      <c r="H482" s="42"/>
      <c r="I482" s="42"/>
      <c r="J482" s="42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</row>
    <row r="483" spans="1:28" ht="15" x14ac:dyDescent="0.35">
      <c r="A483" s="41"/>
      <c r="B483" s="41"/>
      <c r="C483" s="41"/>
      <c r="D483" s="47"/>
      <c r="E483" s="42"/>
      <c r="F483" s="42"/>
      <c r="G483" s="42"/>
      <c r="H483" s="42"/>
      <c r="I483" s="42"/>
      <c r="J483" s="42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</row>
    <row r="484" spans="1:28" ht="15" x14ac:dyDescent="0.35">
      <c r="A484" s="41"/>
      <c r="B484" s="41"/>
      <c r="C484" s="41"/>
      <c r="D484" s="47"/>
      <c r="E484" s="42"/>
      <c r="F484" s="42"/>
      <c r="G484" s="42"/>
      <c r="H484" s="42"/>
      <c r="I484" s="42"/>
      <c r="J484" s="42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</row>
    <row r="485" spans="1:28" ht="15" x14ac:dyDescent="0.35">
      <c r="A485" s="41"/>
      <c r="B485" s="41"/>
      <c r="C485" s="41"/>
      <c r="D485" s="47"/>
      <c r="E485" s="42"/>
      <c r="F485" s="42"/>
      <c r="G485" s="42"/>
      <c r="H485" s="42"/>
      <c r="I485" s="42"/>
      <c r="J485" s="42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</row>
    <row r="486" spans="1:28" ht="15" x14ac:dyDescent="0.35">
      <c r="A486" s="41"/>
      <c r="B486" s="41"/>
      <c r="C486" s="41"/>
      <c r="D486" s="47"/>
      <c r="E486" s="42"/>
      <c r="F486" s="42"/>
      <c r="G486" s="42"/>
      <c r="H486" s="42"/>
      <c r="I486" s="42"/>
      <c r="J486" s="42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</row>
    <row r="487" spans="1:28" ht="15" x14ac:dyDescent="0.35">
      <c r="A487" s="41"/>
      <c r="B487" s="41"/>
      <c r="C487" s="41"/>
      <c r="D487" s="47"/>
      <c r="E487" s="42"/>
      <c r="F487" s="42"/>
      <c r="G487" s="42"/>
      <c r="H487" s="42"/>
      <c r="I487" s="42"/>
      <c r="J487" s="42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</row>
    <row r="488" spans="1:28" ht="15" x14ac:dyDescent="0.35">
      <c r="A488" s="41"/>
      <c r="B488" s="41"/>
      <c r="C488" s="41"/>
      <c r="D488" s="47"/>
      <c r="E488" s="42"/>
      <c r="F488" s="42"/>
      <c r="G488" s="42"/>
      <c r="H488" s="42"/>
      <c r="I488" s="42"/>
      <c r="J488" s="42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</row>
    <row r="489" spans="1:28" ht="15" x14ac:dyDescent="0.35">
      <c r="A489" s="41"/>
      <c r="B489" s="41"/>
      <c r="C489" s="41"/>
      <c r="D489" s="47"/>
      <c r="E489" s="42"/>
      <c r="F489" s="42"/>
      <c r="G489" s="42"/>
      <c r="H489" s="42"/>
      <c r="I489" s="42"/>
      <c r="J489" s="42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</row>
    <row r="490" spans="1:28" ht="15" x14ac:dyDescent="0.35">
      <c r="A490" s="41"/>
      <c r="B490" s="41"/>
      <c r="C490" s="41"/>
      <c r="D490" s="47"/>
      <c r="E490" s="42"/>
      <c r="F490" s="42"/>
      <c r="G490" s="42"/>
      <c r="H490" s="42"/>
      <c r="I490" s="42"/>
      <c r="J490" s="42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</row>
    <row r="491" spans="1:28" ht="15" x14ac:dyDescent="0.35">
      <c r="A491" s="41"/>
      <c r="B491" s="41"/>
      <c r="C491" s="41"/>
      <c r="D491" s="47"/>
      <c r="E491" s="42"/>
      <c r="F491" s="42"/>
      <c r="G491" s="42"/>
      <c r="H491" s="42"/>
      <c r="I491" s="42"/>
      <c r="J491" s="42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</row>
    <row r="492" spans="1:28" ht="15" x14ac:dyDescent="0.35">
      <c r="A492" s="41"/>
      <c r="B492" s="41"/>
      <c r="C492" s="41"/>
      <c r="D492" s="47"/>
      <c r="E492" s="42"/>
      <c r="F492" s="42"/>
      <c r="G492" s="42"/>
      <c r="H492" s="42"/>
      <c r="I492" s="42"/>
      <c r="J492" s="42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</row>
    <row r="493" spans="1:28" ht="15" x14ac:dyDescent="0.35">
      <c r="A493" s="41"/>
      <c r="B493" s="41"/>
      <c r="C493" s="41"/>
      <c r="D493" s="47"/>
      <c r="E493" s="42"/>
      <c r="F493" s="42"/>
      <c r="G493" s="42"/>
      <c r="H493" s="42"/>
      <c r="I493" s="42"/>
      <c r="J493" s="42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</row>
    <row r="494" spans="1:28" ht="15" x14ac:dyDescent="0.35">
      <c r="A494" s="41"/>
      <c r="B494" s="41"/>
      <c r="C494" s="41"/>
      <c r="D494" s="47"/>
      <c r="E494" s="42"/>
      <c r="F494" s="42"/>
      <c r="G494" s="42"/>
      <c r="H494" s="42"/>
      <c r="I494" s="42"/>
      <c r="J494" s="42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</row>
    <row r="495" spans="1:28" ht="15" x14ac:dyDescent="0.35">
      <c r="A495" s="41"/>
      <c r="B495" s="41"/>
      <c r="C495" s="41"/>
      <c r="D495" s="47"/>
      <c r="E495" s="42"/>
      <c r="F495" s="42"/>
      <c r="G495" s="42"/>
      <c r="H495" s="42"/>
      <c r="I495" s="42"/>
      <c r="J495" s="42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</row>
    <row r="496" spans="1:28" ht="15" x14ac:dyDescent="0.35">
      <c r="A496" s="41"/>
      <c r="B496" s="41"/>
      <c r="C496" s="41"/>
      <c r="D496" s="47"/>
      <c r="E496" s="42"/>
      <c r="F496" s="42"/>
      <c r="G496" s="42"/>
      <c r="H496" s="42"/>
      <c r="I496" s="42"/>
      <c r="J496" s="42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</row>
    <row r="497" spans="1:28" ht="15" x14ac:dyDescent="0.35">
      <c r="A497" s="41"/>
      <c r="B497" s="41"/>
      <c r="C497" s="41"/>
      <c r="D497" s="47"/>
      <c r="E497" s="42"/>
      <c r="F497" s="42"/>
      <c r="G497" s="42"/>
      <c r="H497" s="42"/>
      <c r="I497" s="42"/>
      <c r="J497" s="42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</row>
    <row r="498" spans="1:28" ht="15" x14ac:dyDescent="0.35">
      <c r="A498" s="41"/>
      <c r="B498" s="41"/>
      <c r="C498" s="41"/>
      <c r="D498" s="47"/>
      <c r="E498" s="42"/>
      <c r="F498" s="42"/>
      <c r="G498" s="42"/>
      <c r="H498" s="42"/>
      <c r="I498" s="42"/>
      <c r="J498" s="42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</row>
    <row r="499" spans="1:28" ht="15" x14ac:dyDescent="0.35">
      <c r="A499" s="41"/>
      <c r="B499" s="41"/>
      <c r="C499" s="41"/>
      <c r="D499" s="47"/>
      <c r="E499" s="42"/>
      <c r="F499" s="42"/>
      <c r="G499" s="42"/>
      <c r="H499" s="42"/>
      <c r="I499" s="42"/>
      <c r="J499" s="42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</row>
    <row r="500" spans="1:28" ht="15" x14ac:dyDescent="0.35">
      <c r="A500" s="41"/>
      <c r="B500" s="41"/>
      <c r="C500" s="41"/>
      <c r="D500" s="47"/>
      <c r="E500" s="42"/>
      <c r="F500" s="42"/>
      <c r="G500" s="42"/>
      <c r="H500" s="42"/>
      <c r="I500" s="42"/>
      <c r="J500" s="42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</row>
    <row r="501" spans="1:28" ht="15" x14ac:dyDescent="0.35">
      <c r="A501" s="41"/>
      <c r="B501" s="41"/>
      <c r="C501" s="41"/>
      <c r="D501" s="47"/>
      <c r="E501" s="42"/>
      <c r="F501" s="42"/>
      <c r="G501" s="42"/>
      <c r="H501" s="42"/>
      <c r="I501" s="42"/>
      <c r="J501" s="42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</row>
    <row r="502" spans="1:28" ht="15" x14ac:dyDescent="0.35">
      <c r="A502" s="41"/>
      <c r="B502" s="41"/>
      <c r="C502" s="41"/>
      <c r="D502" s="47"/>
      <c r="E502" s="42"/>
      <c r="F502" s="42"/>
      <c r="G502" s="42"/>
      <c r="H502" s="42"/>
      <c r="I502" s="42"/>
      <c r="J502" s="42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</row>
    <row r="503" spans="1:28" ht="15" x14ac:dyDescent="0.35">
      <c r="A503" s="41"/>
      <c r="B503" s="41"/>
      <c r="C503" s="41"/>
      <c r="D503" s="47"/>
      <c r="E503" s="42"/>
      <c r="F503" s="42"/>
      <c r="G503" s="42"/>
      <c r="H503" s="42"/>
      <c r="I503" s="42"/>
      <c r="J503" s="42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</row>
    <row r="504" spans="1:28" ht="15" x14ac:dyDescent="0.35">
      <c r="A504" s="41"/>
      <c r="B504" s="41"/>
      <c r="C504" s="41"/>
      <c r="D504" s="47"/>
      <c r="E504" s="42"/>
      <c r="F504" s="42"/>
      <c r="G504" s="42"/>
      <c r="H504" s="42"/>
      <c r="I504" s="42"/>
      <c r="J504" s="42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</row>
    <row r="505" spans="1:28" ht="15" x14ac:dyDescent="0.35">
      <c r="A505" s="41"/>
      <c r="B505" s="41"/>
      <c r="C505" s="41"/>
      <c r="D505" s="47"/>
      <c r="E505" s="42"/>
      <c r="F505" s="42"/>
      <c r="G505" s="42"/>
      <c r="H505" s="42"/>
      <c r="I505" s="42"/>
      <c r="J505" s="42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</row>
    <row r="506" spans="1:28" ht="15" x14ac:dyDescent="0.35">
      <c r="A506" s="41"/>
      <c r="B506" s="41"/>
      <c r="C506" s="41"/>
      <c r="D506" s="47"/>
      <c r="E506" s="42"/>
      <c r="F506" s="42"/>
      <c r="G506" s="42"/>
      <c r="H506" s="42"/>
      <c r="I506" s="42"/>
      <c r="J506" s="42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</row>
    <row r="507" spans="1:28" ht="15" x14ac:dyDescent="0.35">
      <c r="A507" s="41"/>
      <c r="B507" s="41"/>
      <c r="C507" s="41"/>
      <c r="D507" s="47"/>
      <c r="E507" s="42"/>
      <c r="F507" s="42"/>
      <c r="G507" s="42"/>
      <c r="H507" s="42"/>
      <c r="I507" s="42"/>
      <c r="J507" s="42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</row>
    <row r="508" spans="1:28" ht="15" x14ac:dyDescent="0.35">
      <c r="A508" s="41"/>
      <c r="B508" s="41"/>
      <c r="C508" s="41"/>
      <c r="D508" s="47"/>
      <c r="E508" s="42"/>
      <c r="F508" s="42"/>
      <c r="G508" s="42"/>
      <c r="H508" s="42"/>
      <c r="I508" s="42"/>
      <c r="J508" s="42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</row>
    <row r="509" spans="1:28" ht="15" x14ac:dyDescent="0.35">
      <c r="A509" s="41"/>
      <c r="B509" s="41"/>
      <c r="C509" s="41"/>
      <c r="D509" s="47"/>
      <c r="E509" s="42"/>
      <c r="F509" s="42"/>
      <c r="G509" s="42"/>
      <c r="H509" s="42"/>
      <c r="I509" s="42"/>
      <c r="J509" s="42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</row>
    <row r="510" spans="1:28" ht="15" x14ac:dyDescent="0.35">
      <c r="A510" s="41"/>
      <c r="B510" s="41"/>
      <c r="C510" s="41"/>
      <c r="D510" s="47"/>
      <c r="E510" s="42"/>
      <c r="F510" s="42"/>
      <c r="G510" s="42"/>
      <c r="H510" s="42"/>
      <c r="I510" s="42"/>
      <c r="J510" s="42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</row>
    <row r="511" spans="1:28" ht="15" x14ac:dyDescent="0.35">
      <c r="A511" s="41"/>
      <c r="B511" s="41"/>
      <c r="C511" s="41"/>
      <c r="D511" s="47"/>
      <c r="E511" s="42"/>
      <c r="F511" s="42"/>
      <c r="G511" s="42"/>
      <c r="H511" s="42"/>
      <c r="I511" s="42"/>
      <c r="J511" s="42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</row>
    <row r="512" spans="1:28" ht="15" x14ac:dyDescent="0.35">
      <c r="A512" s="41"/>
      <c r="B512" s="41"/>
      <c r="C512" s="41"/>
      <c r="D512" s="47"/>
      <c r="E512" s="42"/>
      <c r="F512" s="42"/>
      <c r="G512" s="42"/>
      <c r="H512" s="42"/>
      <c r="I512" s="42"/>
      <c r="J512" s="42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</row>
    <row r="513" spans="1:28" ht="15" x14ac:dyDescent="0.35">
      <c r="A513" s="41"/>
      <c r="B513" s="41"/>
      <c r="C513" s="41"/>
      <c r="D513" s="47"/>
      <c r="E513" s="42"/>
      <c r="F513" s="42"/>
      <c r="G513" s="42"/>
      <c r="H513" s="42"/>
      <c r="I513" s="42"/>
      <c r="J513" s="42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</row>
    <row r="514" spans="1:28" ht="15" x14ac:dyDescent="0.35">
      <c r="A514" s="41"/>
      <c r="B514" s="41"/>
      <c r="C514" s="41"/>
      <c r="D514" s="47"/>
      <c r="E514" s="42"/>
      <c r="F514" s="42"/>
      <c r="G514" s="42"/>
      <c r="H514" s="42"/>
      <c r="I514" s="42"/>
      <c r="J514" s="42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</row>
    <row r="515" spans="1:28" ht="15" x14ac:dyDescent="0.35">
      <c r="A515" s="41"/>
      <c r="B515" s="41"/>
      <c r="C515" s="41"/>
      <c r="D515" s="47"/>
      <c r="E515" s="42"/>
      <c r="F515" s="42"/>
      <c r="G515" s="42"/>
      <c r="H515" s="42"/>
      <c r="I515" s="42"/>
      <c r="J515" s="42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</row>
    <row r="516" spans="1:28" ht="15" x14ac:dyDescent="0.35">
      <c r="A516" s="41"/>
      <c r="B516" s="41"/>
      <c r="C516" s="41"/>
      <c r="D516" s="47"/>
      <c r="E516" s="42"/>
      <c r="F516" s="42"/>
      <c r="G516" s="42"/>
      <c r="H516" s="42"/>
      <c r="I516" s="42"/>
      <c r="J516" s="42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</row>
    <row r="517" spans="1:28" ht="15" x14ac:dyDescent="0.35">
      <c r="A517" s="41"/>
      <c r="B517" s="41"/>
      <c r="C517" s="41"/>
      <c r="D517" s="47"/>
      <c r="E517" s="42"/>
      <c r="F517" s="42"/>
      <c r="G517" s="42"/>
      <c r="H517" s="42"/>
      <c r="I517" s="42"/>
      <c r="J517" s="42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</row>
    <row r="518" spans="1:28" ht="15" x14ac:dyDescent="0.35">
      <c r="A518" s="41"/>
      <c r="B518" s="41"/>
      <c r="C518" s="41"/>
      <c r="D518" s="47"/>
      <c r="E518" s="42"/>
      <c r="F518" s="42"/>
      <c r="G518" s="42"/>
      <c r="H518" s="42"/>
      <c r="I518" s="42"/>
      <c r="J518" s="42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</row>
    <row r="519" spans="1:28" ht="15" x14ac:dyDescent="0.35">
      <c r="A519" s="41"/>
      <c r="B519" s="41"/>
      <c r="C519" s="41"/>
      <c r="D519" s="47"/>
      <c r="E519" s="42"/>
      <c r="F519" s="42"/>
      <c r="G519" s="42"/>
      <c r="H519" s="42"/>
      <c r="I519" s="42"/>
      <c r="J519" s="42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</row>
    <row r="520" spans="1:28" ht="15" x14ac:dyDescent="0.35">
      <c r="A520" s="41"/>
      <c r="B520" s="41"/>
      <c r="C520" s="41"/>
      <c r="D520" s="47"/>
      <c r="E520" s="42"/>
      <c r="F520" s="42"/>
      <c r="G520" s="42"/>
      <c r="H520" s="42"/>
      <c r="I520" s="42"/>
      <c r="J520" s="42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</row>
    <row r="521" spans="1:28" ht="15" x14ac:dyDescent="0.35">
      <c r="A521" s="41"/>
      <c r="B521" s="41"/>
      <c r="C521" s="41"/>
      <c r="D521" s="47"/>
      <c r="E521" s="42"/>
      <c r="F521" s="42"/>
      <c r="G521" s="42"/>
      <c r="H521" s="42"/>
      <c r="I521" s="42"/>
      <c r="J521" s="42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</row>
    <row r="522" spans="1:28" ht="15" x14ac:dyDescent="0.35">
      <c r="A522" s="41"/>
      <c r="B522" s="41"/>
      <c r="C522" s="41"/>
      <c r="D522" s="47"/>
      <c r="E522" s="42"/>
      <c r="F522" s="42"/>
      <c r="G522" s="42"/>
      <c r="H522" s="42"/>
      <c r="I522" s="42"/>
      <c r="J522" s="42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</row>
    <row r="523" spans="1:28" ht="15" x14ac:dyDescent="0.35">
      <c r="A523" s="41"/>
      <c r="B523" s="41"/>
      <c r="C523" s="41"/>
      <c r="D523" s="47"/>
      <c r="E523" s="42"/>
      <c r="F523" s="42"/>
      <c r="G523" s="42"/>
      <c r="H523" s="42"/>
      <c r="I523" s="42"/>
      <c r="J523" s="42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</row>
    <row r="524" spans="1:28" ht="15" x14ac:dyDescent="0.35">
      <c r="A524" s="41"/>
      <c r="B524" s="41"/>
      <c r="C524" s="41"/>
      <c r="D524" s="47"/>
      <c r="E524" s="42"/>
      <c r="F524" s="42"/>
      <c r="G524" s="42"/>
      <c r="H524" s="42"/>
      <c r="I524" s="42"/>
      <c r="J524" s="42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</row>
    <row r="525" spans="1:28" ht="15" x14ac:dyDescent="0.35">
      <c r="A525" s="41"/>
      <c r="B525" s="41"/>
      <c r="C525" s="41"/>
      <c r="D525" s="47"/>
      <c r="E525" s="42"/>
      <c r="F525" s="42"/>
      <c r="G525" s="42"/>
      <c r="H525" s="42"/>
      <c r="I525" s="42"/>
      <c r="J525" s="42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</row>
    <row r="526" spans="1:28" ht="15" x14ac:dyDescent="0.35">
      <c r="A526" s="41"/>
      <c r="B526" s="41"/>
      <c r="C526" s="41"/>
      <c r="D526" s="47"/>
      <c r="E526" s="42"/>
      <c r="F526" s="42"/>
      <c r="G526" s="42"/>
      <c r="H526" s="42"/>
      <c r="I526" s="42"/>
      <c r="J526" s="42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</row>
    <row r="527" spans="1:28" ht="15" x14ac:dyDescent="0.35">
      <c r="A527" s="41"/>
      <c r="B527" s="41"/>
      <c r="C527" s="41"/>
      <c r="D527" s="47"/>
      <c r="E527" s="42"/>
      <c r="F527" s="42"/>
      <c r="G527" s="42"/>
      <c r="H527" s="42"/>
      <c r="I527" s="42"/>
      <c r="J527" s="42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</row>
    <row r="528" spans="1:28" ht="15" x14ac:dyDescent="0.35">
      <c r="A528" s="41"/>
      <c r="B528" s="41"/>
      <c r="C528" s="41"/>
      <c r="D528" s="47"/>
      <c r="E528" s="42"/>
      <c r="F528" s="42"/>
      <c r="G528" s="42"/>
      <c r="H528" s="42"/>
      <c r="I528" s="42"/>
      <c r="J528" s="42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</row>
    <row r="529" spans="1:28" ht="15" x14ac:dyDescent="0.35">
      <c r="A529" s="41"/>
      <c r="B529" s="41"/>
      <c r="C529" s="41"/>
      <c r="D529" s="47"/>
      <c r="E529" s="42"/>
      <c r="F529" s="42"/>
      <c r="G529" s="42"/>
      <c r="H529" s="42"/>
      <c r="I529" s="42"/>
      <c r="J529" s="42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</row>
    <row r="530" spans="1:28" ht="15" x14ac:dyDescent="0.35">
      <c r="A530" s="41"/>
      <c r="B530" s="41"/>
      <c r="C530" s="41"/>
      <c r="D530" s="47"/>
      <c r="E530" s="42"/>
      <c r="F530" s="42"/>
      <c r="G530" s="42"/>
      <c r="H530" s="42"/>
      <c r="I530" s="42"/>
      <c r="J530" s="42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</row>
    <row r="531" spans="1:28" ht="15" x14ac:dyDescent="0.35">
      <c r="A531" s="41"/>
      <c r="B531" s="41"/>
      <c r="C531" s="41"/>
      <c r="D531" s="47"/>
      <c r="E531" s="42"/>
      <c r="F531" s="42"/>
      <c r="G531" s="42"/>
      <c r="H531" s="42"/>
      <c r="I531" s="42"/>
      <c r="J531" s="42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</row>
    <row r="532" spans="1:28" ht="15" x14ac:dyDescent="0.35">
      <c r="A532" s="41"/>
      <c r="B532" s="41"/>
      <c r="C532" s="41"/>
      <c r="D532" s="47"/>
      <c r="E532" s="42"/>
      <c r="F532" s="42"/>
      <c r="G532" s="42"/>
      <c r="H532" s="42"/>
      <c r="I532" s="42"/>
      <c r="J532" s="42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</row>
    <row r="533" spans="1:28" ht="15" x14ac:dyDescent="0.35">
      <c r="A533" s="41"/>
      <c r="B533" s="41"/>
      <c r="C533" s="41"/>
      <c r="D533" s="47"/>
      <c r="E533" s="42"/>
      <c r="F533" s="42"/>
      <c r="G533" s="42"/>
      <c r="H533" s="42"/>
      <c r="I533" s="42"/>
      <c r="J533" s="42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</row>
    <row r="534" spans="1:28" ht="15" x14ac:dyDescent="0.35">
      <c r="A534" s="41"/>
      <c r="B534" s="41"/>
      <c r="C534" s="41"/>
      <c r="D534" s="47"/>
      <c r="E534" s="42"/>
      <c r="F534" s="42"/>
      <c r="G534" s="42"/>
      <c r="H534" s="42"/>
      <c r="I534" s="42"/>
      <c r="J534" s="42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</row>
    <row r="535" spans="1:28" ht="15" x14ac:dyDescent="0.35">
      <c r="A535" s="41"/>
      <c r="B535" s="41"/>
      <c r="C535" s="41"/>
      <c r="D535" s="47"/>
      <c r="E535" s="42"/>
      <c r="F535" s="42"/>
      <c r="G535" s="42"/>
      <c r="H535" s="42"/>
      <c r="I535" s="42"/>
      <c r="J535" s="42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</row>
    <row r="536" spans="1:28" ht="15" x14ac:dyDescent="0.35">
      <c r="A536" s="41"/>
      <c r="B536" s="41"/>
      <c r="C536" s="41"/>
      <c r="D536" s="47"/>
      <c r="E536" s="42"/>
      <c r="F536" s="42"/>
      <c r="G536" s="42"/>
      <c r="H536" s="42"/>
      <c r="I536" s="42"/>
      <c r="J536" s="42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</row>
    <row r="537" spans="1:28" ht="15" x14ac:dyDescent="0.35">
      <c r="A537" s="41"/>
      <c r="B537" s="41"/>
      <c r="C537" s="41"/>
      <c r="D537" s="47"/>
      <c r="E537" s="42"/>
      <c r="F537" s="42"/>
      <c r="G537" s="42"/>
      <c r="H537" s="42"/>
      <c r="I537" s="42"/>
      <c r="J537" s="42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</row>
    <row r="538" spans="1:28" ht="15" x14ac:dyDescent="0.35">
      <c r="A538" s="41"/>
      <c r="B538" s="41"/>
      <c r="C538" s="41"/>
      <c r="D538" s="47"/>
      <c r="E538" s="42"/>
      <c r="F538" s="42"/>
      <c r="G538" s="42"/>
      <c r="H538" s="42"/>
      <c r="I538" s="42"/>
      <c r="J538" s="42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</row>
    <row r="539" spans="1:28" ht="15" x14ac:dyDescent="0.35">
      <c r="A539" s="41"/>
      <c r="B539" s="41"/>
      <c r="C539" s="41"/>
      <c r="D539" s="47"/>
      <c r="E539" s="42"/>
      <c r="F539" s="42"/>
      <c r="G539" s="42"/>
      <c r="H539" s="42"/>
      <c r="I539" s="42"/>
      <c r="J539" s="42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</row>
    <row r="540" spans="1:28" ht="15" x14ac:dyDescent="0.35">
      <c r="A540" s="41"/>
      <c r="B540" s="41"/>
      <c r="C540" s="41"/>
      <c r="D540" s="47"/>
      <c r="E540" s="42"/>
      <c r="F540" s="42"/>
      <c r="G540" s="42"/>
      <c r="H540" s="42"/>
      <c r="I540" s="42"/>
      <c r="J540" s="42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</row>
    <row r="541" spans="1:28" ht="15" x14ac:dyDescent="0.35">
      <c r="A541" s="41"/>
      <c r="B541" s="41"/>
      <c r="C541" s="41"/>
      <c r="D541" s="47"/>
      <c r="E541" s="42"/>
      <c r="F541" s="42"/>
      <c r="G541" s="42"/>
      <c r="H541" s="42"/>
      <c r="I541" s="42"/>
      <c r="J541" s="42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</row>
    <row r="542" spans="1:28" ht="15" x14ac:dyDescent="0.35">
      <c r="A542" s="41"/>
      <c r="B542" s="41"/>
      <c r="C542" s="41"/>
      <c r="D542" s="47"/>
      <c r="E542" s="42"/>
      <c r="F542" s="42"/>
      <c r="G542" s="42"/>
      <c r="H542" s="42"/>
      <c r="I542" s="42"/>
      <c r="J542" s="42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</row>
    <row r="543" spans="1:28" ht="15" x14ac:dyDescent="0.35">
      <c r="A543" s="41"/>
      <c r="B543" s="41"/>
      <c r="C543" s="41"/>
      <c r="D543" s="47"/>
      <c r="E543" s="42"/>
      <c r="F543" s="42"/>
      <c r="G543" s="42"/>
      <c r="H543" s="42"/>
      <c r="I543" s="42"/>
      <c r="J543" s="42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</row>
    <row r="544" spans="1:28" ht="15" x14ac:dyDescent="0.35">
      <c r="A544" s="41"/>
      <c r="B544" s="41"/>
      <c r="C544" s="41"/>
      <c r="D544" s="47"/>
      <c r="E544" s="42"/>
      <c r="F544" s="42"/>
      <c r="G544" s="42"/>
      <c r="H544" s="42"/>
      <c r="I544" s="42"/>
      <c r="J544" s="42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</row>
    <row r="545" spans="1:28" ht="15" x14ac:dyDescent="0.35">
      <c r="A545" s="41"/>
      <c r="B545" s="41"/>
      <c r="C545" s="41"/>
      <c r="D545" s="47"/>
      <c r="E545" s="42"/>
      <c r="F545" s="42"/>
      <c r="G545" s="42"/>
      <c r="H545" s="42"/>
      <c r="I545" s="42"/>
      <c r="J545" s="42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</row>
    <row r="546" spans="1:28" ht="15" x14ac:dyDescent="0.35">
      <c r="A546" s="41"/>
      <c r="B546" s="41"/>
      <c r="C546" s="41"/>
      <c r="D546" s="47"/>
      <c r="E546" s="42"/>
      <c r="F546" s="42"/>
      <c r="G546" s="42"/>
      <c r="H546" s="42"/>
      <c r="I546" s="42"/>
      <c r="J546" s="42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</row>
    <row r="547" spans="1:28" ht="15" x14ac:dyDescent="0.35">
      <c r="A547" s="41"/>
      <c r="B547" s="41"/>
      <c r="C547" s="41"/>
      <c r="D547" s="47"/>
      <c r="E547" s="42"/>
      <c r="F547" s="42"/>
      <c r="G547" s="42"/>
      <c r="H547" s="42"/>
      <c r="I547" s="42"/>
      <c r="J547" s="42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</row>
    <row r="548" spans="1:28" ht="15" x14ac:dyDescent="0.35">
      <c r="A548" s="41"/>
      <c r="B548" s="41"/>
      <c r="C548" s="41"/>
      <c r="D548" s="47"/>
      <c r="E548" s="42"/>
      <c r="F548" s="42"/>
      <c r="G548" s="42"/>
      <c r="H548" s="42"/>
      <c r="I548" s="42"/>
      <c r="J548" s="42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</row>
    <row r="549" spans="1:28" ht="15" x14ac:dyDescent="0.35">
      <c r="A549" s="41"/>
      <c r="B549" s="41"/>
      <c r="C549" s="41"/>
      <c r="D549" s="47"/>
      <c r="E549" s="42"/>
      <c r="F549" s="42"/>
      <c r="G549" s="42"/>
      <c r="H549" s="42"/>
      <c r="I549" s="42"/>
      <c r="J549" s="42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</row>
    <row r="550" spans="1:28" ht="15" x14ac:dyDescent="0.35">
      <c r="A550" s="41"/>
      <c r="B550" s="41"/>
      <c r="C550" s="41"/>
      <c r="D550" s="47"/>
      <c r="E550" s="42"/>
      <c r="F550" s="42"/>
      <c r="G550" s="42"/>
      <c r="H550" s="42"/>
      <c r="I550" s="42"/>
      <c r="J550" s="42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</row>
    <row r="551" spans="1:28" ht="15" x14ac:dyDescent="0.35">
      <c r="A551" s="41"/>
      <c r="B551" s="41"/>
      <c r="C551" s="41"/>
      <c r="D551" s="47"/>
      <c r="E551" s="42"/>
      <c r="F551" s="42"/>
      <c r="G551" s="42"/>
      <c r="H551" s="42"/>
      <c r="I551" s="42"/>
      <c r="J551" s="42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</row>
    <row r="552" spans="1:28" ht="15" x14ac:dyDescent="0.35">
      <c r="A552" s="41"/>
      <c r="B552" s="41"/>
      <c r="C552" s="41"/>
      <c r="D552" s="47"/>
      <c r="E552" s="42"/>
      <c r="F552" s="42"/>
      <c r="G552" s="42"/>
      <c r="H552" s="42"/>
      <c r="I552" s="42"/>
      <c r="J552" s="42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</row>
    <row r="553" spans="1:28" ht="15" x14ac:dyDescent="0.35">
      <c r="A553" s="41"/>
      <c r="B553" s="41"/>
      <c r="C553" s="41"/>
      <c r="D553" s="47"/>
      <c r="E553" s="42"/>
      <c r="F553" s="42"/>
      <c r="G553" s="42"/>
      <c r="H553" s="42"/>
      <c r="I553" s="42"/>
      <c r="J553" s="42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</row>
    <row r="554" spans="1:28" ht="15" x14ac:dyDescent="0.35">
      <c r="A554" s="41"/>
      <c r="B554" s="41"/>
      <c r="C554" s="41"/>
      <c r="D554" s="47"/>
      <c r="E554" s="42"/>
      <c r="F554" s="42"/>
      <c r="G554" s="42"/>
      <c r="H554" s="42"/>
      <c r="I554" s="42"/>
      <c r="J554" s="42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</row>
    <row r="555" spans="1:28" ht="15" x14ac:dyDescent="0.35">
      <c r="A555" s="41"/>
      <c r="B555" s="41"/>
      <c r="C555" s="41"/>
      <c r="D555" s="47"/>
      <c r="E555" s="42"/>
      <c r="F555" s="42"/>
      <c r="G555" s="42"/>
      <c r="H555" s="42"/>
      <c r="I555" s="42"/>
      <c r="J555" s="42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</row>
    <row r="556" spans="1:28" ht="15" x14ac:dyDescent="0.35">
      <c r="A556" s="41"/>
      <c r="B556" s="41"/>
      <c r="C556" s="41"/>
      <c r="D556" s="47"/>
      <c r="E556" s="42"/>
      <c r="F556" s="42"/>
      <c r="G556" s="42"/>
      <c r="H556" s="42"/>
      <c r="I556" s="42"/>
      <c r="J556" s="42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</row>
    <row r="557" spans="1:28" ht="15" x14ac:dyDescent="0.35">
      <c r="A557" s="41"/>
      <c r="B557" s="41"/>
      <c r="C557" s="41"/>
      <c r="D557" s="47"/>
      <c r="E557" s="42"/>
      <c r="F557" s="42"/>
      <c r="G557" s="42"/>
      <c r="H557" s="42"/>
      <c r="I557" s="42"/>
      <c r="J557" s="42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</row>
    <row r="558" spans="1:28" ht="15" x14ac:dyDescent="0.35">
      <c r="A558" s="41"/>
      <c r="B558" s="41"/>
      <c r="C558" s="41"/>
      <c r="D558" s="47"/>
      <c r="E558" s="42"/>
      <c r="F558" s="42"/>
      <c r="G558" s="42"/>
      <c r="H558" s="42"/>
      <c r="I558" s="42"/>
      <c r="J558" s="42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</row>
    <row r="559" spans="1:28" ht="15" x14ac:dyDescent="0.35">
      <c r="A559" s="41"/>
      <c r="B559" s="41"/>
      <c r="C559" s="41"/>
      <c r="D559" s="47"/>
      <c r="E559" s="42"/>
      <c r="F559" s="42"/>
      <c r="G559" s="42"/>
      <c r="H559" s="42"/>
      <c r="I559" s="42"/>
      <c r="J559" s="42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</row>
    <row r="560" spans="1:28" ht="15" x14ac:dyDescent="0.35">
      <c r="A560" s="41"/>
      <c r="B560" s="41"/>
      <c r="C560" s="41"/>
      <c r="D560" s="47"/>
      <c r="E560" s="42"/>
      <c r="F560" s="42"/>
      <c r="G560" s="42"/>
      <c r="H560" s="42"/>
      <c r="I560" s="42"/>
      <c r="J560" s="42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</row>
    <row r="561" spans="1:28" ht="15" x14ac:dyDescent="0.35">
      <c r="A561" s="41"/>
      <c r="B561" s="41"/>
      <c r="C561" s="41"/>
      <c r="D561" s="47"/>
      <c r="E561" s="42"/>
      <c r="F561" s="42"/>
      <c r="G561" s="42"/>
      <c r="H561" s="42"/>
      <c r="I561" s="42"/>
      <c r="J561" s="42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</row>
    <row r="562" spans="1:28" ht="15" x14ac:dyDescent="0.35">
      <c r="A562" s="41"/>
      <c r="B562" s="41"/>
      <c r="C562" s="41"/>
      <c r="D562" s="47"/>
      <c r="E562" s="42"/>
      <c r="F562" s="42"/>
      <c r="G562" s="42"/>
      <c r="H562" s="42"/>
      <c r="I562" s="42"/>
      <c r="J562" s="42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</row>
    <row r="563" spans="1:28" ht="15" x14ac:dyDescent="0.35">
      <c r="A563" s="41"/>
      <c r="B563" s="41"/>
      <c r="C563" s="41"/>
      <c r="D563" s="47"/>
      <c r="E563" s="42"/>
      <c r="F563" s="42"/>
      <c r="G563" s="42"/>
      <c r="H563" s="42"/>
      <c r="I563" s="42"/>
      <c r="J563" s="42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</row>
    <row r="564" spans="1:28" ht="15" x14ac:dyDescent="0.35">
      <c r="A564" s="41"/>
      <c r="B564" s="41"/>
      <c r="C564" s="41"/>
      <c r="D564" s="47"/>
      <c r="E564" s="42"/>
      <c r="F564" s="42"/>
      <c r="G564" s="42"/>
      <c r="H564" s="42"/>
      <c r="I564" s="42"/>
      <c r="J564" s="42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</row>
    <row r="565" spans="1:28" ht="15" x14ac:dyDescent="0.35">
      <c r="A565" s="41"/>
      <c r="B565" s="41"/>
      <c r="C565" s="41"/>
      <c r="D565" s="47"/>
      <c r="E565" s="42"/>
      <c r="F565" s="42"/>
      <c r="G565" s="42"/>
      <c r="H565" s="42"/>
      <c r="I565" s="42"/>
      <c r="J565" s="42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</row>
    <row r="566" spans="1:28" ht="15" x14ac:dyDescent="0.35">
      <c r="A566" s="41"/>
      <c r="B566" s="41"/>
      <c r="C566" s="41"/>
      <c r="D566" s="47"/>
      <c r="E566" s="42"/>
      <c r="F566" s="42"/>
      <c r="G566" s="42"/>
      <c r="H566" s="42"/>
      <c r="I566" s="42"/>
      <c r="J566" s="42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</row>
    <row r="567" spans="1:28" ht="15" x14ac:dyDescent="0.35">
      <c r="A567" s="41"/>
      <c r="B567" s="41"/>
      <c r="C567" s="41"/>
      <c r="D567" s="47"/>
      <c r="E567" s="42"/>
      <c r="F567" s="42"/>
      <c r="G567" s="42"/>
      <c r="H567" s="42"/>
      <c r="I567" s="42"/>
      <c r="J567" s="42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</row>
    <row r="568" spans="1:28" ht="15" x14ac:dyDescent="0.35">
      <c r="A568" s="41"/>
      <c r="B568" s="41"/>
      <c r="C568" s="41"/>
      <c r="D568" s="47"/>
      <c r="E568" s="42"/>
      <c r="F568" s="42"/>
      <c r="G568" s="42"/>
      <c r="H568" s="42"/>
      <c r="I568" s="42"/>
      <c r="J568" s="42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</row>
    <row r="569" spans="1:28" ht="15" x14ac:dyDescent="0.35">
      <c r="A569" s="41"/>
      <c r="B569" s="41"/>
      <c r="C569" s="41"/>
      <c r="D569" s="47"/>
      <c r="E569" s="42"/>
      <c r="F569" s="42"/>
      <c r="G569" s="42"/>
      <c r="H569" s="42"/>
      <c r="I569" s="42"/>
      <c r="J569" s="42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</row>
    <row r="570" spans="1:28" ht="15" x14ac:dyDescent="0.35">
      <c r="A570" s="41"/>
      <c r="B570" s="41"/>
      <c r="C570" s="41"/>
      <c r="D570" s="47"/>
      <c r="E570" s="42"/>
      <c r="F570" s="42"/>
      <c r="G570" s="42"/>
      <c r="H570" s="42"/>
      <c r="I570" s="42"/>
      <c r="J570" s="42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</row>
    <row r="571" spans="1:28" ht="15" x14ac:dyDescent="0.35">
      <c r="A571" s="41"/>
      <c r="B571" s="41"/>
      <c r="C571" s="41"/>
      <c r="D571" s="47"/>
      <c r="E571" s="42"/>
      <c r="F571" s="42"/>
      <c r="G571" s="42"/>
      <c r="H571" s="42"/>
      <c r="I571" s="42"/>
      <c r="J571" s="42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</row>
    <row r="572" spans="1:28" ht="15" x14ac:dyDescent="0.35">
      <c r="A572" s="41"/>
      <c r="B572" s="41"/>
      <c r="C572" s="41"/>
      <c r="D572" s="47"/>
      <c r="E572" s="42"/>
      <c r="F572" s="42"/>
      <c r="G572" s="42"/>
      <c r="H572" s="42"/>
      <c r="I572" s="42"/>
      <c r="J572" s="42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</row>
    <row r="573" spans="1:28" ht="15" x14ac:dyDescent="0.35">
      <c r="A573" s="41"/>
      <c r="B573" s="41"/>
      <c r="C573" s="41"/>
      <c r="D573" s="47"/>
      <c r="E573" s="42"/>
      <c r="F573" s="42"/>
      <c r="G573" s="42"/>
      <c r="H573" s="42"/>
      <c r="I573" s="42"/>
      <c r="J573" s="42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</row>
    <row r="574" spans="1:28" ht="15" x14ac:dyDescent="0.35">
      <c r="A574" s="41"/>
      <c r="B574" s="41"/>
      <c r="C574" s="41"/>
      <c r="D574" s="47"/>
      <c r="E574" s="42"/>
      <c r="F574" s="42"/>
      <c r="G574" s="42"/>
      <c r="H574" s="42"/>
      <c r="I574" s="42"/>
      <c r="J574" s="42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</row>
    <row r="575" spans="1:28" ht="15" x14ac:dyDescent="0.35">
      <c r="A575" s="41"/>
      <c r="B575" s="41"/>
      <c r="C575" s="41"/>
      <c r="D575" s="47"/>
      <c r="E575" s="42"/>
      <c r="F575" s="42"/>
      <c r="G575" s="42"/>
      <c r="H575" s="42"/>
      <c r="I575" s="42"/>
      <c r="J575" s="42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</row>
    <row r="576" spans="1:28" ht="15" x14ac:dyDescent="0.35">
      <c r="A576" s="41"/>
      <c r="B576" s="41"/>
      <c r="C576" s="41"/>
      <c r="D576" s="47"/>
      <c r="E576" s="42"/>
      <c r="F576" s="42"/>
      <c r="G576" s="42"/>
      <c r="H576" s="42"/>
      <c r="I576" s="42"/>
      <c r="J576" s="42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</row>
    <row r="577" spans="1:28" ht="15" x14ac:dyDescent="0.35">
      <c r="A577" s="41"/>
      <c r="B577" s="41"/>
      <c r="C577" s="41"/>
      <c r="D577" s="47"/>
      <c r="E577" s="42"/>
      <c r="F577" s="42"/>
      <c r="G577" s="42"/>
      <c r="H577" s="42"/>
      <c r="I577" s="42"/>
      <c r="J577" s="42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</row>
    <row r="578" spans="1:28" ht="15" x14ac:dyDescent="0.35">
      <c r="A578" s="41"/>
      <c r="B578" s="41"/>
      <c r="C578" s="41"/>
      <c r="D578" s="47"/>
      <c r="E578" s="42"/>
      <c r="F578" s="42"/>
      <c r="G578" s="42"/>
      <c r="H578" s="42"/>
      <c r="I578" s="42"/>
      <c r="J578" s="42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</row>
    <row r="579" spans="1:28" ht="15" x14ac:dyDescent="0.35">
      <c r="A579" s="41"/>
      <c r="B579" s="41"/>
      <c r="C579" s="41"/>
      <c r="D579" s="47"/>
      <c r="E579" s="42"/>
      <c r="F579" s="42"/>
      <c r="G579" s="42"/>
      <c r="H579" s="42"/>
      <c r="I579" s="42"/>
      <c r="J579" s="42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</row>
    <row r="580" spans="1:28" ht="15" x14ac:dyDescent="0.35">
      <c r="A580" s="41"/>
      <c r="B580" s="41"/>
      <c r="C580" s="41"/>
      <c r="D580" s="47"/>
      <c r="E580" s="42"/>
      <c r="F580" s="42"/>
      <c r="G580" s="42"/>
      <c r="H580" s="42"/>
      <c r="I580" s="42"/>
      <c r="J580" s="42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</row>
    <row r="581" spans="1:28" ht="15" x14ac:dyDescent="0.35">
      <c r="A581" s="41"/>
      <c r="B581" s="41"/>
      <c r="C581" s="41"/>
      <c r="D581" s="47"/>
      <c r="E581" s="42"/>
      <c r="F581" s="42"/>
      <c r="G581" s="42"/>
      <c r="H581" s="42"/>
      <c r="I581" s="42"/>
      <c r="J581" s="42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</row>
    <row r="582" spans="1:28" ht="15" x14ac:dyDescent="0.35">
      <c r="A582" s="41"/>
      <c r="B582" s="41"/>
      <c r="C582" s="41"/>
      <c r="D582" s="47"/>
      <c r="E582" s="42"/>
      <c r="F582" s="42"/>
      <c r="G582" s="42"/>
      <c r="H582" s="42"/>
      <c r="I582" s="42"/>
      <c r="J582" s="42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</row>
    <row r="583" spans="1:28" ht="15" x14ac:dyDescent="0.35">
      <c r="A583" s="41"/>
      <c r="B583" s="41"/>
      <c r="C583" s="41"/>
      <c r="D583" s="47"/>
      <c r="E583" s="42"/>
      <c r="F583" s="42"/>
      <c r="G583" s="42"/>
      <c r="H583" s="42"/>
      <c r="I583" s="42"/>
      <c r="J583" s="42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</row>
    <row r="584" spans="1:28" ht="15" x14ac:dyDescent="0.35">
      <c r="A584" s="41"/>
      <c r="B584" s="41"/>
      <c r="C584" s="41"/>
      <c r="D584" s="47"/>
      <c r="E584" s="42"/>
      <c r="F584" s="42"/>
      <c r="G584" s="42"/>
      <c r="H584" s="42"/>
      <c r="I584" s="42"/>
      <c r="J584" s="42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</row>
    <row r="585" spans="1:28" ht="15" x14ac:dyDescent="0.35">
      <c r="A585" s="41"/>
      <c r="B585" s="41"/>
      <c r="C585" s="41"/>
      <c r="D585" s="47"/>
      <c r="E585" s="42"/>
      <c r="F585" s="42"/>
      <c r="G585" s="42"/>
      <c r="H585" s="42"/>
      <c r="I585" s="42"/>
      <c r="J585" s="42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</row>
    <row r="586" spans="1:28" ht="15" x14ac:dyDescent="0.35">
      <c r="A586" s="41"/>
      <c r="B586" s="41"/>
      <c r="C586" s="41"/>
      <c r="D586" s="47"/>
      <c r="E586" s="42"/>
      <c r="F586" s="42"/>
      <c r="G586" s="42"/>
      <c r="H586" s="42"/>
      <c r="I586" s="42"/>
      <c r="J586" s="42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</row>
    <row r="587" spans="1:28" ht="15" x14ac:dyDescent="0.35">
      <c r="A587" s="41"/>
      <c r="B587" s="41"/>
      <c r="C587" s="41"/>
      <c r="D587" s="47"/>
      <c r="E587" s="42"/>
      <c r="F587" s="42"/>
      <c r="G587" s="42"/>
      <c r="H587" s="42"/>
      <c r="I587" s="42"/>
      <c r="J587" s="42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</row>
    <row r="588" spans="1:28" ht="15" x14ac:dyDescent="0.35">
      <c r="A588" s="41"/>
      <c r="B588" s="41"/>
      <c r="C588" s="41"/>
      <c r="D588" s="47"/>
      <c r="E588" s="42"/>
      <c r="F588" s="42"/>
      <c r="G588" s="42"/>
      <c r="H588" s="42"/>
      <c r="I588" s="42"/>
      <c r="J588" s="42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</row>
    <row r="589" spans="1:28" ht="15" x14ac:dyDescent="0.35">
      <c r="A589" s="41"/>
      <c r="B589" s="41"/>
      <c r="C589" s="41"/>
      <c r="D589" s="47"/>
      <c r="E589" s="42"/>
      <c r="F589" s="42"/>
      <c r="G589" s="42"/>
      <c r="H589" s="42"/>
      <c r="I589" s="42"/>
      <c r="J589" s="42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</row>
    <row r="590" spans="1:28" ht="15" x14ac:dyDescent="0.35">
      <c r="A590" s="41"/>
      <c r="B590" s="41"/>
      <c r="C590" s="41"/>
      <c r="D590" s="47"/>
      <c r="E590" s="42"/>
      <c r="F590" s="42"/>
      <c r="G590" s="42"/>
      <c r="H590" s="42"/>
      <c r="I590" s="42"/>
      <c r="J590" s="42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</row>
    <row r="591" spans="1:28" ht="15" x14ac:dyDescent="0.35">
      <c r="A591" s="41"/>
      <c r="B591" s="41"/>
      <c r="C591" s="41"/>
      <c r="D591" s="47"/>
      <c r="E591" s="42"/>
      <c r="F591" s="42"/>
      <c r="G591" s="42"/>
      <c r="H591" s="42"/>
      <c r="I591" s="42"/>
      <c r="J591" s="42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</row>
    <row r="592" spans="1:28" ht="15" x14ac:dyDescent="0.35">
      <c r="A592" s="41"/>
      <c r="B592" s="41"/>
      <c r="C592" s="41"/>
      <c r="D592" s="47"/>
      <c r="E592" s="42"/>
      <c r="F592" s="42"/>
      <c r="G592" s="42"/>
      <c r="H592" s="42"/>
      <c r="I592" s="42"/>
      <c r="J592" s="42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</row>
    <row r="593" spans="1:28" ht="15" x14ac:dyDescent="0.35">
      <c r="A593" s="41"/>
      <c r="B593" s="41"/>
      <c r="C593" s="41"/>
      <c r="D593" s="47"/>
      <c r="E593" s="42"/>
      <c r="F593" s="42"/>
      <c r="G593" s="42"/>
      <c r="H593" s="42"/>
      <c r="I593" s="42"/>
      <c r="J593" s="42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</row>
    <row r="594" spans="1:28" ht="15" x14ac:dyDescent="0.35">
      <c r="A594" s="41"/>
      <c r="B594" s="41"/>
      <c r="C594" s="41"/>
      <c r="D594" s="47"/>
      <c r="E594" s="42"/>
      <c r="F594" s="42"/>
      <c r="G594" s="42"/>
      <c r="H594" s="42"/>
      <c r="I594" s="42"/>
      <c r="J594" s="42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</row>
    <row r="595" spans="1:28" ht="15" x14ac:dyDescent="0.35">
      <c r="A595" s="41"/>
      <c r="B595" s="41"/>
      <c r="C595" s="41"/>
      <c r="D595" s="47"/>
      <c r="E595" s="42"/>
      <c r="F595" s="42"/>
      <c r="G595" s="42"/>
      <c r="H595" s="42"/>
      <c r="I595" s="42"/>
      <c r="J595" s="42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</row>
    <row r="596" spans="1:28" ht="15" x14ac:dyDescent="0.35">
      <c r="A596" s="41"/>
      <c r="B596" s="41"/>
      <c r="C596" s="41"/>
      <c r="D596" s="47"/>
      <c r="E596" s="42"/>
      <c r="F596" s="42"/>
      <c r="G596" s="42"/>
      <c r="H596" s="42"/>
      <c r="I596" s="42"/>
      <c r="J596" s="42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</row>
    <row r="597" spans="1:28" ht="15" x14ac:dyDescent="0.35">
      <c r="A597" s="41"/>
      <c r="B597" s="41"/>
      <c r="C597" s="41"/>
      <c r="D597" s="47"/>
      <c r="E597" s="42"/>
      <c r="F597" s="42"/>
      <c r="G597" s="42"/>
      <c r="H597" s="42"/>
      <c r="I597" s="42"/>
      <c r="J597" s="42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</row>
    <row r="598" spans="1:28" ht="15" x14ac:dyDescent="0.35">
      <c r="A598" s="41"/>
      <c r="B598" s="41"/>
      <c r="C598" s="41"/>
      <c r="D598" s="47"/>
      <c r="E598" s="42"/>
      <c r="F598" s="42"/>
      <c r="G598" s="42"/>
      <c r="H598" s="42"/>
      <c r="I598" s="42"/>
      <c r="J598" s="42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</row>
    <row r="599" spans="1:28" ht="15" x14ac:dyDescent="0.35">
      <c r="A599" s="41"/>
      <c r="B599" s="41"/>
      <c r="C599" s="41"/>
      <c r="D599" s="47"/>
      <c r="E599" s="42"/>
      <c r="F599" s="42"/>
      <c r="G599" s="42"/>
      <c r="H599" s="42"/>
      <c r="I599" s="42"/>
      <c r="J599" s="42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</row>
    <row r="600" spans="1:28" ht="15" x14ac:dyDescent="0.35">
      <c r="A600" s="41"/>
      <c r="B600" s="41"/>
      <c r="C600" s="41"/>
      <c r="D600" s="47"/>
      <c r="E600" s="42"/>
      <c r="F600" s="42"/>
      <c r="G600" s="42"/>
      <c r="H600" s="42"/>
      <c r="I600" s="42"/>
      <c r="J600" s="42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</row>
    <row r="601" spans="1:28" ht="15" x14ac:dyDescent="0.35">
      <c r="A601" s="41"/>
      <c r="B601" s="41"/>
      <c r="C601" s="41"/>
      <c r="D601" s="47"/>
      <c r="E601" s="42"/>
      <c r="F601" s="42"/>
      <c r="G601" s="42"/>
      <c r="H601" s="42"/>
      <c r="I601" s="42"/>
      <c r="J601" s="42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</row>
    <row r="602" spans="1:28" ht="15" x14ac:dyDescent="0.35">
      <c r="A602" s="41"/>
      <c r="B602" s="41"/>
      <c r="C602" s="41"/>
      <c r="D602" s="47"/>
      <c r="E602" s="42"/>
      <c r="F602" s="42"/>
      <c r="G602" s="42"/>
      <c r="H602" s="42"/>
      <c r="I602" s="42"/>
      <c r="J602" s="42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</row>
    <row r="603" spans="1:28" ht="15" x14ac:dyDescent="0.35">
      <c r="A603" s="41"/>
      <c r="B603" s="41"/>
      <c r="C603" s="41"/>
      <c r="D603" s="47"/>
      <c r="E603" s="42"/>
      <c r="F603" s="42"/>
      <c r="G603" s="42"/>
      <c r="H603" s="42"/>
      <c r="I603" s="42"/>
      <c r="J603" s="42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</row>
    <row r="604" spans="1:28" ht="15" x14ac:dyDescent="0.35">
      <c r="A604" s="41"/>
      <c r="B604" s="41"/>
      <c r="C604" s="41"/>
      <c r="D604" s="47"/>
      <c r="E604" s="42"/>
      <c r="F604" s="42"/>
      <c r="G604" s="42"/>
      <c r="H604" s="42"/>
      <c r="I604" s="42"/>
      <c r="J604" s="42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</row>
    <row r="605" spans="1:28" ht="15" x14ac:dyDescent="0.35">
      <c r="A605" s="41"/>
      <c r="B605" s="41"/>
      <c r="C605" s="41"/>
      <c r="D605" s="47"/>
      <c r="E605" s="42"/>
      <c r="F605" s="42"/>
      <c r="G605" s="42"/>
      <c r="H605" s="42"/>
      <c r="I605" s="42"/>
      <c r="J605" s="42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</row>
    <row r="606" spans="1:28" ht="15" x14ac:dyDescent="0.35">
      <c r="A606" s="41"/>
      <c r="B606" s="41"/>
      <c r="C606" s="41"/>
      <c r="D606" s="47"/>
      <c r="E606" s="42"/>
      <c r="F606" s="42"/>
      <c r="G606" s="42"/>
      <c r="H606" s="42"/>
      <c r="I606" s="42"/>
      <c r="J606" s="42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</row>
    <row r="607" spans="1:28" ht="15" x14ac:dyDescent="0.35">
      <c r="A607" s="41"/>
      <c r="B607" s="41"/>
      <c r="C607" s="41"/>
      <c r="D607" s="47"/>
      <c r="E607" s="42"/>
      <c r="F607" s="42"/>
      <c r="G607" s="42"/>
      <c r="H607" s="42"/>
      <c r="I607" s="42"/>
      <c r="J607" s="42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</row>
    <row r="608" spans="1:28" ht="15" x14ac:dyDescent="0.35">
      <c r="A608" s="41"/>
      <c r="B608" s="41"/>
      <c r="C608" s="41"/>
      <c r="D608" s="47"/>
      <c r="E608" s="42"/>
      <c r="F608" s="42"/>
      <c r="G608" s="42"/>
      <c r="H608" s="42"/>
      <c r="I608" s="42"/>
      <c r="J608" s="42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</row>
    <row r="609" spans="1:28" ht="15" x14ac:dyDescent="0.35">
      <c r="A609" s="41"/>
      <c r="B609" s="41"/>
      <c r="C609" s="41"/>
      <c r="D609" s="47"/>
      <c r="E609" s="42"/>
      <c r="F609" s="42"/>
      <c r="G609" s="42"/>
      <c r="H609" s="42"/>
      <c r="I609" s="42"/>
      <c r="J609" s="42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</row>
    <row r="610" spans="1:28" ht="15" x14ac:dyDescent="0.35">
      <c r="A610" s="41"/>
      <c r="B610" s="41"/>
      <c r="C610" s="41"/>
      <c r="D610" s="47"/>
      <c r="E610" s="42"/>
      <c r="F610" s="42"/>
      <c r="G610" s="42"/>
      <c r="H610" s="42"/>
      <c r="I610" s="42"/>
      <c r="J610" s="42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</row>
    <row r="611" spans="1:28" ht="15" x14ac:dyDescent="0.35">
      <c r="A611" s="41"/>
      <c r="B611" s="41"/>
      <c r="C611" s="41"/>
      <c r="D611" s="47"/>
      <c r="E611" s="42"/>
      <c r="F611" s="42"/>
      <c r="G611" s="42"/>
      <c r="H611" s="42"/>
      <c r="I611" s="42"/>
      <c r="J611" s="42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</row>
    <row r="612" spans="1:28" ht="15" x14ac:dyDescent="0.35">
      <c r="A612" s="41"/>
      <c r="B612" s="41"/>
      <c r="C612" s="41"/>
      <c r="D612" s="47"/>
      <c r="E612" s="42"/>
      <c r="F612" s="42"/>
      <c r="G612" s="42"/>
      <c r="H612" s="42"/>
      <c r="I612" s="42"/>
      <c r="J612" s="42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</row>
    <row r="613" spans="1:28" ht="15" x14ac:dyDescent="0.35">
      <c r="A613" s="41"/>
      <c r="B613" s="41"/>
      <c r="C613" s="41"/>
      <c r="D613" s="47"/>
      <c r="E613" s="42"/>
      <c r="F613" s="42"/>
      <c r="G613" s="42"/>
      <c r="H613" s="42"/>
      <c r="I613" s="42"/>
      <c r="J613" s="42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</row>
    <row r="614" spans="1:28" ht="15" x14ac:dyDescent="0.35">
      <c r="A614" s="41"/>
      <c r="B614" s="41"/>
      <c r="C614" s="41"/>
      <c r="D614" s="47"/>
      <c r="E614" s="42"/>
      <c r="F614" s="42"/>
      <c r="G614" s="42"/>
      <c r="H614" s="42"/>
      <c r="I614" s="42"/>
      <c r="J614" s="42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</row>
    <row r="615" spans="1:28" ht="15" x14ac:dyDescent="0.35">
      <c r="A615" s="41"/>
      <c r="B615" s="41"/>
      <c r="C615" s="41"/>
      <c r="D615" s="47"/>
      <c r="E615" s="42"/>
      <c r="F615" s="42"/>
      <c r="G615" s="42"/>
      <c r="H615" s="42"/>
      <c r="I615" s="42"/>
      <c r="J615" s="42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</row>
    <row r="616" spans="1:28" ht="15" x14ac:dyDescent="0.35">
      <c r="A616" s="41"/>
      <c r="B616" s="41"/>
      <c r="C616" s="41"/>
      <c r="D616" s="47"/>
      <c r="E616" s="42"/>
      <c r="F616" s="42"/>
      <c r="G616" s="42"/>
      <c r="H616" s="42"/>
      <c r="I616" s="42"/>
      <c r="J616" s="42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</row>
    <row r="617" spans="1:28" ht="15" x14ac:dyDescent="0.35">
      <c r="A617" s="41"/>
      <c r="B617" s="41"/>
      <c r="C617" s="41"/>
      <c r="D617" s="47"/>
      <c r="E617" s="42"/>
      <c r="F617" s="42"/>
      <c r="G617" s="42"/>
      <c r="H617" s="42"/>
      <c r="I617" s="42"/>
      <c r="J617" s="42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</row>
    <row r="618" spans="1:28" ht="15" x14ac:dyDescent="0.35">
      <c r="A618" s="41"/>
      <c r="B618" s="41"/>
      <c r="C618" s="41"/>
      <c r="D618" s="47"/>
      <c r="E618" s="42"/>
      <c r="F618" s="42"/>
      <c r="G618" s="42"/>
      <c r="H618" s="42"/>
      <c r="I618" s="42"/>
      <c r="J618" s="42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</row>
    <row r="619" spans="1:28" ht="15" x14ac:dyDescent="0.35">
      <c r="A619" s="41"/>
      <c r="B619" s="41"/>
      <c r="C619" s="41"/>
      <c r="D619" s="47"/>
      <c r="E619" s="42"/>
      <c r="F619" s="42"/>
      <c r="G619" s="42"/>
      <c r="H619" s="42"/>
      <c r="I619" s="42"/>
      <c r="J619" s="42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</row>
    <row r="620" spans="1:28" ht="15" x14ac:dyDescent="0.35">
      <c r="A620" s="41"/>
      <c r="B620" s="41"/>
      <c r="C620" s="41"/>
      <c r="D620" s="47"/>
      <c r="E620" s="42"/>
      <c r="F620" s="42"/>
      <c r="G620" s="42"/>
      <c r="H620" s="42"/>
      <c r="I620" s="42"/>
      <c r="J620" s="42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</row>
    <row r="621" spans="1:28" ht="15" x14ac:dyDescent="0.35">
      <c r="A621" s="41"/>
      <c r="B621" s="41"/>
      <c r="C621" s="41"/>
      <c r="D621" s="47"/>
      <c r="E621" s="42"/>
      <c r="F621" s="42"/>
      <c r="G621" s="42"/>
      <c r="H621" s="42"/>
      <c r="I621" s="42"/>
      <c r="J621" s="42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</row>
    <row r="622" spans="1:28" ht="15" x14ac:dyDescent="0.35">
      <c r="A622" s="41"/>
      <c r="B622" s="41"/>
      <c r="C622" s="41"/>
      <c r="D622" s="47"/>
      <c r="E622" s="42"/>
      <c r="F622" s="42"/>
      <c r="G622" s="42"/>
      <c r="H622" s="42"/>
      <c r="I622" s="42"/>
      <c r="J622" s="42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</row>
    <row r="623" spans="1:28" ht="15" x14ac:dyDescent="0.35">
      <c r="A623" s="41"/>
      <c r="B623" s="41"/>
      <c r="C623" s="41"/>
      <c r="D623" s="47"/>
      <c r="E623" s="42"/>
      <c r="F623" s="42"/>
      <c r="G623" s="42"/>
      <c r="H623" s="42"/>
      <c r="I623" s="42"/>
      <c r="J623" s="42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</row>
    <row r="624" spans="1:28" ht="15" x14ac:dyDescent="0.35">
      <c r="A624" s="41"/>
      <c r="B624" s="41"/>
      <c r="C624" s="41"/>
      <c r="D624" s="47"/>
      <c r="E624" s="42"/>
      <c r="F624" s="42"/>
      <c r="G624" s="42"/>
      <c r="H624" s="42"/>
      <c r="I624" s="42"/>
      <c r="J624" s="42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</row>
    <row r="625" spans="1:28" ht="15" x14ac:dyDescent="0.35">
      <c r="A625" s="41"/>
      <c r="B625" s="41"/>
      <c r="C625" s="41"/>
      <c r="D625" s="47"/>
      <c r="E625" s="42"/>
      <c r="F625" s="42"/>
      <c r="G625" s="42"/>
      <c r="H625" s="42"/>
      <c r="I625" s="42"/>
      <c r="J625" s="42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</row>
    <row r="626" spans="1:28" ht="15" x14ac:dyDescent="0.35">
      <c r="A626" s="41"/>
      <c r="B626" s="41"/>
      <c r="C626" s="41"/>
      <c r="D626" s="47"/>
      <c r="E626" s="42"/>
      <c r="F626" s="42"/>
      <c r="G626" s="42"/>
      <c r="H626" s="42"/>
      <c r="I626" s="42"/>
      <c r="J626" s="42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</row>
    <row r="627" spans="1:28" ht="15" x14ac:dyDescent="0.35">
      <c r="A627" s="41"/>
      <c r="B627" s="41"/>
      <c r="C627" s="41"/>
      <c r="D627" s="47"/>
      <c r="E627" s="42"/>
      <c r="F627" s="42"/>
      <c r="G627" s="42"/>
      <c r="H627" s="42"/>
      <c r="I627" s="42"/>
      <c r="J627" s="42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</row>
    <row r="628" spans="1:28" ht="15" x14ac:dyDescent="0.35">
      <c r="A628" s="41"/>
      <c r="B628" s="41"/>
      <c r="C628" s="41"/>
      <c r="D628" s="47"/>
      <c r="E628" s="42"/>
      <c r="F628" s="42"/>
      <c r="G628" s="42"/>
      <c r="H628" s="42"/>
      <c r="I628" s="42"/>
      <c r="J628" s="42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</row>
    <row r="629" spans="1:28" ht="15" x14ac:dyDescent="0.35">
      <c r="A629" s="41"/>
      <c r="B629" s="41"/>
      <c r="C629" s="41"/>
      <c r="D629" s="47"/>
      <c r="E629" s="42"/>
      <c r="F629" s="42"/>
      <c r="G629" s="42"/>
      <c r="H629" s="42"/>
      <c r="I629" s="42"/>
      <c r="J629" s="42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</row>
    <row r="630" spans="1:28" ht="15" x14ac:dyDescent="0.35">
      <c r="A630" s="41"/>
      <c r="B630" s="41"/>
      <c r="C630" s="41"/>
      <c r="D630" s="47"/>
      <c r="E630" s="42"/>
      <c r="F630" s="42"/>
      <c r="G630" s="42"/>
      <c r="H630" s="42"/>
      <c r="I630" s="42"/>
      <c r="J630" s="42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</row>
    <row r="631" spans="1:28" ht="15" x14ac:dyDescent="0.35">
      <c r="A631" s="41"/>
      <c r="B631" s="41"/>
      <c r="C631" s="41"/>
      <c r="D631" s="47"/>
      <c r="E631" s="42"/>
      <c r="F631" s="42"/>
      <c r="G631" s="42"/>
      <c r="H631" s="42"/>
      <c r="I631" s="42"/>
      <c r="J631" s="42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</row>
    <row r="632" spans="1:28" ht="15" x14ac:dyDescent="0.35">
      <c r="A632" s="41"/>
      <c r="B632" s="41"/>
      <c r="C632" s="41"/>
      <c r="D632" s="47"/>
      <c r="E632" s="42"/>
      <c r="F632" s="42"/>
      <c r="G632" s="42"/>
      <c r="H632" s="42"/>
      <c r="I632" s="42"/>
      <c r="J632" s="42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</row>
    <row r="633" spans="1:28" ht="15" x14ac:dyDescent="0.35">
      <c r="A633" s="41"/>
      <c r="B633" s="41"/>
      <c r="C633" s="41"/>
      <c r="D633" s="47"/>
      <c r="E633" s="42"/>
      <c r="F633" s="42"/>
      <c r="G633" s="42"/>
      <c r="H633" s="42"/>
      <c r="I633" s="42"/>
      <c r="J633" s="42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</row>
    <row r="634" spans="1:28" ht="15" x14ac:dyDescent="0.35">
      <c r="A634" s="41"/>
      <c r="B634" s="41"/>
      <c r="C634" s="41"/>
      <c r="D634" s="47"/>
      <c r="E634" s="42"/>
      <c r="F634" s="42"/>
      <c r="G634" s="42"/>
      <c r="H634" s="42"/>
      <c r="I634" s="42"/>
      <c r="J634" s="42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</row>
    <row r="635" spans="1:28" ht="15" x14ac:dyDescent="0.35">
      <c r="A635" s="41"/>
      <c r="B635" s="41"/>
      <c r="C635" s="41"/>
      <c r="D635" s="47"/>
      <c r="E635" s="42"/>
      <c r="F635" s="42"/>
      <c r="G635" s="42"/>
      <c r="H635" s="42"/>
      <c r="I635" s="42"/>
      <c r="J635" s="42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</row>
    <row r="636" spans="1:28" ht="15" x14ac:dyDescent="0.35">
      <c r="A636" s="41"/>
      <c r="B636" s="41"/>
      <c r="C636" s="41"/>
      <c r="D636" s="47"/>
      <c r="E636" s="42"/>
      <c r="F636" s="42"/>
      <c r="G636" s="42"/>
      <c r="H636" s="42"/>
      <c r="I636" s="42"/>
      <c r="J636" s="42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</row>
    <row r="637" spans="1:28" ht="15" x14ac:dyDescent="0.35">
      <c r="A637" s="41"/>
      <c r="B637" s="41"/>
      <c r="C637" s="41"/>
      <c r="D637" s="47"/>
      <c r="E637" s="42"/>
      <c r="F637" s="42"/>
      <c r="G637" s="42"/>
      <c r="H637" s="42"/>
      <c r="I637" s="42"/>
      <c r="J637" s="42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</row>
    <row r="638" spans="1:28" ht="15" x14ac:dyDescent="0.35">
      <c r="A638" s="41"/>
      <c r="B638" s="41"/>
      <c r="C638" s="41"/>
      <c r="D638" s="47"/>
      <c r="E638" s="42"/>
      <c r="F638" s="42"/>
      <c r="G638" s="42"/>
      <c r="H638" s="42"/>
      <c r="I638" s="42"/>
      <c r="J638" s="42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</row>
    <row r="639" spans="1:28" ht="15" x14ac:dyDescent="0.35">
      <c r="A639" s="41"/>
      <c r="B639" s="41"/>
      <c r="C639" s="41"/>
      <c r="D639" s="47"/>
      <c r="E639" s="42"/>
      <c r="F639" s="42"/>
      <c r="G639" s="42"/>
      <c r="H639" s="42"/>
      <c r="I639" s="42"/>
      <c r="J639" s="42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</row>
    <row r="640" spans="1:28" ht="15" x14ac:dyDescent="0.35">
      <c r="A640" s="41"/>
      <c r="B640" s="41"/>
      <c r="C640" s="41"/>
      <c r="D640" s="47"/>
      <c r="E640" s="42"/>
      <c r="F640" s="42"/>
      <c r="G640" s="42"/>
      <c r="H640" s="42"/>
      <c r="I640" s="42"/>
      <c r="J640" s="42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</row>
    <row r="641" spans="1:28" ht="15" x14ac:dyDescent="0.35">
      <c r="A641" s="41"/>
      <c r="B641" s="41"/>
      <c r="C641" s="41"/>
      <c r="D641" s="47"/>
      <c r="E641" s="42"/>
      <c r="F641" s="42"/>
      <c r="G641" s="42"/>
      <c r="H641" s="42"/>
      <c r="I641" s="42"/>
      <c r="J641" s="42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</row>
    <row r="642" spans="1:28" ht="15" x14ac:dyDescent="0.35">
      <c r="A642" s="41"/>
      <c r="B642" s="41"/>
      <c r="C642" s="41"/>
      <c r="D642" s="47"/>
      <c r="E642" s="42"/>
      <c r="F642" s="42"/>
      <c r="G642" s="42"/>
      <c r="H642" s="42"/>
      <c r="I642" s="42"/>
      <c r="J642" s="42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</row>
    <row r="643" spans="1:28" ht="15" x14ac:dyDescent="0.35">
      <c r="A643" s="41"/>
      <c r="B643" s="41"/>
      <c r="C643" s="41"/>
      <c r="D643" s="47"/>
      <c r="E643" s="42"/>
      <c r="F643" s="42"/>
      <c r="G643" s="42"/>
      <c r="H643" s="42"/>
      <c r="I643" s="42"/>
      <c r="J643" s="42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</row>
    <row r="644" spans="1:28" ht="15" x14ac:dyDescent="0.35">
      <c r="A644" s="41"/>
      <c r="B644" s="41"/>
      <c r="C644" s="41"/>
      <c r="D644" s="47"/>
      <c r="E644" s="42"/>
      <c r="F644" s="42"/>
      <c r="G644" s="42"/>
      <c r="H644" s="42"/>
      <c r="I644" s="42"/>
      <c r="J644" s="42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</row>
    <row r="645" spans="1:28" ht="15" x14ac:dyDescent="0.35">
      <c r="A645" s="41"/>
      <c r="B645" s="41"/>
      <c r="C645" s="41"/>
      <c r="D645" s="47"/>
      <c r="E645" s="42"/>
      <c r="F645" s="42"/>
      <c r="G645" s="42"/>
      <c r="H645" s="42"/>
      <c r="I645" s="42"/>
      <c r="J645" s="42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</row>
    <row r="646" spans="1:28" ht="15" x14ac:dyDescent="0.35">
      <c r="A646" s="41"/>
      <c r="B646" s="41"/>
      <c r="C646" s="41"/>
      <c r="D646" s="47"/>
      <c r="E646" s="42"/>
      <c r="F646" s="42"/>
      <c r="G646" s="42"/>
      <c r="H646" s="42"/>
      <c r="I646" s="42"/>
      <c r="J646" s="42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</row>
    <row r="647" spans="1:28" ht="15" x14ac:dyDescent="0.35">
      <c r="A647" s="41"/>
      <c r="B647" s="41"/>
      <c r="C647" s="41"/>
      <c r="D647" s="47"/>
      <c r="E647" s="42"/>
      <c r="F647" s="42"/>
      <c r="G647" s="42"/>
      <c r="H647" s="42"/>
      <c r="I647" s="42"/>
      <c r="J647" s="42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</row>
    <row r="648" spans="1:28" ht="15" x14ac:dyDescent="0.35">
      <c r="A648" s="41"/>
      <c r="B648" s="41"/>
      <c r="C648" s="41"/>
      <c r="D648" s="47"/>
      <c r="E648" s="42"/>
      <c r="F648" s="42"/>
      <c r="G648" s="42"/>
      <c r="H648" s="42"/>
      <c r="I648" s="42"/>
      <c r="J648" s="42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</row>
    <row r="649" spans="1:28" ht="15" x14ac:dyDescent="0.35">
      <c r="A649" s="41"/>
      <c r="B649" s="41"/>
      <c r="C649" s="41"/>
      <c r="D649" s="47"/>
      <c r="E649" s="42"/>
      <c r="F649" s="42"/>
      <c r="G649" s="42"/>
      <c r="H649" s="42"/>
      <c r="I649" s="42"/>
      <c r="J649" s="42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</row>
    <row r="650" spans="1:28" ht="15" x14ac:dyDescent="0.35">
      <c r="A650" s="41"/>
      <c r="B650" s="41"/>
      <c r="C650" s="41"/>
      <c r="D650" s="47"/>
      <c r="E650" s="42"/>
      <c r="F650" s="42"/>
      <c r="G650" s="42"/>
      <c r="H650" s="42"/>
      <c r="I650" s="42"/>
      <c r="J650" s="42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</row>
    <row r="651" spans="1:28" ht="15" x14ac:dyDescent="0.35">
      <c r="A651" s="41"/>
      <c r="B651" s="41"/>
      <c r="C651" s="41"/>
      <c r="D651" s="47"/>
      <c r="E651" s="42"/>
      <c r="F651" s="42"/>
      <c r="G651" s="42"/>
      <c r="H651" s="42"/>
      <c r="I651" s="42"/>
      <c r="J651" s="42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</row>
    <row r="652" spans="1:28" ht="15" x14ac:dyDescent="0.35">
      <c r="A652" s="41"/>
      <c r="B652" s="41"/>
      <c r="C652" s="41"/>
      <c r="D652" s="47"/>
      <c r="E652" s="42"/>
      <c r="F652" s="42"/>
      <c r="G652" s="42"/>
      <c r="H652" s="42"/>
      <c r="I652" s="42"/>
      <c r="J652" s="42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</row>
    <row r="653" spans="1:28" ht="15" x14ac:dyDescent="0.35">
      <c r="A653" s="41"/>
      <c r="B653" s="41"/>
      <c r="C653" s="41"/>
      <c r="D653" s="47"/>
      <c r="E653" s="42"/>
      <c r="F653" s="42"/>
      <c r="G653" s="42"/>
      <c r="H653" s="42"/>
      <c r="I653" s="42"/>
      <c r="J653" s="42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</row>
    <row r="654" spans="1:28" ht="15" x14ac:dyDescent="0.35">
      <c r="A654" s="41"/>
      <c r="B654" s="41"/>
      <c r="C654" s="41"/>
      <c r="D654" s="47"/>
      <c r="E654" s="42"/>
      <c r="F654" s="42"/>
      <c r="G654" s="42"/>
      <c r="H654" s="42"/>
      <c r="I654" s="42"/>
      <c r="J654" s="42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</row>
    <row r="655" spans="1:28" ht="15" x14ac:dyDescent="0.35">
      <c r="A655" s="41"/>
      <c r="B655" s="41"/>
      <c r="C655" s="41"/>
      <c r="D655" s="47"/>
      <c r="E655" s="42"/>
      <c r="F655" s="42"/>
      <c r="G655" s="42"/>
      <c r="H655" s="42"/>
      <c r="I655" s="42"/>
      <c r="J655" s="42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</row>
    <row r="656" spans="1:28" ht="15" x14ac:dyDescent="0.35">
      <c r="A656" s="41"/>
      <c r="B656" s="41"/>
      <c r="C656" s="41"/>
      <c r="D656" s="47"/>
      <c r="E656" s="42"/>
      <c r="F656" s="42"/>
      <c r="G656" s="42"/>
      <c r="H656" s="42"/>
      <c r="I656" s="42"/>
      <c r="J656" s="42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</row>
    <row r="657" spans="1:28" ht="15" x14ac:dyDescent="0.35">
      <c r="A657" s="41"/>
      <c r="B657" s="41"/>
      <c r="C657" s="41"/>
      <c r="D657" s="47"/>
      <c r="E657" s="42"/>
      <c r="F657" s="42"/>
      <c r="G657" s="42"/>
      <c r="H657" s="42"/>
      <c r="I657" s="42"/>
      <c r="J657" s="42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</row>
    <row r="658" spans="1:28" ht="15" x14ac:dyDescent="0.35">
      <c r="A658" s="41"/>
      <c r="B658" s="41"/>
      <c r="C658" s="41"/>
      <c r="D658" s="47"/>
      <c r="E658" s="42"/>
      <c r="F658" s="42"/>
      <c r="G658" s="42"/>
      <c r="H658" s="42"/>
      <c r="I658" s="42"/>
      <c r="J658" s="42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</row>
    <row r="659" spans="1:28" ht="15" x14ac:dyDescent="0.35">
      <c r="A659" s="41"/>
      <c r="B659" s="41"/>
      <c r="C659" s="41"/>
      <c r="D659" s="47"/>
      <c r="E659" s="42"/>
      <c r="F659" s="42"/>
      <c r="G659" s="42"/>
      <c r="H659" s="42"/>
      <c r="I659" s="42"/>
      <c r="J659" s="42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</row>
    <row r="660" spans="1:28" ht="15" x14ac:dyDescent="0.35">
      <c r="A660" s="41"/>
      <c r="B660" s="41"/>
      <c r="C660" s="41"/>
      <c r="D660" s="47"/>
      <c r="E660" s="42"/>
      <c r="F660" s="42"/>
      <c r="G660" s="42"/>
      <c r="H660" s="42"/>
      <c r="I660" s="42"/>
      <c r="J660" s="42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</row>
    <row r="661" spans="1:28" ht="15" x14ac:dyDescent="0.35">
      <c r="A661" s="41"/>
      <c r="B661" s="41"/>
      <c r="C661" s="41"/>
      <c r="D661" s="47"/>
      <c r="E661" s="42"/>
      <c r="F661" s="42"/>
      <c r="G661" s="42"/>
      <c r="H661" s="42"/>
      <c r="I661" s="42"/>
      <c r="J661" s="42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</row>
    <row r="662" spans="1:28" ht="15" x14ac:dyDescent="0.35">
      <c r="A662" s="41"/>
      <c r="B662" s="41"/>
      <c r="C662" s="41"/>
      <c r="D662" s="47"/>
      <c r="E662" s="42"/>
      <c r="F662" s="42"/>
      <c r="G662" s="42"/>
      <c r="H662" s="42"/>
      <c r="I662" s="42"/>
      <c r="J662" s="42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</row>
    <row r="663" spans="1:28" ht="15" x14ac:dyDescent="0.35">
      <c r="A663" s="41"/>
      <c r="B663" s="41"/>
      <c r="C663" s="41"/>
      <c r="D663" s="47"/>
      <c r="E663" s="42"/>
      <c r="F663" s="42"/>
      <c r="G663" s="42"/>
      <c r="H663" s="42"/>
      <c r="I663" s="42"/>
      <c r="J663" s="42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</row>
    <row r="664" spans="1:28" ht="15" x14ac:dyDescent="0.35">
      <c r="A664" s="41"/>
      <c r="B664" s="41"/>
      <c r="C664" s="41"/>
      <c r="D664" s="47"/>
      <c r="E664" s="42"/>
      <c r="F664" s="42"/>
      <c r="G664" s="42"/>
      <c r="H664" s="42"/>
      <c r="I664" s="42"/>
      <c r="J664" s="42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</row>
    <row r="665" spans="1:28" ht="15" x14ac:dyDescent="0.35">
      <c r="A665" s="41"/>
      <c r="B665" s="41"/>
      <c r="C665" s="41"/>
      <c r="D665" s="47"/>
      <c r="E665" s="42"/>
      <c r="F665" s="42"/>
      <c r="G665" s="42"/>
      <c r="H665" s="42"/>
      <c r="I665" s="42"/>
      <c r="J665" s="42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</row>
    <row r="666" spans="1:28" ht="15" x14ac:dyDescent="0.35">
      <c r="A666" s="41"/>
      <c r="B666" s="41"/>
      <c r="C666" s="41"/>
      <c r="D666" s="47"/>
      <c r="E666" s="42"/>
      <c r="F666" s="42"/>
      <c r="G666" s="42"/>
      <c r="H666" s="42"/>
      <c r="I666" s="42"/>
      <c r="J666" s="42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</row>
    <row r="667" spans="1:28" ht="15" x14ac:dyDescent="0.35">
      <c r="A667" s="41"/>
      <c r="B667" s="41"/>
      <c r="C667" s="41"/>
      <c r="D667" s="47"/>
      <c r="E667" s="42"/>
      <c r="F667" s="42"/>
      <c r="G667" s="42"/>
      <c r="H667" s="42"/>
      <c r="I667" s="42"/>
      <c r="J667" s="42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</row>
    <row r="668" spans="1:28" ht="15" x14ac:dyDescent="0.35">
      <c r="A668" s="41"/>
      <c r="B668" s="41"/>
      <c r="C668" s="41"/>
      <c r="D668" s="47"/>
      <c r="E668" s="42"/>
      <c r="F668" s="42"/>
      <c r="G668" s="42"/>
      <c r="H668" s="42"/>
      <c r="I668" s="42"/>
      <c r="J668" s="42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</row>
    <row r="669" spans="1:28" ht="15" x14ac:dyDescent="0.35">
      <c r="A669" s="41"/>
      <c r="B669" s="41"/>
      <c r="C669" s="41"/>
      <c r="D669" s="47"/>
      <c r="E669" s="42"/>
      <c r="F669" s="42"/>
      <c r="G669" s="42"/>
      <c r="H669" s="42"/>
      <c r="I669" s="42"/>
      <c r="J669" s="42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</row>
    <row r="670" spans="1:28" ht="15" x14ac:dyDescent="0.35">
      <c r="A670" s="41"/>
      <c r="B670" s="41"/>
      <c r="C670" s="41"/>
      <c r="D670" s="47"/>
      <c r="E670" s="42"/>
      <c r="F670" s="42"/>
      <c r="G670" s="42"/>
      <c r="H670" s="42"/>
      <c r="I670" s="42"/>
      <c r="J670" s="42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</row>
    <row r="671" spans="1:28" ht="15" x14ac:dyDescent="0.35">
      <c r="A671" s="41"/>
      <c r="B671" s="41"/>
      <c r="C671" s="41"/>
      <c r="D671" s="47"/>
      <c r="E671" s="42"/>
      <c r="F671" s="42"/>
      <c r="G671" s="42"/>
      <c r="H671" s="42"/>
      <c r="I671" s="42"/>
      <c r="J671" s="42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</row>
    <row r="672" spans="1:28" ht="15" x14ac:dyDescent="0.35">
      <c r="A672" s="41"/>
      <c r="B672" s="41"/>
      <c r="C672" s="41"/>
      <c r="D672" s="47"/>
      <c r="E672" s="42"/>
      <c r="F672" s="42"/>
      <c r="G672" s="42"/>
      <c r="H672" s="42"/>
      <c r="I672" s="42"/>
      <c r="J672" s="42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</row>
    <row r="673" spans="1:28" ht="15" x14ac:dyDescent="0.35">
      <c r="A673" s="41"/>
      <c r="B673" s="41"/>
      <c r="C673" s="41"/>
      <c r="D673" s="47"/>
      <c r="E673" s="42"/>
      <c r="F673" s="42"/>
      <c r="G673" s="42"/>
      <c r="H673" s="42"/>
      <c r="I673" s="42"/>
      <c r="J673" s="42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</row>
    <row r="674" spans="1:28" ht="15" x14ac:dyDescent="0.35">
      <c r="A674" s="41"/>
      <c r="B674" s="41"/>
      <c r="C674" s="41"/>
      <c r="D674" s="47"/>
      <c r="E674" s="42"/>
      <c r="F674" s="42"/>
      <c r="G674" s="42"/>
      <c r="H674" s="42"/>
      <c r="I674" s="42"/>
      <c r="J674" s="42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</row>
    <row r="675" spans="1:28" ht="15" x14ac:dyDescent="0.35">
      <c r="A675" s="41"/>
      <c r="B675" s="41"/>
      <c r="C675" s="41"/>
      <c r="D675" s="47"/>
      <c r="E675" s="42"/>
      <c r="F675" s="42"/>
      <c r="G675" s="42"/>
      <c r="H675" s="42"/>
      <c r="I675" s="42"/>
      <c r="J675" s="42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</row>
    <row r="676" spans="1:28" ht="15" x14ac:dyDescent="0.35">
      <c r="A676" s="41"/>
      <c r="B676" s="41"/>
      <c r="C676" s="41"/>
      <c r="D676" s="47"/>
      <c r="E676" s="42"/>
      <c r="F676" s="42"/>
      <c r="G676" s="42"/>
      <c r="H676" s="42"/>
      <c r="I676" s="42"/>
      <c r="J676" s="42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</row>
    <row r="677" spans="1:28" ht="15" x14ac:dyDescent="0.35">
      <c r="A677" s="41"/>
      <c r="B677" s="41"/>
      <c r="C677" s="41"/>
      <c r="D677" s="47"/>
      <c r="E677" s="42"/>
      <c r="F677" s="42"/>
      <c r="G677" s="42"/>
      <c r="H677" s="42"/>
      <c r="I677" s="42"/>
      <c r="J677" s="42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</row>
    <row r="678" spans="1:28" ht="15" x14ac:dyDescent="0.35">
      <c r="A678" s="41"/>
      <c r="B678" s="41"/>
      <c r="C678" s="41"/>
      <c r="D678" s="47"/>
      <c r="E678" s="42"/>
      <c r="F678" s="42"/>
      <c r="G678" s="42"/>
      <c r="H678" s="42"/>
      <c r="I678" s="42"/>
      <c r="J678" s="42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</row>
    <row r="679" spans="1:28" ht="15" x14ac:dyDescent="0.35">
      <c r="A679" s="41"/>
      <c r="B679" s="41"/>
      <c r="C679" s="41"/>
      <c r="D679" s="47"/>
      <c r="E679" s="42"/>
      <c r="F679" s="42"/>
      <c r="G679" s="42"/>
      <c r="H679" s="42"/>
      <c r="I679" s="42"/>
      <c r="J679" s="42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</row>
    <row r="680" spans="1:28" ht="15" x14ac:dyDescent="0.35">
      <c r="A680" s="41"/>
      <c r="B680" s="41"/>
      <c r="C680" s="41"/>
      <c r="D680" s="47"/>
      <c r="E680" s="42"/>
      <c r="F680" s="42"/>
      <c r="G680" s="42"/>
      <c r="H680" s="42"/>
      <c r="I680" s="42"/>
      <c r="J680" s="42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</row>
    <row r="681" spans="1:28" ht="15" x14ac:dyDescent="0.35">
      <c r="A681" s="41"/>
      <c r="B681" s="41"/>
      <c r="C681" s="41"/>
      <c r="D681" s="47"/>
      <c r="E681" s="42"/>
      <c r="F681" s="42"/>
      <c r="G681" s="42"/>
      <c r="H681" s="42"/>
      <c r="I681" s="42"/>
      <c r="J681" s="42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</row>
    <row r="682" spans="1:28" ht="15" x14ac:dyDescent="0.35">
      <c r="A682" s="41"/>
      <c r="B682" s="41"/>
      <c r="C682" s="41"/>
      <c r="D682" s="47"/>
      <c r="E682" s="42"/>
      <c r="F682" s="42"/>
      <c r="G682" s="42"/>
      <c r="H682" s="42"/>
      <c r="I682" s="42"/>
      <c r="J682" s="42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</row>
    <row r="683" spans="1:28" ht="15" x14ac:dyDescent="0.35">
      <c r="A683" s="41"/>
      <c r="B683" s="41"/>
      <c r="C683" s="41"/>
      <c r="D683" s="47"/>
      <c r="E683" s="42"/>
      <c r="F683" s="42"/>
      <c r="G683" s="42"/>
      <c r="H683" s="42"/>
      <c r="I683" s="42"/>
      <c r="J683" s="42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</row>
    <row r="684" spans="1:28" ht="15" x14ac:dyDescent="0.35">
      <c r="A684" s="41"/>
      <c r="B684" s="41"/>
      <c r="C684" s="41"/>
      <c r="D684" s="47"/>
      <c r="E684" s="42"/>
      <c r="F684" s="42"/>
      <c r="G684" s="42"/>
      <c r="H684" s="42"/>
      <c r="I684" s="42"/>
      <c r="J684" s="42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</row>
    <row r="685" spans="1:28" ht="15" x14ac:dyDescent="0.35">
      <c r="A685" s="41"/>
      <c r="B685" s="41"/>
      <c r="C685" s="41"/>
      <c r="D685" s="47"/>
      <c r="E685" s="42"/>
      <c r="F685" s="42"/>
      <c r="G685" s="42"/>
      <c r="H685" s="42"/>
      <c r="I685" s="42"/>
      <c r="J685" s="42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</row>
    <row r="686" spans="1:28" ht="15" x14ac:dyDescent="0.35">
      <c r="A686" s="41"/>
      <c r="B686" s="41"/>
      <c r="C686" s="41"/>
      <c r="D686" s="47"/>
      <c r="E686" s="42"/>
      <c r="F686" s="42"/>
      <c r="G686" s="42"/>
      <c r="H686" s="42"/>
      <c r="I686" s="42"/>
      <c r="J686" s="42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</row>
    <row r="687" spans="1:28" ht="15" x14ac:dyDescent="0.35">
      <c r="A687" s="41"/>
      <c r="B687" s="41"/>
      <c r="C687" s="41"/>
      <c r="D687" s="47"/>
      <c r="E687" s="42"/>
      <c r="F687" s="42"/>
      <c r="G687" s="42"/>
      <c r="H687" s="42"/>
      <c r="I687" s="42"/>
      <c r="J687" s="42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</row>
    <row r="688" spans="1:28" ht="15" x14ac:dyDescent="0.35">
      <c r="A688" s="41"/>
      <c r="B688" s="41"/>
      <c r="C688" s="41"/>
      <c r="D688" s="47"/>
      <c r="E688" s="42"/>
      <c r="F688" s="42"/>
      <c r="G688" s="42"/>
      <c r="H688" s="42"/>
      <c r="I688" s="42"/>
      <c r="J688" s="42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</row>
    <row r="689" spans="1:28" ht="15" x14ac:dyDescent="0.35">
      <c r="A689" s="41"/>
      <c r="B689" s="41"/>
      <c r="C689" s="41"/>
      <c r="D689" s="47"/>
      <c r="E689" s="42"/>
      <c r="F689" s="42"/>
      <c r="G689" s="42"/>
      <c r="H689" s="42"/>
      <c r="I689" s="42"/>
      <c r="J689" s="42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</row>
    <row r="690" spans="1:28" ht="15" x14ac:dyDescent="0.35">
      <c r="A690" s="41"/>
      <c r="B690" s="41"/>
      <c r="C690" s="41"/>
      <c r="D690" s="47"/>
      <c r="E690" s="42"/>
      <c r="F690" s="42"/>
      <c r="G690" s="42"/>
      <c r="H690" s="42"/>
      <c r="I690" s="42"/>
      <c r="J690" s="42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</row>
    <row r="691" spans="1:28" ht="15" x14ac:dyDescent="0.35">
      <c r="A691" s="41"/>
      <c r="B691" s="41"/>
      <c r="C691" s="41"/>
      <c r="D691" s="47"/>
      <c r="E691" s="42"/>
      <c r="F691" s="42"/>
      <c r="G691" s="42"/>
      <c r="H691" s="42"/>
      <c r="I691" s="42"/>
      <c r="J691" s="42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</row>
    <row r="692" spans="1:28" ht="15" x14ac:dyDescent="0.35">
      <c r="A692" s="41"/>
      <c r="B692" s="41"/>
      <c r="C692" s="41"/>
      <c r="D692" s="47"/>
      <c r="E692" s="42"/>
      <c r="F692" s="42"/>
      <c r="G692" s="42"/>
      <c r="H692" s="42"/>
      <c r="I692" s="42"/>
      <c r="J692" s="42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</row>
    <row r="693" spans="1:28" ht="15" x14ac:dyDescent="0.35">
      <c r="A693" s="41"/>
      <c r="B693" s="41"/>
      <c r="C693" s="41"/>
      <c r="D693" s="47"/>
      <c r="E693" s="42"/>
      <c r="F693" s="42"/>
      <c r="G693" s="42"/>
      <c r="H693" s="42"/>
      <c r="I693" s="42"/>
      <c r="J693" s="42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</row>
    <row r="694" spans="1:28" ht="15" x14ac:dyDescent="0.35">
      <c r="A694" s="41"/>
      <c r="B694" s="41"/>
      <c r="C694" s="41"/>
      <c r="D694" s="47"/>
      <c r="E694" s="42"/>
      <c r="F694" s="42"/>
      <c r="G694" s="42"/>
      <c r="H694" s="42"/>
      <c r="I694" s="42"/>
      <c r="J694" s="42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</row>
    <row r="695" spans="1:28" ht="15" x14ac:dyDescent="0.35">
      <c r="A695" s="41"/>
      <c r="B695" s="41"/>
      <c r="C695" s="41"/>
      <c r="D695" s="47"/>
      <c r="E695" s="42"/>
      <c r="F695" s="42"/>
      <c r="G695" s="42"/>
      <c r="H695" s="42"/>
      <c r="I695" s="42"/>
      <c r="J695" s="42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</row>
    <row r="696" spans="1:28" ht="15" x14ac:dyDescent="0.35">
      <c r="A696" s="41"/>
      <c r="B696" s="41"/>
      <c r="C696" s="41"/>
      <c r="D696" s="47"/>
      <c r="E696" s="42"/>
      <c r="F696" s="42"/>
      <c r="G696" s="42"/>
      <c r="H696" s="42"/>
      <c r="I696" s="42"/>
      <c r="J696" s="42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</row>
    <row r="697" spans="1:28" ht="15" x14ac:dyDescent="0.35">
      <c r="A697" s="41"/>
      <c r="B697" s="41"/>
      <c r="C697" s="41"/>
      <c r="D697" s="47"/>
      <c r="E697" s="42"/>
      <c r="F697" s="42"/>
      <c r="G697" s="42"/>
      <c r="H697" s="42"/>
      <c r="I697" s="42"/>
      <c r="J697" s="42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</row>
    <row r="698" spans="1:28" ht="15" x14ac:dyDescent="0.35">
      <c r="A698" s="41"/>
      <c r="B698" s="41"/>
      <c r="C698" s="41"/>
      <c r="D698" s="47"/>
      <c r="E698" s="42"/>
      <c r="F698" s="42"/>
      <c r="G698" s="42"/>
      <c r="H698" s="42"/>
      <c r="I698" s="42"/>
      <c r="J698" s="42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</row>
    <row r="699" spans="1:28" ht="15" x14ac:dyDescent="0.35">
      <c r="A699" s="41"/>
      <c r="B699" s="41"/>
      <c r="C699" s="41"/>
      <c r="D699" s="47"/>
      <c r="E699" s="42"/>
      <c r="F699" s="42"/>
      <c r="G699" s="42"/>
      <c r="H699" s="42"/>
      <c r="I699" s="42"/>
      <c r="J699" s="42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</row>
    <row r="700" spans="1:28" ht="15" x14ac:dyDescent="0.35">
      <c r="A700" s="41"/>
      <c r="B700" s="41"/>
      <c r="C700" s="41"/>
      <c r="D700" s="47"/>
      <c r="E700" s="42"/>
      <c r="F700" s="42"/>
      <c r="G700" s="42"/>
      <c r="H700" s="42"/>
      <c r="I700" s="42"/>
      <c r="J700" s="42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</row>
    <row r="701" spans="1:28" ht="15" x14ac:dyDescent="0.35">
      <c r="A701" s="41"/>
      <c r="B701" s="41"/>
      <c r="C701" s="41"/>
      <c r="D701" s="47"/>
      <c r="E701" s="42"/>
      <c r="F701" s="42"/>
      <c r="G701" s="42"/>
      <c r="H701" s="42"/>
      <c r="I701" s="42"/>
      <c r="J701" s="42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</row>
    <row r="702" spans="1:28" ht="15" x14ac:dyDescent="0.35">
      <c r="A702" s="41"/>
      <c r="B702" s="41"/>
      <c r="C702" s="41"/>
      <c r="D702" s="47"/>
      <c r="E702" s="42"/>
      <c r="F702" s="42"/>
      <c r="G702" s="42"/>
      <c r="H702" s="42"/>
      <c r="I702" s="42"/>
      <c r="J702" s="42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</row>
    <row r="703" spans="1:28" ht="15" x14ac:dyDescent="0.35">
      <c r="A703" s="41"/>
      <c r="B703" s="41"/>
      <c r="C703" s="41"/>
      <c r="D703" s="47"/>
      <c r="E703" s="42"/>
      <c r="F703" s="42"/>
      <c r="G703" s="42"/>
      <c r="H703" s="42"/>
      <c r="I703" s="42"/>
      <c r="J703" s="42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</row>
    <row r="704" spans="1:28" ht="15" x14ac:dyDescent="0.35">
      <c r="A704" s="41"/>
      <c r="B704" s="41"/>
      <c r="C704" s="41"/>
      <c r="D704" s="47"/>
      <c r="E704" s="42"/>
      <c r="F704" s="42"/>
      <c r="G704" s="42"/>
      <c r="H704" s="42"/>
      <c r="I704" s="42"/>
      <c r="J704" s="42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</row>
    <row r="705" spans="1:28" ht="15" x14ac:dyDescent="0.35">
      <c r="A705" s="41"/>
      <c r="B705" s="41"/>
      <c r="C705" s="41"/>
      <c r="D705" s="47"/>
      <c r="E705" s="42"/>
      <c r="F705" s="42"/>
      <c r="G705" s="42"/>
      <c r="H705" s="42"/>
      <c r="I705" s="42"/>
      <c r="J705" s="42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</row>
    <row r="706" spans="1:28" ht="15" x14ac:dyDescent="0.35">
      <c r="A706" s="41"/>
      <c r="B706" s="41"/>
      <c r="C706" s="41"/>
      <c r="D706" s="47"/>
      <c r="E706" s="42"/>
      <c r="F706" s="42"/>
      <c r="G706" s="42"/>
      <c r="H706" s="42"/>
      <c r="I706" s="42"/>
      <c r="J706" s="42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</row>
    <row r="707" spans="1:28" ht="15" x14ac:dyDescent="0.35">
      <c r="A707" s="41"/>
      <c r="B707" s="41"/>
      <c r="C707" s="41"/>
      <c r="D707" s="47"/>
      <c r="E707" s="42"/>
      <c r="F707" s="42"/>
      <c r="G707" s="42"/>
      <c r="H707" s="42"/>
      <c r="I707" s="42"/>
      <c r="J707" s="42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</row>
    <row r="708" spans="1:28" ht="15" x14ac:dyDescent="0.35">
      <c r="A708" s="41"/>
      <c r="B708" s="41"/>
      <c r="C708" s="41"/>
      <c r="D708" s="47"/>
      <c r="E708" s="42"/>
      <c r="F708" s="42"/>
      <c r="G708" s="42"/>
      <c r="H708" s="42"/>
      <c r="I708" s="42"/>
      <c r="J708" s="42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</row>
    <row r="709" spans="1:28" ht="15" x14ac:dyDescent="0.35">
      <c r="A709" s="41"/>
      <c r="B709" s="41"/>
      <c r="C709" s="41"/>
      <c r="D709" s="47"/>
      <c r="E709" s="42"/>
      <c r="F709" s="42"/>
      <c r="G709" s="42"/>
      <c r="H709" s="42"/>
      <c r="I709" s="42"/>
      <c r="J709" s="42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</row>
    <row r="710" spans="1:28" ht="15" x14ac:dyDescent="0.35">
      <c r="A710" s="41"/>
      <c r="B710" s="41"/>
      <c r="C710" s="41"/>
      <c r="D710" s="47"/>
      <c r="E710" s="42"/>
      <c r="F710" s="42"/>
      <c r="G710" s="42"/>
      <c r="H710" s="42"/>
      <c r="I710" s="42"/>
      <c r="J710" s="42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</row>
    <row r="711" spans="1:28" ht="15" x14ac:dyDescent="0.35">
      <c r="A711" s="41"/>
      <c r="B711" s="41"/>
      <c r="C711" s="41"/>
      <c r="D711" s="47"/>
      <c r="E711" s="42"/>
      <c r="F711" s="42"/>
      <c r="G711" s="42"/>
      <c r="H711" s="42"/>
      <c r="I711" s="42"/>
      <c r="J711" s="42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</row>
    <row r="712" spans="1:28" ht="15" x14ac:dyDescent="0.35">
      <c r="A712" s="41"/>
      <c r="B712" s="41"/>
      <c r="C712" s="41"/>
      <c r="D712" s="47"/>
      <c r="E712" s="42"/>
      <c r="F712" s="42"/>
      <c r="G712" s="42"/>
      <c r="H712" s="42"/>
      <c r="I712" s="42"/>
      <c r="J712" s="42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</row>
    <row r="713" spans="1:28" ht="15" x14ac:dyDescent="0.35">
      <c r="A713" s="41"/>
      <c r="B713" s="41"/>
      <c r="C713" s="41"/>
      <c r="D713" s="47"/>
      <c r="E713" s="42"/>
      <c r="F713" s="42"/>
      <c r="G713" s="42"/>
      <c r="H713" s="42"/>
      <c r="I713" s="42"/>
      <c r="J713" s="42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</row>
    <row r="714" spans="1:28" ht="15" x14ac:dyDescent="0.35">
      <c r="A714" s="41"/>
      <c r="B714" s="41"/>
      <c r="C714" s="41"/>
      <c r="D714" s="47"/>
      <c r="E714" s="42"/>
      <c r="F714" s="42"/>
      <c r="G714" s="42"/>
      <c r="H714" s="42"/>
      <c r="I714" s="42"/>
      <c r="J714" s="42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</row>
    <row r="715" spans="1:28" ht="15" x14ac:dyDescent="0.35">
      <c r="A715" s="41"/>
      <c r="B715" s="41"/>
      <c r="C715" s="41"/>
      <c r="D715" s="47"/>
      <c r="E715" s="42"/>
      <c r="F715" s="42"/>
      <c r="G715" s="42"/>
      <c r="H715" s="42"/>
      <c r="I715" s="42"/>
      <c r="J715" s="42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</row>
    <row r="716" spans="1:28" ht="15" x14ac:dyDescent="0.35">
      <c r="A716" s="41"/>
      <c r="B716" s="41"/>
      <c r="C716" s="41"/>
      <c r="D716" s="47"/>
      <c r="E716" s="42"/>
      <c r="F716" s="42"/>
      <c r="G716" s="42"/>
      <c r="H716" s="42"/>
      <c r="I716" s="42"/>
      <c r="J716" s="42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</row>
    <row r="717" spans="1:28" ht="15" x14ac:dyDescent="0.35">
      <c r="A717" s="41"/>
      <c r="B717" s="41"/>
      <c r="C717" s="41"/>
      <c r="D717" s="47"/>
      <c r="E717" s="42"/>
      <c r="F717" s="42"/>
      <c r="G717" s="42"/>
      <c r="H717" s="42"/>
      <c r="I717" s="42"/>
      <c r="J717" s="42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</row>
    <row r="718" spans="1:28" ht="15" x14ac:dyDescent="0.35">
      <c r="A718" s="41"/>
      <c r="B718" s="41"/>
      <c r="C718" s="41"/>
      <c r="D718" s="47"/>
      <c r="E718" s="42"/>
      <c r="F718" s="42"/>
      <c r="G718" s="42"/>
      <c r="H718" s="42"/>
      <c r="I718" s="42"/>
      <c r="J718" s="42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</row>
    <row r="719" spans="1:28" ht="15" x14ac:dyDescent="0.35">
      <c r="A719" s="41"/>
      <c r="B719" s="41"/>
      <c r="C719" s="41"/>
      <c r="D719" s="47"/>
      <c r="E719" s="42"/>
      <c r="F719" s="42"/>
      <c r="G719" s="42"/>
      <c r="H719" s="42"/>
      <c r="I719" s="42"/>
      <c r="J719" s="42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</row>
    <row r="720" spans="1:28" ht="15" x14ac:dyDescent="0.35">
      <c r="A720" s="41"/>
      <c r="B720" s="41"/>
      <c r="C720" s="41"/>
      <c r="D720" s="47"/>
      <c r="E720" s="42"/>
      <c r="F720" s="42"/>
      <c r="G720" s="42"/>
      <c r="H720" s="42"/>
      <c r="I720" s="42"/>
      <c r="J720" s="42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</row>
    <row r="721" spans="1:28" ht="15" x14ac:dyDescent="0.35">
      <c r="A721" s="41"/>
      <c r="B721" s="41"/>
      <c r="C721" s="41"/>
      <c r="D721" s="47"/>
      <c r="E721" s="42"/>
      <c r="F721" s="42"/>
      <c r="G721" s="42"/>
      <c r="H721" s="42"/>
      <c r="I721" s="42"/>
      <c r="J721" s="42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</row>
    <row r="722" spans="1:28" ht="15" x14ac:dyDescent="0.35">
      <c r="A722" s="41"/>
      <c r="B722" s="41"/>
      <c r="C722" s="41"/>
      <c r="D722" s="47"/>
      <c r="E722" s="42"/>
      <c r="F722" s="42"/>
      <c r="G722" s="42"/>
      <c r="H722" s="42"/>
      <c r="I722" s="42"/>
      <c r="J722" s="42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</row>
    <row r="723" spans="1:28" ht="15" x14ac:dyDescent="0.35">
      <c r="A723" s="41"/>
      <c r="B723" s="41"/>
      <c r="C723" s="41"/>
      <c r="D723" s="47"/>
      <c r="E723" s="42"/>
      <c r="F723" s="42"/>
      <c r="G723" s="42"/>
      <c r="H723" s="42"/>
      <c r="I723" s="42"/>
      <c r="J723" s="42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</row>
    <row r="724" spans="1:28" ht="15" x14ac:dyDescent="0.35">
      <c r="A724" s="41"/>
      <c r="B724" s="41"/>
      <c r="C724" s="41"/>
      <c r="D724" s="47"/>
      <c r="E724" s="42"/>
      <c r="F724" s="42"/>
      <c r="G724" s="42"/>
      <c r="H724" s="42"/>
      <c r="I724" s="42"/>
      <c r="J724" s="42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</row>
    <row r="725" spans="1:28" ht="15" x14ac:dyDescent="0.35">
      <c r="A725" s="41"/>
      <c r="B725" s="41"/>
      <c r="C725" s="41"/>
      <c r="D725" s="47"/>
      <c r="E725" s="42"/>
      <c r="F725" s="42"/>
      <c r="G725" s="42"/>
      <c r="H725" s="42"/>
      <c r="I725" s="42"/>
      <c r="J725" s="42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</row>
    <row r="726" spans="1:28" ht="15" x14ac:dyDescent="0.35">
      <c r="A726" s="41"/>
      <c r="B726" s="41"/>
      <c r="C726" s="41"/>
      <c r="D726" s="47"/>
      <c r="E726" s="42"/>
      <c r="F726" s="42"/>
      <c r="G726" s="42"/>
      <c r="H726" s="42"/>
      <c r="I726" s="42"/>
      <c r="J726" s="42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</row>
    <row r="727" spans="1:28" ht="15" x14ac:dyDescent="0.35">
      <c r="A727" s="41"/>
      <c r="B727" s="41"/>
      <c r="C727" s="41"/>
      <c r="D727" s="47"/>
      <c r="E727" s="42"/>
      <c r="F727" s="42"/>
      <c r="G727" s="42"/>
      <c r="H727" s="42"/>
      <c r="I727" s="42"/>
      <c r="J727" s="42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</row>
    <row r="728" spans="1:28" ht="15" x14ac:dyDescent="0.35">
      <c r="A728" s="41"/>
      <c r="B728" s="41"/>
      <c r="C728" s="41"/>
      <c r="D728" s="47"/>
      <c r="E728" s="42"/>
      <c r="F728" s="42"/>
      <c r="G728" s="42"/>
      <c r="H728" s="42"/>
      <c r="I728" s="42"/>
      <c r="J728" s="42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</row>
    <row r="729" spans="1:28" ht="15" x14ac:dyDescent="0.35">
      <c r="A729" s="41"/>
      <c r="B729" s="41"/>
      <c r="C729" s="41"/>
      <c r="D729" s="47"/>
      <c r="E729" s="42"/>
      <c r="F729" s="42"/>
      <c r="G729" s="42"/>
      <c r="H729" s="42"/>
      <c r="I729" s="42"/>
      <c r="J729" s="42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</row>
    <row r="730" spans="1:28" ht="15" x14ac:dyDescent="0.35">
      <c r="A730" s="41"/>
      <c r="B730" s="41"/>
      <c r="C730" s="41"/>
      <c r="D730" s="47"/>
      <c r="E730" s="42"/>
      <c r="F730" s="42"/>
      <c r="G730" s="42"/>
      <c r="H730" s="42"/>
      <c r="I730" s="42"/>
      <c r="J730" s="42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</row>
    <row r="731" spans="1:28" ht="15" x14ac:dyDescent="0.35">
      <c r="A731" s="41"/>
      <c r="B731" s="41"/>
      <c r="C731" s="41"/>
      <c r="D731" s="47"/>
      <c r="E731" s="42"/>
      <c r="F731" s="42"/>
      <c r="G731" s="42"/>
      <c r="H731" s="42"/>
      <c r="I731" s="42"/>
      <c r="J731" s="42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</row>
    <row r="732" spans="1:28" ht="15" x14ac:dyDescent="0.35">
      <c r="A732" s="41"/>
      <c r="B732" s="41"/>
      <c r="C732" s="41"/>
      <c r="D732" s="47"/>
      <c r="E732" s="42"/>
      <c r="F732" s="42"/>
      <c r="G732" s="42"/>
      <c r="H732" s="42"/>
      <c r="I732" s="42"/>
      <c r="J732" s="42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</row>
    <row r="733" spans="1:28" ht="15" x14ac:dyDescent="0.35">
      <c r="A733" s="41"/>
      <c r="B733" s="41"/>
      <c r="C733" s="41"/>
      <c r="D733" s="47"/>
      <c r="E733" s="42"/>
      <c r="F733" s="42"/>
      <c r="G733" s="42"/>
      <c r="H733" s="42"/>
      <c r="I733" s="42"/>
      <c r="J733" s="42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</row>
    <row r="734" spans="1:28" ht="15" x14ac:dyDescent="0.35">
      <c r="A734" s="41"/>
      <c r="B734" s="41"/>
      <c r="C734" s="41"/>
      <c r="D734" s="47"/>
      <c r="E734" s="42"/>
      <c r="F734" s="42"/>
      <c r="G734" s="42"/>
      <c r="H734" s="42"/>
      <c r="I734" s="42"/>
      <c r="J734" s="42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</row>
    <row r="735" spans="1:28" ht="15" x14ac:dyDescent="0.35">
      <c r="A735" s="41"/>
      <c r="B735" s="41"/>
      <c r="C735" s="41"/>
      <c r="D735" s="47"/>
      <c r="E735" s="42"/>
      <c r="F735" s="42"/>
      <c r="G735" s="42"/>
      <c r="H735" s="42"/>
      <c r="I735" s="42"/>
      <c r="J735" s="42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</row>
    <row r="736" spans="1:28" ht="15" x14ac:dyDescent="0.35">
      <c r="A736" s="41"/>
      <c r="B736" s="41"/>
      <c r="C736" s="41"/>
      <c r="D736" s="47"/>
      <c r="E736" s="42"/>
      <c r="F736" s="42"/>
      <c r="G736" s="42"/>
      <c r="H736" s="42"/>
      <c r="I736" s="42"/>
      <c r="J736" s="42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</row>
    <row r="737" spans="1:28" ht="15" x14ac:dyDescent="0.35">
      <c r="A737" s="41"/>
      <c r="B737" s="41"/>
      <c r="C737" s="41"/>
      <c r="D737" s="47"/>
      <c r="E737" s="42"/>
      <c r="F737" s="42"/>
      <c r="G737" s="42"/>
      <c r="H737" s="42"/>
      <c r="I737" s="42"/>
      <c r="J737" s="42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</row>
    <row r="738" spans="1:28" ht="15" x14ac:dyDescent="0.35">
      <c r="A738" s="41"/>
      <c r="B738" s="41"/>
      <c r="C738" s="41"/>
      <c r="D738" s="47"/>
      <c r="E738" s="42"/>
      <c r="F738" s="42"/>
      <c r="G738" s="42"/>
      <c r="H738" s="42"/>
      <c r="I738" s="42"/>
      <c r="J738" s="42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</row>
    <row r="739" spans="1:28" ht="15" x14ac:dyDescent="0.35">
      <c r="A739" s="41"/>
      <c r="B739" s="41"/>
      <c r="C739" s="41"/>
      <c r="D739" s="47"/>
      <c r="E739" s="42"/>
      <c r="F739" s="42"/>
      <c r="G739" s="42"/>
      <c r="H739" s="42"/>
      <c r="I739" s="42"/>
      <c r="J739" s="42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</row>
    <row r="740" spans="1:28" ht="15" x14ac:dyDescent="0.35">
      <c r="A740" s="41"/>
      <c r="B740" s="41"/>
      <c r="C740" s="41"/>
      <c r="D740" s="47"/>
      <c r="E740" s="42"/>
      <c r="F740" s="42"/>
      <c r="G740" s="42"/>
      <c r="H740" s="42"/>
      <c r="I740" s="42"/>
      <c r="J740" s="42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</row>
    <row r="741" spans="1:28" ht="15" x14ac:dyDescent="0.35">
      <c r="A741" s="41"/>
      <c r="B741" s="41"/>
      <c r="C741" s="41"/>
      <c r="D741" s="47"/>
      <c r="E741" s="42"/>
      <c r="F741" s="42"/>
      <c r="G741" s="42"/>
      <c r="H741" s="42"/>
      <c r="I741" s="42"/>
      <c r="J741" s="42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</row>
    <row r="742" spans="1:28" ht="15" x14ac:dyDescent="0.35">
      <c r="A742" s="41"/>
      <c r="B742" s="41"/>
      <c r="C742" s="41"/>
      <c r="D742" s="47"/>
      <c r="E742" s="42"/>
      <c r="F742" s="42"/>
      <c r="G742" s="42"/>
      <c r="H742" s="42"/>
      <c r="I742" s="42"/>
      <c r="J742" s="42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</row>
    <row r="743" spans="1:28" ht="15" x14ac:dyDescent="0.35">
      <c r="A743" s="41"/>
      <c r="B743" s="41"/>
      <c r="C743" s="41"/>
      <c r="D743" s="47"/>
      <c r="E743" s="42"/>
      <c r="F743" s="42"/>
      <c r="G743" s="42"/>
      <c r="H743" s="42"/>
      <c r="I743" s="42"/>
      <c r="J743" s="42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</row>
    <row r="744" spans="1:28" ht="15" x14ac:dyDescent="0.35">
      <c r="A744" s="41"/>
      <c r="B744" s="41"/>
      <c r="C744" s="41"/>
      <c r="D744" s="47"/>
      <c r="E744" s="42"/>
      <c r="F744" s="42"/>
      <c r="G744" s="42"/>
      <c r="H744" s="42"/>
      <c r="I744" s="42"/>
      <c r="J744" s="42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</row>
    <row r="745" spans="1:28" ht="15" x14ac:dyDescent="0.35">
      <c r="A745" s="41"/>
      <c r="B745" s="41"/>
      <c r="C745" s="41"/>
      <c r="D745" s="47"/>
      <c r="E745" s="42"/>
      <c r="F745" s="42"/>
      <c r="G745" s="42"/>
      <c r="H745" s="42"/>
      <c r="I745" s="42"/>
      <c r="J745" s="42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</row>
    <row r="746" spans="1:28" ht="15" x14ac:dyDescent="0.35">
      <c r="A746" s="41"/>
      <c r="B746" s="41"/>
      <c r="C746" s="41"/>
      <c r="D746" s="47"/>
      <c r="E746" s="42"/>
      <c r="F746" s="42"/>
      <c r="G746" s="42"/>
      <c r="H746" s="42"/>
      <c r="I746" s="42"/>
      <c r="J746" s="42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</row>
    <row r="747" spans="1:28" ht="15" x14ac:dyDescent="0.35">
      <c r="A747" s="41"/>
      <c r="B747" s="41"/>
      <c r="C747" s="41"/>
      <c r="D747" s="47"/>
      <c r="E747" s="42"/>
      <c r="F747" s="42"/>
      <c r="G747" s="42"/>
      <c r="H747" s="42"/>
      <c r="I747" s="42"/>
      <c r="J747" s="42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</row>
    <row r="748" spans="1:28" ht="15" x14ac:dyDescent="0.35">
      <c r="A748" s="41"/>
      <c r="B748" s="41"/>
      <c r="C748" s="41"/>
      <c r="D748" s="47"/>
      <c r="E748" s="42"/>
      <c r="F748" s="42"/>
      <c r="G748" s="42"/>
      <c r="H748" s="42"/>
      <c r="I748" s="42"/>
      <c r="J748" s="42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</row>
    <row r="749" spans="1:28" ht="15" x14ac:dyDescent="0.35">
      <c r="A749" s="41"/>
      <c r="B749" s="41"/>
      <c r="C749" s="41"/>
      <c r="D749" s="47"/>
      <c r="E749" s="42"/>
      <c r="F749" s="42"/>
      <c r="G749" s="42"/>
      <c r="H749" s="42"/>
      <c r="I749" s="42"/>
      <c r="J749" s="42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</row>
    <row r="750" spans="1:28" ht="15" x14ac:dyDescent="0.35">
      <c r="A750" s="41"/>
      <c r="B750" s="41"/>
      <c r="C750" s="41"/>
      <c r="D750" s="47"/>
      <c r="E750" s="42"/>
      <c r="F750" s="42"/>
      <c r="G750" s="42"/>
      <c r="H750" s="42"/>
      <c r="I750" s="42"/>
      <c r="J750" s="42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</row>
    <row r="751" spans="1:28" ht="15" x14ac:dyDescent="0.35">
      <c r="A751" s="41"/>
      <c r="B751" s="41"/>
      <c r="C751" s="41"/>
      <c r="D751" s="47"/>
      <c r="E751" s="42"/>
      <c r="F751" s="42"/>
      <c r="G751" s="42"/>
      <c r="H751" s="42"/>
      <c r="I751" s="42"/>
      <c r="J751" s="42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</row>
    <row r="752" spans="1:28" ht="15" x14ac:dyDescent="0.35">
      <c r="A752" s="41"/>
      <c r="B752" s="41"/>
      <c r="C752" s="41"/>
      <c r="D752" s="47"/>
      <c r="E752" s="42"/>
      <c r="F752" s="42"/>
      <c r="G752" s="42"/>
      <c r="H752" s="42"/>
      <c r="I752" s="42"/>
      <c r="J752" s="42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</row>
    <row r="753" spans="1:28" ht="15" x14ac:dyDescent="0.35">
      <c r="A753" s="41"/>
      <c r="B753" s="41"/>
      <c r="C753" s="41"/>
      <c r="D753" s="47"/>
      <c r="E753" s="42"/>
      <c r="F753" s="42"/>
      <c r="G753" s="42"/>
      <c r="H753" s="42"/>
      <c r="I753" s="42"/>
      <c r="J753" s="42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</row>
    <row r="754" spans="1:28" ht="15" x14ac:dyDescent="0.35">
      <c r="A754" s="41"/>
      <c r="B754" s="41"/>
      <c r="C754" s="41"/>
      <c r="D754" s="47"/>
      <c r="E754" s="42"/>
      <c r="F754" s="42"/>
      <c r="G754" s="42"/>
      <c r="H754" s="42"/>
      <c r="I754" s="42"/>
      <c r="J754" s="42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</row>
    <row r="755" spans="1:28" ht="15" x14ac:dyDescent="0.35">
      <c r="A755" s="41"/>
      <c r="B755" s="41"/>
      <c r="C755" s="41"/>
      <c r="D755" s="47"/>
      <c r="E755" s="42"/>
      <c r="F755" s="42"/>
      <c r="G755" s="42"/>
      <c r="H755" s="42"/>
      <c r="I755" s="42"/>
      <c r="J755" s="42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</row>
    <row r="756" spans="1:28" ht="15" x14ac:dyDescent="0.35">
      <c r="A756" s="41"/>
      <c r="B756" s="41"/>
      <c r="C756" s="41"/>
      <c r="D756" s="47"/>
      <c r="E756" s="42"/>
      <c r="F756" s="42"/>
      <c r="G756" s="42"/>
      <c r="H756" s="42"/>
      <c r="I756" s="42"/>
      <c r="J756" s="42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</row>
    <row r="757" spans="1:28" ht="15" x14ac:dyDescent="0.35">
      <c r="A757" s="41"/>
      <c r="B757" s="41"/>
      <c r="C757" s="41"/>
      <c r="D757" s="47"/>
      <c r="E757" s="42"/>
      <c r="F757" s="42"/>
      <c r="G757" s="42"/>
      <c r="H757" s="42"/>
      <c r="I757" s="42"/>
      <c r="J757" s="42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</row>
    <row r="758" spans="1:28" ht="15" x14ac:dyDescent="0.35">
      <c r="A758" s="41"/>
      <c r="B758" s="41"/>
      <c r="C758" s="41"/>
      <c r="D758" s="47"/>
      <c r="E758" s="42"/>
      <c r="F758" s="42"/>
      <c r="G758" s="42"/>
      <c r="H758" s="42"/>
      <c r="I758" s="42"/>
      <c r="J758" s="42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</row>
    <row r="759" spans="1:28" ht="15" x14ac:dyDescent="0.35">
      <c r="A759" s="41"/>
      <c r="B759" s="41"/>
      <c r="C759" s="41"/>
      <c r="D759" s="47"/>
      <c r="E759" s="42"/>
      <c r="F759" s="42"/>
      <c r="G759" s="42"/>
      <c r="H759" s="42"/>
      <c r="I759" s="42"/>
      <c r="J759" s="42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</row>
    <row r="760" spans="1:28" ht="15" x14ac:dyDescent="0.35">
      <c r="A760" s="41"/>
      <c r="B760" s="41"/>
      <c r="C760" s="41"/>
      <c r="D760" s="47"/>
      <c r="E760" s="42"/>
      <c r="F760" s="42"/>
      <c r="G760" s="42"/>
      <c r="H760" s="42"/>
      <c r="I760" s="42"/>
      <c r="J760" s="42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</row>
    <row r="761" spans="1:28" ht="15" x14ac:dyDescent="0.35">
      <c r="A761" s="41"/>
      <c r="B761" s="41"/>
      <c r="C761" s="41"/>
      <c r="D761" s="47"/>
      <c r="E761" s="42"/>
      <c r="F761" s="42"/>
      <c r="G761" s="42"/>
      <c r="H761" s="42"/>
      <c r="I761" s="42"/>
      <c r="J761" s="42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</row>
    <row r="762" spans="1:28" ht="15" x14ac:dyDescent="0.35">
      <c r="A762" s="41"/>
      <c r="B762" s="41"/>
      <c r="C762" s="41"/>
      <c r="D762" s="47"/>
      <c r="E762" s="42"/>
      <c r="F762" s="42"/>
      <c r="G762" s="42"/>
      <c r="H762" s="42"/>
      <c r="I762" s="42"/>
      <c r="J762" s="42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</row>
    <row r="763" spans="1:28" ht="15" x14ac:dyDescent="0.35">
      <c r="A763" s="41"/>
      <c r="B763" s="41"/>
      <c r="C763" s="41"/>
      <c r="D763" s="47"/>
      <c r="E763" s="42"/>
      <c r="F763" s="42"/>
      <c r="G763" s="42"/>
      <c r="H763" s="42"/>
      <c r="I763" s="42"/>
      <c r="J763" s="42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</row>
    <row r="764" spans="1:28" ht="15" x14ac:dyDescent="0.35">
      <c r="A764" s="41"/>
      <c r="B764" s="41"/>
      <c r="C764" s="41"/>
      <c r="D764" s="47"/>
      <c r="E764" s="42"/>
      <c r="F764" s="42"/>
      <c r="G764" s="42"/>
      <c r="H764" s="42"/>
      <c r="I764" s="42"/>
      <c r="J764" s="42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</row>
    <row r="765" spans="1:28" ht="15" x14ac:dyDescent="0.35">
      <c r="A765" s="41"/>
      <c r="B765" s="41"/>
      <c r="C765" s="41"/>
      <c r="D765" s="47"/>
      <c r="E765" s="42"/>
      <c r="F765" s="42"/>
      <c r="G765" s="42"/>
      <c r="H765" s="42"/>
      <c r="I765" s="42"/>
      <c r="J765" s="42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</row>
    <row r="766" spans="1:28" ht="15" x14ac:dyDescent="0.35">
      <c r="A766" s="41"/>
      <c r="B766" s="41"/>
      <c r="C766" s="41"/>
      <c r="D766" s="47"/>
      <c r="E766" s="42"/>
      <c r="F766" s="42"/>
      <c r="G766" s="42"/>
      <c r="H766" s="42"/>
      <c r="I766" s="42"/>
      <c r="J766" s="42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</row>
    <row r="767" spans="1:28" ht="15" x14ac:dyDescent="0.35">
      <c r="A767" s="41"/>
      <c r="B767" s="41"/>
      <c r="C767" s="41"/>
      <c r="D767" s="47"/>
      <c r="E767" s="42"/>
      <c r="F767" s="42"/>
      <c r="G767" s="42"/>
      <c r="H767" s="42"/>
      <c r="I767" s="42"/>
      <c r="J767" s="42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</row>
    <row r="768" spans="1:28" ht="15" x14ac:dyDescent="0.35">
      <c r="A768" s="41"/>
      <c r="B768" s="41"/>
      <c r="C768" s="41"/>
      <c r="D768" s="47"/>
      <c r="E768" s="42"/>
      <c r="F768" s="42"/>
      <c r="G768" s="42"/>
      <c r="H768" s="42"/>
      <c r="I768" s="42"/>
      <c r="J768" s="42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</row>
    <row r="769" spans="1:28" ht="15" x14ac:dyDescent="0.35">
      <c r="A769" s="41"/>
      <c r="B769" s="41"/>
      <c r="C769" s="41"/>
      <c r="D769" s="47"/>
      <c r="E769" s="42"/>
      <c r="F769" s="42"/>
      <c r="G769" s="42"/>
      <c r="H769" s="42"/>
      <c r="I769" s="42"/>
      <c r="J769" s="42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</row>
    <row r="770" spans="1:28" ht="15" x14ac:dyDescent="0.35">
      <c r="A770" s="41"/>
      <c r="B770" s="41"/>
      <c r="C770" s="41"/>
      <c r="D770" s="47"/>
      <c r="E770" s="42"/>
      <c r="F770" s="42"/>
      <c r="G770" s="42"/>
      <c r="H770" s="42"/>
      <c r="I770" s="42"/>
      <c r="J770" s="42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</row>
    <row r="771" spans="1:28" ht="15" x14ac:dyDescent="0.35">
      <c r="A771" s="41"/>
      <c r="B771" s="41"/>
      <c r="C771" s="41"/>
      <c r="D771" s="47"/>
      <c r="E771" s="42"/>
      <c r="F771" s="42"/>
      <c r="G771" s="42"/>
      <c r="H771" s="42"/>
      <c r="I771" s="42"/>
      <c r="J771" s="42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</row>
    <row r="772" spans="1:28" ht="15" x14ac:dyDescent="0.35">
      <c r="A772" s="41"/>
      <c r="B772" s="41"/>
      <c r="C772" s="41"/>
      <c r="D772" s="47"/>
      <c r="E772" s="42"/>
      <c r="F772" s="42"/>
      <c r="G772" s="42"/>
      <c r="H772" s="42"/>
      <c r="I772" s="42"/>
      <c r="J772" s="42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</row>
    <row r="773" spans="1:28" ht="15" x14ac:dyDescent="0.35">
      <c r="A773" s="41"/>
      <c r="B773" s="41"/>
      <c r="C773" s="41"/>
      <c r="D773" s="47"/>
      <c r="E773" s="42"/>
      <c r="F773" s="42"/>
      <c r="G773" s="42"/>
      <c r="H773" s="42"/>
      <c r="I773" s="42"/>
      <c r="J773" s="42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</row>
    <row r="774" spans="1:28" ht="15" x14ac:dyDescent="0.35">
      <c r="A774" s="41"/>
      <c r="B774" s="41"/>
      <c r="C774" s="41"/>
      <c r="D774" s="47"/>
      <c r="E774" s="42"/>
      <c r="F774" s="42"/>
      <c r="G774" s="42"/>
      <c r="H774" s="42"/>
      <c r="I774" s="42"/>
      <c r="J774" s="42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</row>
    <row r="775" spans="1:28" ht="15" x14ac:dyDescent="0.35">
      <c r="A775" s="41"/>
      <c r="B775" s="41"/>
      <c r="C775" s="41"/>
      <c r="D775" s="47"/>
      <c r="E775" s="42"/>
      <c r="F775" s="42"/>
      <c r="G775" s="42"/>
      <c r="H775" s="42"/>
      <c r="I775" s="42"/>
      <c r="J775" s="42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</row>
    <row r="776" spans="1:28" ht="15" x14ac:dyDescent="0.35">
      <c r="A776" s="41"/>
      <c r="B776" s="41"/>
      <c r="C776" s="41"/>
      <c r="D776" s="47"/>
      <c r="E776" s="42"/>
      <c r="F776" s="42"/>
      <c r="G776" s="42"/>
      <c r="H776" s="42"/>
      <c r="I776" s="42"/>
      <c r="J776" s="42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</row>
    <row r="777" spans="1:28" ht="15" x14ac:dyDescent="0.35">
      <c r="A777" s="41"/>
      <c r="B777" s="41"/>
      <c r="C777" s="41"/>
      <c r="D777" s="47"/>
      <c r="E777" s="42"/>
      <c r="F777" s="42"/>
      <c r="G777" s="42"/>
      <c r="H777" s="42"/>
      <c r="I777" s="42"/>
      <c r="J777" s="42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</row>
    <row r="778" spans="1:28" ht="15" x14ac:dyDescent="0.35">
      <c r="A778" s="41"/>
      <c r="B778" s="41"/>
      <c r="C778" s="41"/>
      <c r="D778" s="47"/>
      <c r="E778" s="42"/>
      <c r="F778" s="42"/>
      <c r="G778" s="42"/>
      <c r="H778" s="42"/>
      <c r="I778" s="42"/>
      <c r="J778" s="42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</row>
    <row r="779" spans="1:28" ht="15" x14ac:dyDescent="0.35">
      <c r="A779" s="41"/>
      <c r="B779" s="41"/>
      <c r="C779" s="41"/>
      <c r="D779" s="47"/>
      <c r="E779" s="42"/>
      <c r="F779" s="42"/>
      <c r="G779" s="42"/>
      <c r="H779" s="42"/>
      <c r="I779" s="42"/>
      <c r="J779" s="42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</row>
    <row r="780" spans="1:28" ht="15" x14ac:dyDescent="0.35">
      <c r="A780" s="41"/>
      <c r="B780" s="41"/>
      <c r="C780" s="41"/>
      <c r="D780" s="47"/>
      <c r="E780" s="42"/>
      <c r="F780" s="42"/>
      <c r="G780" s="42"/>
      <c r="H780" s="42"/>
      <c r="I780" s="42"/>
      <c r="J780" s="42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</row>
    <row r="781" spans="1:28" ht="15" x14ac:dyDescent="0.35">
      <c r="A781" s="41"/>
      <c r="B781" s="41"/>
      <c r="C781" s="41"/>
      <c r="D781" s="47"/>
      <c r="E781" s="42"/>
      <c r="F781" s="42"/>
      <c r="G781" s="42"/>
      <c r="H781" s="42"/>
      <c r="I781" s="42"/>
      <c r="J781" s="42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</row>
    <row r="782" spans="1:28" ht="15" x14ac:dyDescent="0.35">
      <c r="A782" s="41"/>
      <c r="B782" s="41"/>
      <c r="C782" s="41"/>
      <c r="D782" s="47"/>
      <c r="E782" s="42"/>
      <c r="F782" s="42"/>
      <c r="G782" s="42"/>
      <c r="H782" s="42"/>
      <c r="I782" s="42"/>
      <c r="J782" s="42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</row>
    <row r="783" spans="1:28" ht="15" x14ac:dyDescent="0.35">
      <c r="A783" s="41"/>
      <c r="B783" s="41"/>
      <c r="C783" s="41"/>
      <c r="D783" s="47"/>
      <c r="E783" s="42"/>
      <c r="F783" s="42"/>
      <c r="G783" s="42"/>
      <c r="H783" s="42"/>
      <c r="I783" s="42"/>
      <c r="J783" s="42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</row>
    <row r="784" spans="1:28" ht="15" x14ac:dyDescent="0.35">
      <c r="A784" s="41"/>
      <c r="B784" s="41"/>
      <c r="C784" s="41"/>
      <c r="D784" s="47"/>
      <c r="E784" s="42"/>
      <c r="F784" s="42"/>
      <c r="G784" s="42"/>
      <c r="H784" s="42"/>
      <c r="I784" s="42"/>
      <c r="J784" s="42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</row>
    <row r="785" spans="1:28" ht="15" x14ac:dyDescent="0.35">
      <c r="A785" s="41"/>
      <c r="B785" s="41"/>
      <c r="C785" s="41"/>
      <c r="D785" s="47"/>
      <c r="E785" s="42"/>
      <c r="F785" s="42"/>
      <c r="G785" s="42"/>
      <c r="H785" s="42"/>
      <c r="I785" s="42"/>
      <c r="J785" s="42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</row>
    <row r="786" spans="1:28" ht="15" x14ac:dyDescent="0.35">
      <c r="A786" s="41"/>
      <c r="B786" s="41"/>
      <c r="C786" s="41"/>
      <c r="D786" s="47"/>
      <c r="E786" s="42"/>
      <c r="F786" s="42"/>
      <c r="G786" s="42"/>
      <c r="H786" s="42"/>
      <c r="I786" s="42"/>
      <c r="J786" s="42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</row>
    <row r="787" spans="1:28" ht="15" x14ac:dyDescent="0.35">
      <c r="A787" s="41"/>
      <c r="B787" s="41"/>
      <c r="C787" s="41"/>
      <c r="D787" s="47"/>
      <c r="E787" s="42"/>
      <c r="F787" s="42"/>
      <c r="G787" s="42"/>
      <c r="H787" s="42"/>
      <c r="I787" s="42"/>
      <c r="J787" s="42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</row>
    <row r="788" spans="1:28" ht="15" x14ac:dyDescent="0.35">
      <c r="A788" s="41"/>
      <c r="B788" s="41"/>
      <c r="C788" s="41"/>
      <c r="D788" s="47"/>
      <c r="E788" s="42"/>
      <c r="F788" s="42"/>
      <c r="G788" s="42"/>
      <c r="H788" s="42"/>
      <c r="I788" s="42"/>
      <c r="J788" s="42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</row>
    <row r="789" spans="1:28" ht="15" x14ac:dyDescent="0.35">
      <c r="A789" s="41"/>
      <c r="B789" s="41"/>
      <c r="C789" s="41"/>
      <c r="D789" s="47"/>
      <c r="E789" s="42"/>
      <c r="F789" s="42"/>
      <c r="G789" s="42"/>
      <c r="H789" s="42"/>
      <c r="I789" s="42"/>
      <c r="J789" s="42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</row>
    <row r="790" spans="1:28" ht="15" x14ac:dyDescent="0.35">
      <c r="A790" s="41"/>
      <c r="B790" s="41"/>
      <c r="C790" s="41"/>
      <c r="D790" s="47"/>
      <c r="E790" s="42"/>
      <c r="F790" s="42"/>
      <c r="G790" s="42"/>
      <c r="H790" s="42"/>
      <c r="I790" s="42"/>
      <c r="J790" s="42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</row>
    <row r="791" spans="1:28" ht="15" x14ac:dyDescent="0.35">
      <c r="A791" s="41"/>
      <c r="B791" s="41"/>
      <c r="C791" s="41"/>
      <c r="D791" s="47"/>
      <c r="E791" s="42"/>
      <c r="F791" s="42"/>
      <c r="G791" s="42"/>
      <c r="H791" s="42"/>
      <c r="I791" s="42"/>
      <c r="J791" s="42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</row>
    <row r="792" spans="1:28" ht="15" x14ac:dyDescent="0.35">
      <c r="A792" s="41"/>
      <c r="B792" s="41"/>
      <c r="C792" s="41"/>
      <c r="D792" s="47"/>
      <c r="E792" s="42"/>
      <c r="F792" s="42"/>
      <c r="G792" s="42"/>
      <c r="H792" s="42"/>
      <c r="I792" s="42"/>
      <c r="J792" s="42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</row>
    <row r="793" spans="1:28" ht="15" x14ac:dyDescent="0.35">
      <c r="A793" s="41"/>
      <c r="B793" s="41"/>
      <c r="C793" s="41"/>
      <c r="D793" s="47"/>
      <c r="E793" s="42"/>
      <c r="F793" s="42"/>
      <c r="G793" s="42"/>
      <c r="H793" s="42"/>
      <c r="I793" s="42"/>
      <c r="J793" s="42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</row>
    <row r="794" spans="1:28" ht="15" x14ac:dyDescent="0.35">
      <c r="A794" s="41"/>
      <c r="B794" s="41"/>
      <c r="C794" s="41"/>
      <c r="D794" s="47"/>
      <c r="E794" s="42"/>
      <c r="F794" s="42"/>
      <c r="G794" s="42"/>
      <c r="H794" s="42"/>
      <c r="I794" s="42"/>
      <c r="J794" s="42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</row>
    <row r="795" spans="1:28" ht="15" x14ac:dyDescent="0.35">
      <c r="A795" s="41"/>
      <c r="B795" s="41"/>
      <c r="C795" s="41"/>
      <c r="D795" s="47"/>
      <c r="E795" s="42"/>
      <c r="F795" s="42"/>
      <c r="G795" s="42"/>
      <c r="H795" s="42"/>
      <c r="I795" s="42"/>
      <c r="J795" s="42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</row>
    <row r="796" spans="1:28" ht="15" x14ac:dyDescent="0.35">
      <c r="A796" s="41"/>
      <c r="B796" s="41"/>
      <c r="C796" s="41"/>
      <c r="D796" s="47"/>
      <c r="E796" s="42"/>
      <c r="F796" s="42"/>
      <c r="G796" s="42"/>
      <c r="H796" s="42"/>
      <c r="I796" s="42"/>
      <c r="J796" s="42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</row>
    <row r="797" spans="1:28" ht="15" x14ac:dyDescent="0.35">
      <c r="A797" s="41"/>
      <c r="B797" s="41"/>
      <c r="C797" s="41"/>
      <c r="D797" s="47"/>
      <c r="E797" s="42"/>
      <c r="F797" s="42"/>
      <c r="G797" s="42"/>
      <c r="H797" s="42"/>
      <c r="I797" s="42"/>
      <c r="J797" s="42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</row>
    <row r="798" spans="1:28" ht="15" x14ac:dyDescent="0.35">
      <c r="A798" s="41"/>
      <c r="B798" s="41"/>
      <c r="C798" s="41"/>
      <c r="D798" s="47"/>
      <c r="E798" s="42"/>
      <c r="F798" s="42"/>
      <c r="G798" s="42"/>
      <c r="H798" s="42"/>
      <c r="I798" s="42"/>
      <c r="J798" s="42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</row>
    <row r="799" spans="1:28" ht="15" x14ac:dyDescent="0.35">
      <c r="A799" s="41"/>
      <c r="B799" s="41"/>
      <c r="C799" s="41"/>
      <c r="D799" s="47"/>
      <c r="E799" s="42"/>
      <c r="F799" s="42"/>
      <c r="G799" s="42"/>
      <c r="H799" s="42"/>
      <c r="I799" s="42"/>
      <c r="J799" s="42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</row>
    <row r="800" spans="1:28" ht="15" x14ac:dyDescent="0.35">
      <c r="A800" s="41"/>
      <c r="B800" s="41"/>
      <c r="C800" s="41"/>
      <c r="D800" s="47"/>
      <c r="E800" s="42"/>
      <c r="F800" s="42"/>
      <c r="G800" s="42"/>
      <c r="H800" s="42"/>
      <c r="I800" s="42"/>
      <c r="J800" s="42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</row>
    <row r="801" spans="1:28" ht="15" x14ac:dyDescent="0.35">
      <c r="A801" s="41"/>
      <c r="B801" s="41"/>
      <c r="C801" s="41"/>
      <c r="D801" s="47"/>
      <c r="E801" s="42"/>
      <c r="F801" s="42"/>
      <c r="G801" s="42"/>
      <c r="H801" s="42"/>
      <c r="I801" s="42"/>
      <c r="J801" s="42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</row>
    <row r="802" spans="1:28" ht="15" x14ac:dyDescent="0.35">
      <c r="A802" s="41"/>
      <c r="B802" s="41"/>
      <c r="C802" s="41"/>
      <c r="D802" s="47"/>
      <c r="E802" s="42"/>
      <c r="F802" s="42"/>
      <c r="G802" s="42"/>
      <c r="H802" s="42"/>
      <c r="I802" s="42"/>
      <c r="J802" s="42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</row>
    <row r="803" spans="1:28" ht="15" x14ac:dyDescent="0.35">
      <c r="A803" s="41"/>
      <c r="B803" s="41"/>
      <c r="C803" s="41"/>
      <c r="D803" s="47"/>
      <c r="E803" s="42"/>
      <c r="F803" s="42"/>
      <c r="G803" s="42"/>
      <c r="H803" s="42"/>
      <c r="I803" s="42"/>
      <c r="J803" s="42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</row>
    <row r="804" spans="1:28" ht="15" x14ac:dyDescent="0.35">
      <c r="A804" s="41"/>
      <c r="B804" s="41"/>
      <c r="C804" s="41"/>
      <c r="D804" s="47"/>
      <c r="E804" s="42"/>
      <c r="F804" s="42"/>
      <c r="G804" s="42"/>
      <c r="H804" s="42"/>
      <c r="I804" s="42"/>
      <c r="J804" s="42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</row>
    <row r="805" spans="1:28" ht="15" x14ac:dyDescent="0.35">
      <c r="A805" s="41"/>
      <c r="B805" s="41"/>
      <c r="C805" s="41"/>
      <c r="D805" s="47"/>
      <c r="E805" s="42"/>
      <c r="F805" s="42"/>
      <c r="G805" s="42"/>
      <c r="H805" s="42"/>
      <c r="I805" s="42"/>
      <c r="J805" s="42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</row>
    <row r="806" spans="1:28" ht="15" x14ac:dyDescent="0.35">
      <c r="A806" s="41"/>
      <c r="B806" s="41"/>
      <c r="C806" s="41"/>
      <c r="D806" s="47"/>
      <c r="E806" s="42"/>
      <c r="F806" s="42"/>
      <c r="G806" s="42"/>
      <c r="H806" s="42"/>
      <c r="I806" s="42"/>
      <c r="J806" s="42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</row>
    <row r="807" spans="1:28" ht="15" x14ac:dyDescent="0.35">
      <c r="A807" s="41"/>
      <c r="B807" s="41"/>
      <c r="C807" s="41"/>
      <c r="D807" s="47"/>
      <c r="E807" s="42"/>
      <c r="F807" s="42"/>
      <c r="G807" s="42"/>
      <c r="H807" s="42"/>
      <c r="I807" s="42"/>
      <c r="J807" s="42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</row>
    <row r="808" spans="1:28" ht="15" x14ac:dyDescent="0.35">
      <c r="A808" s="41"/>
      <c r="B808" s="41"/>
      <c r="C808" s="41"/>
      <c r="D808" s="47"/>
      <c r="E808" s="42"/>
      <c r="F808" s="42"/>
      <c r="G808" s="42"/>
      <c r="H808" s="42"/>
      <c r="I808" s="42"/>
      <c r="J808" s="42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</row>
    <row r="809" spans="1:28" ht="15" x14ac:dyDescent="0.35">
      <c r="A809" s="41"/>
      <c r="B809" s="41"/>
      <c r="C809" s="41"/>
      <c r="D809" s="47"/>
      <c r="E809" s="42"/>
      <c r="F809" s="42"/>
      <c r="G809" s="42"/>
      <c r="H809" s="42"/>
      <c r="I809" s="42"/>
      <c r="J809" s="42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</row>
    <row r="810" spans="1:28" ht="15" x14ac:dyDescent="0.35">
      <c r="A810" s="41"/>
      <c r="B810" s="41"/>
      <c r="C810" s="41"/>
      <c r="D810" s="47"/>
      <c r="E810" s="42"/>
      <c r="F810" s="42"/>
      <c r="G810" s="42"/>
      <c r="H810" s="42"/>
      <c r="I810" s="42"/>
      <c r="J810" s="42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</row>
    <row r="811" spans="1:28" ht="15" x14ac:dyDescent="0.35">
      <c r="A811" s="41"/>
      <c r="B811" s="41"/>
      <c r="C811" s="41"/>
      <c r="D811" s="47"/>
      <c r="E811" s="42"/>
      <c r="F811" s="42"/>
      <c r="G811" s="42"/>
      <c r="H811" s="42"/>
      <c r="I811" s="42"/>
      <c r="J811" s="42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</row>
    <row r="812" spans="1:28" ht="15" x14ac:dyDescent="0.35">
      <c r="A812" s="41"/>
      <c r="B812" s="41"/>
      <c r="C812" s="41"/>
      <c r="D812" s="47"/>
      <c r="E812" s="42"/>
      <c r="F812" s="42"/>
      <c r="G812" s="42"/>
      <c r="H812" s="42"/>
      <c r="I812" s="42"/>
      <c r="J812" s="42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</row>
    <row r="813" spans="1:28" ht="15" x14ac:dyDescent="0.35">
      <c r="A813" s="41"/>
      <c r="B813" s="41"/>
      <c r="C813" s="41"/>
      <c r="D813" s="47"/>
      <c r="E813" s="42"/>
      <c r="F813" s="42"/>
      <c r="G813" s="42"/>
      <c r="H813" s="42"/>
      <c r="I813" s="42"/>
      <c r="J813" s="42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</row>
    <row r="814" spans="1:28" ht="15" x14ac:dyDescent="0.35">
      <c r="A814" s="41"/>
      <c r="B814" s="41"/>
      <c r="C814" s="41"/>
      <c r="D814" s="47"/>
      <c r="E814" s="42"/>
      <c r="F814" s="42"/>
      <c r="G814" s="42"/>
      <c r="H814" s="42"/>
      <c r="I814" s="42"/>
      <c r="J814" s="42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</row>
    <row r="815" spans="1:28" ht="15" x14ac:dyDescent="0.35">
      <c r="A815" s="41"/>
      <c r="B815" s="41"/>
      <c r="C815" s="41"/>
      <c r="D815" s="47"/>
      <c r="E815" s="42"/>
      <c r="F815" s="42"/>
      <c r="G815" s="42"/>
      <c r="H815" s="42"/>
      <c r="I815" s="42"/>
      <c r="J815" s="42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</row>
    <row r="816" spans="1:28" ht="15" x14ac:dyDescent="0.35">
      <c r="A816" s="41"/>
      <c r="B816" s="41"/>
      <c r="C816" s="41"/>
      <c r="D816" s="47"/>
      <c r="E816" s="42"/>
      <c r="F816" s="42"/>
      <c r="G816" s="42"/>
      <c r="H816" s="42"/>
      <c r="I816" s="42"/>
      <c r="J816" s="42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</row>
    <row r="817" spans="1:28" ht="15" x14ac:dyDescent="0.35">
      <c r="A817" s="41"/>
      <c r="B817" s="41"/>
      <c r="C817" s="41"/>
      <c r="D817" s="47"/>
      <c r="E817" s="42"/>
      <c r="F817" s="42"/>
      <c r="G817" s="42"/>
      <c r="H817" s="42"/>
      <c r="I817" s="42"/>
      <c r="J817" s="42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</row>
    <row r="818" spans="1:28" ht="15" x14ac:dyDescent="0.35">
      <c r="A818" s="41"/>
      <c r="B818" s="41"/>
      <c r="C818" s="41"/>
      <c r="D818" s="47"/>
      <c r="E818" s="42"/>
      <c r="F818" s="42"/>
      <c r="G818" s="42"/>
      <c r="H818" s="42"/>
      <c r="I818" s="42"/>
      <c r="J818" s="42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</row>
    <row r="819" spans="1:28" ht="15" x14ac:dyDescent="0.35">
      <c r="A819" s="41"/>
      <c r="B819" s="41"/>
      <c r="C819" s="41"/>
      <c r="D819" s="47"/>
      <c r="E819" s="42"/>
      <c r="F819" s="42"/>
      <c r="G819" s="42"/>
      <c r="H819" s="42"/>
      <c r="I819" s="42"/>
      <c r="J819" s="42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</row>
    <row r="820" spans="1:28" ht="15" x14ac:dyDescent="0.35">
      <c r="A820" s="41"/>
      <c r="B820" s="41"/>
      <c r="C820" s="41"/>
      <c r="D820" s="47"/>
      <c r="E820" s="42"/>
      <c r="F820" s="42"/>
      <c r="G820" s="42"/>
      <c r="H820" s="42"/>
      <c r="I820" s="42"/>
      <c r="J820" s="42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</row>
    <row r="821" spans="1:28" ht="15" x14ac:dyDescent="0.35">
      <c r="A821" s="41"/>
      <c r="B821" s="41"/>
      <c r="C821" s="41"/>
      <c r="D821" s="47"/>
      <c r="E821" s="42"/>
      <c r="F821" s="42"/>
      <c r="G821" s="42"/>
      <c r="H821" s="42"/>
      <c r="I821" s="42"/>
      <c r="J821" s="42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</row>
    <row r="822" spans="1:28" ht="15" x14ac:dyDescent="0.35">
      <c r="A822" s="41"/>
      <c r="B822" s="41"/>
      <c r="C822" s="41"/>
      <c r="D822" s="47"/>
      <c r="E822" s="42"/>
      <c r="F822" s="42"/>
      <c r="G822" s="42"/>
      <c r="H822" s="42"/>
      <c r="I822" s="42"/>
      <c r="J822" s="42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</row>
    <row r="823" spans="1:28" ht="15" x14ac:dyDescent="0.35">
      <c r="A823" s="41"/>
      <c r="B823" s="41"/>
      <c r="C823" s="41"/>
      <c r="D823" s="47"/>
      <c r="E823" s="42"/>
      <c r="F823" s="42"/>
      <c r="G823" s="42"/>
      <c r="H823" s="42"/>
      <c r="I823" s="42"/>
      <c r="J823" s="42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</row>
    <row r="824" spans="1:28" ht="15" x14ac:dyDescent="0.35">
      <c r="A824" s="41"/>
      <c r="B824" s="41"/>
      <c r="C824" s="41"/>
      <c r="D824" s="47"/>
      <c r="E824" s="42"/>
      <c r="F824" s="42"/>
      <c r="G824" s="42"/>
      <c r="H824" s="42"/>
      <c r="I824" s="42"/>
      <c r="J824" s="42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</row>
    <row r="825" spans="1:28" ht="15" x14ac:dyDescent="0.35">
      <c r="A825" s="41"/>
      <c r="B825" s="41"/>
      <c r="C825" s="41"/>
      <c r="D825" s="47"/>
      <c r="E825" s="42"/>
      <c r="F825" s="42"/>
      <c r="G825" s="42"/>
      <c r="H825" s="42"/>
      <c r="I825" s="42"/>
      <c r="J825" s="42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</row>
    <row r="826" spans="1:28" ht="15" x14ac:dyDescent="0.35">
      <c r="A826" s="41"/>
      <c r="B826" s="41"/>
      <c r="C826" s="41"/>
      <c r="D826" s="47"/>
      <c r="E826" s="42"/>
      <c r="F826" s="42"/>
      <c r="G826" s="42"/>
      <c r="H826" s="42"/>
      <c r="I826" s="42"/>
      <c r="J826" s="42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</row>
    <row r="827" spans="1:28" ht="15" x14ac:dyDescent="0.35">
      <c r="A827" s="41"/>
      <c r="B827" s="41"/>
      <c r="C827" s="41"/>
      <c r="D827" s="47"/>
      <c r="E827" s="42"/>
      <c r="F827" s="42"/>
      <c r="G827" s="42"/>
      <c r="H827" s="42"/>
      <c r="I827" s="42"/>
      <c r="J827" s="42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</row>
    <row r="828" spans="1:28" ht="15" x14ac:dyDescent="0.35">
      <c r="A828" s="41"/>
      <c r="B828" s="41"/>
      <c r="C828" s="41"/>
      <c r="D828" s="47"/>
      <c r="E828" s="42"/>
      <c r="F828" s="42"/>
      <c r="G828" s="42"/>
      <c r="H828" s="42"/>
      <c r="I828" s="42"/>
      <c r="J828" s="42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</row>
    <row r="829" spans="1:28" ht="15" x14ac:dyDescent="0.35">
      <c r="A829" s="41"/>
      <c r="B829" s="41"/>
      <c r="C829" s="41"/>
      <c r="D829" s="47"/>
      <c r="E829" s="42"/>
      <c r="F829" s="42"/>
      <c r="G829" s="42"/>
      <c r="H829" s="42"/>
      <c r="I829" s="42"/>
      <c r="J829" s="42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</row>
    <row r="830" spans="1:28" ht="15" x14ac:dyDescent="0.35">
      <c r="A830" s="41"/>
      <c r="B830" s="41"/>
      <c r="C830" s="41"/>
      <c r="D830" s="47"/>
      <c r="E830" s="42"/>
      <c r="F830" s="42"/>
      <c r="G830" s="42"/>
      <c r="H830" s="42"/>
      <c r="I830" s="42"/>
      <c r="J830" s="42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</row>
    <row r="831" spans="1:28" ht="15" x14ac:dyDescent="0.35">
      <c r="A831" s="41"/>
      <c r="B831" s="41"/>
      <c r="C831" s="41"/>
      <c r="D831" s="47"/>
      <c r="E831" s="42"/>
      <c r="F831" s="42"/>
      <c r="G831" s="42"/>
      <c r="H831" s="42"/>
      <c r="I831" s="42"/>
      <c r="J831" s="42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</row>
    <row r="832" spans="1:28" ht="15" x14ac:dyDescent="0.35">
      <c r="A832" s="41"/>
      <c r="B832" s="41"/>
      <c r="C832" s="41"/>
      <c r="D832" s="47"/>
      <c r="E832" s="42"/>
      <c r="F832" s="42"/>
      <c r="G832" s="42"/>
      <c r="H832" s="42"/>
      <c r="I832" s="42"/>
      <c r="J832" s="42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</row>
    <row r="833" spans="1:28" ht="15" x14ac:dyDescent="0.35">
      <c r="A833" s="41"/>
      <c r="B833" s="41"/>
      <c r="C833" s="41"/>
      <c r="D833" s="47"/>
      <c r="E833" s="42"/>
      <c r="F833" s="42"/>
      <c r="G833" s="42"/>
      <c r="H833" s="42"/>
      <c r="I833" s="42"/>
      <c r="J833" s="42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</row>
    <row r="834" spans="1:28" ht="15" x14ac:dyDescent="0.35">
      <c r="A834" s="41"/>
      <c r="B834" s="41"/>
      <c r="C834" s="41"/>
      <c r="D834" s="47"/>
      <c r="E834" s="42"/>
      <c r="F834" s="42"/>
      <c r="G834" s="42"/>
      <c r="H834" s="42"/>
      <c r="I834" s="42"/>
      <c r="J834" s="42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</row>
    <row r="835" spans="1:28" ht="15" x14ac:dyDescent="0.35">
      <c r="A835" s="41"/>
      <c r="B835" s="41"/>
      <c r="C835" s="41"/>
      <c r="D835" s="47"/>
      <c r="E835" s="42"/>
      <c r="F835" s="42"/>
      <c r="G835" s="42"/>
      <c r="H835" s="42"/>
      <c r="I835" s="42"/>
      <c r="J835" s="42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</row>
    <row r="836" spans="1:28" ht="15" x14ac:dyDescent="0.35">
      <c r="A836" s="41"/>
      <c r="B836" s="41"/>
      <c r="C836" s="41"/>
      <c r="D836" s="47"/>
      <c r="E836" s="42"/>
      <c r="F836" s="42"/>
      <c r="G836" s="42"/>
      <c r="H836" s="42"/>
      <c r="I836" s="42"/>
      <c r="J836" s="42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</row>
    <row r="837" spans="1:28" ht="15" x14ac:dyDescent="0.35">
      <c r="A837" s="41"/>
      <c r="B837" s="41"/>
      <c r="C837" s="41"/>
      <c r="D837" s="47"/>
      <c r="E837" s="42"/>
      <c r="F837" s="42"/>
      <c r="G837" s="42"/>
      <c r="H837" s="42"/>
      <c r="I837" s="42"/>
      <c r="J837" s="42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</row>
    <row r="838" spans="1:28" ht="15" x14ac:dyDescent="0.35">
      <c r="A838" s="41"/>
      <c r="B838" s="41"/>
      <c r="C838" s="41"/>
      <c r="D838" s="47"/>
      <c r="E838" s="42"/>
      <c r="F838" s="42"/>
      <c r="G838" s="42"/>
      <c r="H838" s="42"/>
      <c r="I838" s="42"/>
      <c r="J838" s="42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</row>
    <row r="839" spans="1:28" ht="15" x14ac:dyDescent="0.35">
      <c r="A839" s="41"/>
      <c r="B839" s="41"/>
      <c r="C839" s="41"/>
      <c r="D839" s="47"/>
      <c r="E839" s="42"/>
      <c r="F839" s="42"/>
      <c r="G839" s="42"/>
      <c r="H839" s="42"/>
      <c r="I839" s="42"/>
      <c r="J839" s="42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</row>
    <row r="840" spans="1:28" ht="15" x14ac:dyDescent="0.35">
      <c r="A840" s="41"/>
      <c r="B840" s="41"/>
      <c r="C840" s="41"/>
      <c r="D840" s="47"/>
      <c r="E840" s="42"/>
      <c r="F840" s="42"/>
      <c r="G840" s="42"/>
      <c r="H840" s="42"/>
      <c r="I840" s="42"/>
      <c r="J840" s="42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</row>
    <row r="841" spans="1:28" ht="15" x14ac:dyDescent="0.35">
      <c r="A841" s="41"/>
      <c r="B841" s="41"/>
      <c r="C841" s="41"/>
      <c r="D841" s="47"/>
      <c r="E841" s="42"/>
      <c r="F841" s="42"/>
      <c r="G841" s="42"/>
      <c r="H841" s="42"/>
      <c r="I841" s="42"/>
      <c r="J841" s="42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</row>
    <row r="842" spans="1:28" ht="15" x14ac:dyDescent="0.35">
      <c r="A842" s="41"/>
      <c r="B842" s="41"/>
      <c r="C842" s="41"/>
      <c r="D842" s="47"/>
      <c r="E842" s="42"/>
      <c r="F842" s="42"/>
      <c r="G842" s="42"/>
      <c r="H842" s="42"/>
      <c r="I842" s="42"/>
      <c r="J842" s="42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</row>
    <row r="843" spans="1:28" ht="15" x14ac:dyDescent="0.35">
      <c r="A843" s="41"/>
      <c r="B843" s="41"/>
      <c r="C843" s="41"/>
      <c r="D843" s="47"/>
      <c r="E843" s="42"/>
      <c r="F843" s="42"/>
      <c r="G843" s="42"/>
      <c r="H843" s="42"/>
      <c r="I843" s="42"/>
      <c r="J843" s="42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</row>
    <row r="844" spans="1:28" ht="15" x14ac:dyDescent="0.35">
      <c r="A844" s="41"/>
      <c r="B844" s="41"/>
      <c r="C844" s="41"/>
      <c r="D844" s="47"/>
      <c r="E844" s="42"/>
      <c r="F844" s="42"/>
      <c r="G844" s="42"/>
      <c r="H844" s="42"/>
      <c r="I844" s="42"/>
      <c r="J844" s="42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</row>
    <row r="845" spans="1:28" ht="15" x14ac:dyDescent="0.35">
      <c r="A845" s="41"/>
      <c r="B845" s="41"/>
      <c r="C845" s="41"/>
      <c r="D845" s="47"/>
      <c r="E845" s="42"/>
      <c r="F845" s="42"/>
      <c r="G845" s="42"/>
      <c r="H845" s="42"/>
      <c r="I845" s="42"/>
      <c r="J845" s="42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</row>
    <row r="846" spans="1:28" ht="15" x14ac:dyDescent="0.35">
      <c r="A846" s="41"/>
      <c r="B846" s="41"/>
      <c r="C846" s="41"/>
      <c r="D846" s="47"/>
      <c r="E846" s="42"/>
      <c r="F846" s="42"/>
      <c r="G846" s="42"/>
      <c r="H846" s="42"/>
      <c r="I846" s="42"/>
      <c r="J846" s="42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</row>
    <row r="847" spans="1:28" ht="15" x14ac:dyDescent="0.35">
      <c r="A847" s="41"/>
      <c r="B847" s="41"/>
      <c r="C847" s="41"/>
      <c r="D847" s="47"/>
      <c r="E847" s="42"/>
      <c r="F847" s="42"/>
      <c r="G847" s="42"/>
      <c r="H847" s="42"/>
      <c r="I847" s="42"/>
      <c r="J847" s="42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</row>
    <row r="848" spans="1:28" ht="15" x14ac:dyDescent="0.35">
      <c r="A848" s="41"/>
      <c r="B848" s="41"/>
      <c r="C848" s="41"/>
      <c r="D848" s="47"/>
      <c r="E848" s="42"/>
      <c r="F848" s="42"/>
      <c r="G848" s="42"/>
      <c r="H848" s="42"/>
      <c r="I848" s="42"/>
      <c r="J848" s="42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</row>
    <row r="849" spans="1:28" ht="15" x14ac:dyDescent="0.35">
      <c r="A849" s="41"/>
      <c r="B849" s="41"/>
      <c r="C849" s="41"/>
      <c r="D849" s="47"/>
      <c r="E849" s="42"/>
      <c r="F849" s="42"/>
      <c r="G849" s="42"/>
      <c r="H849" s="42"/>
      <c r="I849" s="42"/>
      <c r="J849" s="42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</row>
    <row r="850" spans="1:28" ht="15" x14ac:dyDescent="0.35">
      <c r="A850" s="41"/>
      <c r="B850" s="41"/>
      <c r="C850" s="41"/>
      <c r="D850" s="47"/>
      <c r="E850" s="42"/>
      <c r="F850" s="42"/>
      <c r="G850" s="42"/>
      <c r="H850" s="42"/>
      <c r="I850" s="42"/>
      <c r="J850" s="42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</row>
    <row r="851" spans="1:28" ht="15" x14ac:dyDescent="0.35">
      <c r="A851" s="41"/>
      <c r="B851" s="41"/>
      <c r="C851" s="41"/>
      <c r="D851" s="47"/>
      <c r="E851" s="42"/>
      <c r="F851" s="42"/>
      <c r="G851" s="42"/>
      <c r="H851" s="42"/>
      <c r="I851" s="42"/>
      <c r="J851" s="42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</row>
    <row r="852" spans="1:28" ht="15" x14ac:dyDescent="0.35">
      <c r="A852" s="41"/>
      <c r="B852" s="41"/>
      <c r="C852" s="41"/>
      <c r="D852" s="47"/>
      <c r="E852" s="42"/>
      <c r="F852" s="42"/>
      <c r="G852" s="42"/>
      <c r="H852" s="42"/>
      <c r="I852" s="42"/>
      <c r="J852" s="42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</row>
    <row r="853" spans="1:28" ht="15" x14ac:dyDescent="0.35">
      <c r="A853" s="41"/>
      <c r="B853" s="41"/>
      <c r="C853" s="41"/>
      <c r="D853" s="47"/>
      <c r="E853" s="42"/>
      <c r="F853" s="42"/>
      <c r="G853" s="42"/>
      <c r="H853" s="42"/>
      <c r="I853" s="42"/>
      <c r="J853" s="42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</row>
    <row r="854" spans="1:28" ht="15" x14ac:dyDescent="0.35">
      <c r="A854" s="41"/>
      <c r="B854" s="41"/>
      <c r="C854" s="41"/>
      <c r="D854" s="47"/>
      <c r="E854" s="42"/>
      <c r="F854" s="42"/>
      <c r="G854" s="42"/>
      <c r="H854" s="42"/>
      <c r="I854" s="42"/>
      <c r="J854" s="42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</row>
    <row r="855" spans="1:28" ht="15" x14ac:dyDescent="0.35">
      <c r="A855" s="41"/>
      <c r="B855" s="41"/>
      <c r="C855" s="41"/>
      <c r="D855" s="47"/>
      <c r="E855" s="42"/>
      <c r="F855" s="42"/>
      <c r="G855" s="42"/>
      <c r="H855" s="42"/>
      <c r="I855" s="42"/>
      <c r="J855" s="42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</row>
    <row r="856" spans="1:28" ht="15" x14ac:dyDescent="0.35">
      <c r="A856" s="41"/>
      <c r="B856" s="41"/>
      <c r="C856" s="41"/>
      <c r="D856" s="47"/>
      <c r="E856" s="42"/>
      <c r="F856" s="42"/>
      <c r="G856" s="42"/>
      <c r="H856" s="42"/>
      <c r="I856" s="42"/>
      <c r="J856" s="42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</row>
    <row r="857" spans="1:28" ht="15" x14ac:dyDescent="0.35">
      <c r="A857" s="41"/>
      <c r="B857" s="41"/>
      <c r="C857" s="41"/>
      <c r="D857" s="47"/>
      <c r="E857" s="42"/>
      <c r="F857" s="42"/>
      <c r="G857" s="42"/>
      <c r="H857" s="42"/>
      <c r="I857" s="42"/>
      <c r="J857" s="42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</row>
    <row r="858" spans="1:28" ht="15" x14ac:dyDescent="0.35">
      <c r="A858" s="41"/>
      <c r="B858" s="41"/>
      <c r="C858" s="41"/>
      <c r="D858" s="47"/>
      <c r="E858" s="42"/>
      <c r="F858" s="42"/>
      <c r="G858" s="42"/>
      <c r="H858" s="42"/>
      <c r="I858" s="42"/>
      <c r="J858" s="42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</row>
    <row r="859" spans="1:28" ht="15" x14ac:dyDescent="0.35">
      <c r="A859" s="41"/>
      <c r="B859" s="41"/>
      <c r="C859" s="41"/>
      <c r="D859" s="47"/>
      <c r="E859" s="42"/>
      <c r="F859" s="42"/>
      <c r="G859" s="42"/>
      <c r="H859" s="42"/>
      <c r="I859" s="42"/>
      <c r="J859" s="42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</row>
    <row r="860" spans="1:28" ht="15" x14ac:dyDescent="0.35">
      <c r="A860" s="41"/>
      <c r="B860" s="41"/>
      <c r="C860" s="41"/>
      <c r="D860" s="47"/>
      <c r="E860" s="42"/>
      <c r="F860" s="42"/>
      <c r="G860" s="42"/>
      <c r="H860" s="42"/>
      <c r="I860" s="42"/>
      <c r="J860" s="42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</row>
    <row r="861" spans="1:28" ht="15" x14ac:dyDescent="0.35">
      <c r="A861" s="41"/>
      <c r="B861" s="41"/>
      <c r="C861" s="41"/>
      <c r="D861" s="47"/>
      <c r="E861" s="42"/>
      <c r="F861" s="42"/>
      <c r="G861" s="42"/>
      <c r="H861" s="42"/>
      <c r="I861" s="42"/>
      <c r="J861" s="42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</row>
    <row r="862" spans="1:28" ht="15" x14ac:dyDescent="0.35">
      <c r="A862" s="41"/>
      <c r="B862" s="41"/>
      <c r="C862" s="41"/>
      <c r="D862" s="47"/>
      <c r="E862" s="42"/>
      <c r="F862" s="42"/>
      <c r="G862" s="42"/>
      <c r="H862" s="42"/>
      <c r="I862" s="42"/>
      <c r="J862" s="42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</row>
    <row r="863" spans="1:28" ht="15" x14ac:dyDescent="0.35">
      <c r="A863" s="41"/>
      <c r="B863" s="41"/>
      <c r="C863" s="41"/>
      <c r="D863" s="47"/>
      <c r="E863" s="42"/>
      <c r="F863" s="42"/>
      <c r="G863" s="42"/>
      <c r="H863" s="42"/>
      <c r="I863" s="42"/>
      <c r="J863" s="42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</row>
    <row r="864" spans="1:28" ht="15" x14ac:dyDescent="0.35">
      <c r="A864" s="41"/>
      <c r="B864" s="41"/>
      <c r="C864" s="41"/>
      <c r="D864" s="47"/>
      <c r="E864" s="42"/>
      <c r="F864" s="42"/>
      <c r="G864" s="42"/>
      <c r="H864" s="42"/>
      <c r="I864" s="42"/>
      <c r="J864" s="42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</row>
    <row r="865" spans="1:28" ht="15" x14ac:dyDescent="0.35">
      <c r="A865" s="41"/>
      <c r="B865" s="41"/>
      <c r="C865" s="41"/>
      <c r="D865" s="47"/>
      <c r="E865" s="42"/>
      <c r="F865" s="42"/>
      <c r="G865" s="42"/>
      <c r="H865" s="42"/>
      <c r="I865" s="42"/>
      <c r="J865" s="42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</row>
    <row r="866" spans="1:28" ht="15" x14ac:dyDescent="0.35">
      <c r="A866" s="41"/>
      <c r="B866" s="41"/>
      <c r="C866" s="41"/>
      <c r="D866" s="47"/>
      <c r="E866" s="42"/>
      <c r="F866" s="42"/>
      <c r="G866" s="42"/>
      <c r="H866" s="42"/>
      <c r="I866" s="42"/>
      <c r="J866" s="42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</row>
    <row r="867" spans="1:28" ht="15" x14ac:dyDescent="0.35">
      <c r="A867" s="41"/>
      <c r="B867" s="41"/>
      <c r="C867" s="41"/>
      <c r="D867" s="47"/>
      <c r="E867" s="42"/>
      <c r="F867" s="42"/>
      <c r="G867" s="42"/>
      <c r="H867" s="42"/>
      <c r="I867" s="42"/>
      <c r="J867" s="42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</row>
    <row r="868" spans="1:28" ht="15" x14ac:dyDescent="0.35">
      <c r="A868" s="41"/>
      <c r="B868" s="41"/>
      <c r="C868" s="41"/>
      <c r="D868" s="47"/>
      <c r="E868" s="42"/>
      <c r="F868" s="42"/>
      <c r="G868" s="42"/>
      <c r="H868" s="42"/>
      <c r="I868" s="42"/>
      <c r="J868" s="42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</row>
    <row r="869" spans="1:28" ht="15" x14ac:dyDescent="0.35">
      <c r="A869" s="41"/>
      <c r="B869" s="41"/>
      <c r="C869" s="41"/>
      <c r="D869" s="47"/>
      <c r="E869" s="42"/>
      <c r="F869" s="42"/>
      <c r="G869" s="42"/>
      <c r="H869" s="42"/>
      <c r="I869" s="42"/>
      <c r="J869" s="42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</row>
    <row r="870" spans="1:28" ht="15" x14ac:dyDescent="0.35">
      <c r="A870" s="41"/>
      <c r="B870" s="41"/>
      <c r="C870" s="41"/>
      <c r="D870" s="47"/>
      <c r="E870" s="42"/>
      <c r="F870" s="42"/>
      <c r="G870" s="42"/>
      <c r="H870" s="42"/>
      <c r="I870" s="42"/>
      <c r="J870" s="42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</row>
    <row r="871" spans="1:28" ht="15" x14ac:dyDescent="0.35">
      <c r="A871" s="41"/>
      <c r="B871" s="41"/>
      <c r="C871" s="41"/>
      <c r="D871" s="47"/>
      <c r="E871" s="42"/>
      <c r="F871" s="42"/>
      <c r="G871" s="42"/>
      <c r="H871" s="42"/>
      <c r="I871" s="42"/>
      <c r="J871" s="42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</row>
    <row r="872" spans="1:28" ht="15" x14ac:dyDescent="0.35">
      <c r="A872" s="41"/>
      <c r="B872" s="41"/>
      <c r="C872" s="41"/>
      <c r="D872" s="47"/>
      <c r="E872" s="42"/>
      <c r="F872" s="42"/>
      <c r="G872" s="42"/>
      <c r="H872" s="42"/>
      <c r="I872" s="42"/>
      <c r="J872" s="42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</row>
    <row r="873" spans="1:28" ht="15" x14ac:dyDescent="0.35">
      <c r="A873" s="41"/>
      <c r="B873" s="41"/>
      <c r="C873" s="41"/>
      <c r="D873" s="47"/>
      <c r="E873" s="42"/>
      <c r="F873" s="42"/>
      <c r="G873" s="42"/>
      <c r="H873" s="42"/>
      <c r="I873" s="42"/>
      <c r="J873" s="42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</row>
    <row r="874" spans="1:28" ht="15" x14ac:dyDescent="0.35">
      <c r="A874" s="41"/>
      <c r="B874" s="41"/>
      <c r="C874" s="41"/>
      <c r="D874" s="47"/>
      <c r="E874" s="42"/>
      <c r="F874" s="42"/>
      <c r="G874" s="42"/>
      <c r="H874" s="42"/>
      <c r="I874" s="42"/>
      <c r="J874" s="42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</row>
    <row r="875" spans="1:28" ht="15" x14ac:dyDescent="0.35">
      <c r="A875" s="41"/>
      <c r="B875" s="41"/>
      <c r="C875" s="41"/>
      <c r="D875" s="47"/>
      <c r="E875" s="42"/>
      <c r="F875" s="42"/>
      <c r="G875" s="42"/>
      <c r="H875" s="42"/>
      <c r="I875" s="42"/>
      <c r="J875" s="42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</row>
    <row r="876" spans="1:28" ht="15" x14ac:dyDescent="0.35">
      <c r="A876" s="41"/>
      <c r="B876" s="41"/>
      <c r="C876" s="41"/>
      <c r="D876" s="47"/>
      <c r="E876" s="42"/>
      <c r="F876" s="42"/>
      <c r="G876" s="42"/>
      <c r="H876" s="42"/>
      <c r="I876" s="42"/>
      <c r="J876" s="42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</row>
    <row r="877" spans="1:28" ht="15" x14ac:dyDescent="0.35">
      <c r="A877" s="41"/>
      <c r="B877" s="41"/>
      <c r="C877" s="41"/>
      <c r="D877" s="47"/>
      <c r="E877" s="42"/>
      <c r="F877" s="42"/>
      <c r="G877" s="42"/>
      <c r="H877" s="42"/>
      <c r="I877" s="42"/>
      <c r="J877" s="42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</row>
    <row r="878" spans="1:28" ht="15" x14ac:dyDescent="0.35">
      <c r="A878" s="41"/>
      <c r="B878" s="41"/>
      <c r="C878" s="41"/>
      <c r="D878" s="47"/>
      <c r="E878" s="42"/>
      <c r="F878" s="42"/>
      <c r="G878" s="42"/>
      <c r="H878" s="42"/>
      <c r="I878" s="42"/>
      <c r="J878" s="42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</row>
    <row r="879" spans="1:28" ht="15" x14ac:dyDescent="0.35">
      <c r="A879" s="41"/>
      <c r="B879" s="41"/>
      <c r="C879" s="41"/>
      <c r="D879" s="47"/>
      <c r="E879" s="42"/>
      <c r="F879" s="42"/>
      <c r="G879" s="42"/>
      <c r="H879" s="42"/>
      <c r="I879" s="42"/>
      <c r="J879" s="42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</row>
    <row r="880" spans="1:28" ht="15" x14ac:dyDescent="0.35">
      <c r="A880" s="41"/>
      <c r="B880" s="41"/>
      <c r="C880" s="41"/>
      <c r="D880" s="47"/>
      <c r="E880" s="42"/>
      <c r="F880" s="42"/>
      <c r="G880" s="42"/>
      <c r="H880" s="42"/>
      <c r="I880" s="42"/>
      <c r="J880" s="42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</row>
    <row r="881" spans="1:28" ht="15" x14ac:dyDescent="0.35">
      <c r="A881" s="41"/>
      <c r="B881" s="41"/>
      <c r="C881" s="41"/>
      <c r="D881" s="47"/>
      <c r="E881" s="42"/>
      <c r="F881" s="42"/>
      <c r="G881" s="42"/>
      <c r="H881" s="42"/>
      <c r="I881" s="42"/>
      <c r="J881" s="42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</row>
    <row r="882" spans="1:28" ht="15" x14ac:dyDescent="0.35">
      <c r="A882" s="41"/>
      <c r="B882" s="41"/>
      <c r="C882" s="41"/>
      <c r="D882" s="47"/>
      <c r="E882" s="42"/>
      <c r="F882" s="42"/>
      <c r="G882" s="42"/>
      <c r="H882" s="42"/>
      <c r="I882" s="42"/>
      <c r="J882" s="42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</row>
    <row r="883" spans="1:28" ht="15" x14ac:dyDescent="0.35">
      <c r="A883" s="41"/>
      <c r="B883" s="41"/>
      <c r="C883" s="41"/>
      <c r="D883" s="47"/>
      <c r="E883" s="42"/>
      <c r="F883" s="42"/>
      <c r="G883" s="42"/>
      <c r="H883" s="42"/>
      <c r="I883" s="42"/>
      <c r="J883" s="42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</row>
    <row r="884" spans="1:28" ht="15" x14ac:dyDescent="0.35">
      <c r="A884" s="41"/>
      <c r="B884" s="41"/>
      <c r="C884" s="41"/>
      <c r="D884" s="47"/>
      <c r="E884" s="42"/>
      <c r="F884" s="42"/>
      <c r="G884" s="42"/>
      <c r="H884" s="42"/>
      <c r="I884" s="42"/>
      <c r="J884" s="42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</row>
    <row r="885" spans="1:28" ht="15" x14ac:dyDescent="0.35">
      <c r="A885" s="41"/>
      <c r="B885" s="41"/>
      <c r="C885" s="41"/>
      <c r="D885" s="47"/>
      <c r="E885" s="42"/>
      <c r="F885" s="42"/>
      <c r="G885" s="42"/>
      <c r="H885" s="42"/>
      <c r="I885" s="42"/>
      <c r="J885" s="42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</row>
    <row r="886" spans="1:28" ht="15" x14ac:dyDescent="0.35">
      <c r="A886" s="41"/>
      <c r="B886" s="41"/>
      <c r="C886" s="41"/>
      <c r="D886" s="47"/>
      <c r="E886" s="42"/>
      <c r="F886" s="42"/>
      <c r="G886" s="42"/>
      <c r="H886" s="42"/>
      <c r="I886" s="42"/>
      <c r="J886" s="42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</row>
    <row r="887" spans="1:28" ht="15" x14ac:dyDescent="0.35">
      <c r="A887" s="41"/>
      <c r="B887" s="41"/>
      <c r="C887" s="41"/>
      <c r="D887" s="47"/>
      <c r="E887" s="42"/>
      <c r="F887" s="42"/>
      <c r="G887" s="42"/>
      <c r="H887" s="42"/>
      <c r="I887" s="42"/>
      <c r="J887" s="42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</row>
    <row r="888" spans="1:28" ht="15" x14ac:dyDescent="0.35">
      <c r="A888" s="41"/>
      <c r="B888" s="41"/>
      <c r="C888" s="41"/>
      <c r="D888" s="47"/>
      <c r="E888" s="42"/>
      <c r="F888" s="42"/>
      <c r="G888" s="42"/>
      <c r="H888" s="42"/>
      <c r="I888" s="42"/>
      <c r="J888" s="42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</row>
    <row r="889" spans="1:28" ht="15" x14ac:dyDescent="0.35">
      <c r="A889" s="41"/>
      <c r="B889" s="41"/>
      <c r="C889" s="41"/>
      <c r="D889" s="47"/>
      <c r="E889" s="42"/>
      <c r="F889" s="42"/>
      <c r="G889" s="42"/>
      <c r="H889" s="42"/>
      <c r="I889" s="42"/>
      <c r="J889" s="42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</row>
    <row r="890" spans="1:28" ht="15" x14ac:dyDescent="0.35">
      <c r="A890" s="41"/>
      <c r="B890" s="41"/>
      <c r="C890" s="41"/>
      <c r="D890" s="47"/>
      <c r="E890" s="42"/>
      <c r="F890" s="42"/>
      <c r="G890" s="42"/>
      <c r="H890" s="42"/>
      <c r="I890" s="42"/>
      <c r="J890" s="42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</row>
    <row r="891" spans="1:28" ht="15" x14ac:dyDescent="0.35">
      <c r="A891" s="41"/>
      <c r="B891" s="41"/>
      <c r="C891" s="41"/>
      <c r="D891" s="47"/>
      <c r="E891" s="42"/>
      <c r="F891" s="42"/>
      <c r="G891" s="42"/>
      <c r="H891" s="42"/>
      <c r="I891" s="42"/>
      <c r="J891" s="42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</row>
    <row r="892" spans="1:28" ht="15" x14ac:dyDescent="0.35">
      <c r="A892" s="41"/>
      <c r="B892" s="41"/>
      <c r="C892" s="41"/>
      <c r="D892" s="47"/>
      <c r="E892" s="42"/>
      <c r="F892" s="42"/>
      <c r="G892" s="42"/>
      <c r="H892" s="42"/>
      <c r="I892" s="42"/>
      <c r="J892" s="42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</row>
    <row r="893" spans="1:28" ht="15" x14ac:dyDescent="0.35">
      <c r="A893" s="41"/>
      <c r="B893" s="41"/>
      <c r="C893" s="41"/>
      <c r="D893" s="47"/>
      <c r="E893" s="42"/>
      <c r="F893" s="42"/>
      <c r="G893" s="42"/>
      <c r="H893" s="42"/>
      <c r="I893" s="42"/>
      <c r="J893" s="42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</row>
    <row r="894" spans="1:28" ht="15" x14ac:dyDescent="0.35">
      <c r="A894" s="41"/>
      <c r="B894" s="41"/>
      <c r="C894" s="41"/>
      <c r="D894" s="47"/>
      <c r="E894" s="42"/>
      <c r="F894" s="42"/>
      <c r="G894" s="42"/>
      <c r="H894" s="42"/>
      <c r="I894" s="42"/>
      <c r="J894" s="42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</row>
    <row r="895" spans="1:28" ht="15" x14ac:dyDescent="0.35">
      <c r="A895" s="41"/>
      <c r="B895" s="41"/>
      <c r="C895" s="41"/>
      <c r="D895" s="47"/>
      <c r="E895" s="42"/>
      <c r="F895" s="42"/>
      <c r="G895" s="42"/>
      <c r="H895" s="42"/>
      <c r="I895" s="42"/>
      <c r="J895" s="42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</row>
    <row r="896" spans="1:28" ht="15" x14ac:dyDescent="0.35">
      <c r="A896" s="41"/>
      <c r="B896" s="41"/>
      <c r="C896" s="41"/>
      <c r="D896" s="47"/>
      <c r="E896" s="42"/>
      <c r="F896" s="42"/>
      <c r="G896" s="42"/>
      <c r="H896" s="42"/>
      <c r="I896" s="42"/>
      <c r="J896" s="42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</row>
    <row r="897" spans="1:28" ht="15" x14ac:dyDescent="0.35">
      <c r="A897" s="41"/>
      <c r="B897" s="41"/>
      <c r="C897" s="41"/>
      <c r="D897" s="47"/>
      <c r="E897" s="42"/>
      <c r="F897" s="42"/>
      <c r="G897" s="42"/>
      <c r="H897" s="42"/>
      <c r="I897" s="42"/>
      <c r="J897" s="42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</row>
    <row r="898" spans="1:28" ht="15" x14ac:dyDescent="0.35">
      <c r="A898" s="41"/>
      <c r="B898" s="41"/>
      <c r="C898" s="41"/>
      <c r="D898" s="47"/>
      <c r="E898" s="42"/>
      <c r="F898" s="42"/>
      <c r="G898" s="42"/>
      <c r="H898" s="42"/>
      <c r="I898" s="42"/>
      <c r="J898" s="42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</row>
    <row r="899" spans="1:28" ht="15" x14ac:dyDescent="0.35">
      <c r="A899" s="41"/>
      <c r="B899" s="41"/>
      <c r="C899" s="41"/>
      <c r="D899" s="47"/>
      <c r="E899" s="42"/>
      <c r="F899" s="42"/>
      <c r="G899" s="42"/>
      <c r="H899" s="42"/>
      <c r="I899" s="42"/>
      <c r="J899" s="42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</row>
    <row r="900" spans="1:28" ht="15" x14ac:dyDescent="0.35">
      <c r="A900" s="41"/>
      <c r="B900" s="41"/>
      <c r="C900" s="41"/>
      <c r="D900" s="47"/>
      <c r="E900" s="42"/>
      <c r="F900" s="42"/>
      <c r="G900" s="42"/>
      <c r="H900" s="42"/>
      <c r="I900" s="42"/>
      <c r="J900" s="42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</row>
    <row r="901" spans="1:28" ht="15" x14ac:dyDescent="0.35">
      <c r="A901" s="41"/>
      <c r="B901" s="41"/>
      <c r="C901" s="41"/>
      <c r="D901" s="47"/>
      <c r="E901" s="42"/>
      <c r="F901" s="42"/>
      <c r="G901" s="42"/>
      <c r="H901" s="42"/>
      <c r="I901" s="42"/>
      <c r="J901" s="42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</row>
    <row r="902" spans="1:28" ht="15" x14ac:dyDescent="0.35">
      <c r="A902" s="41"/>
      <c r="B902" s="41"/>
      <c r="C902" s="41"/>
      <c r="D902" s="47"/>
      <c r="E902" s="42"/>
      <c r="F902" s="42"/>
      <c r="G902" s="42"/>
      <c r="H902" s="42"/>
      <c r="I902" s="42"/>
      <c r="J902" s="42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</row>
    <row r="903" spans="1:28" ht="15" x14ac:dyDescent="0.35">
      <c r="A903" s="41"/>
      <c r="B903" s="41"/>
      <c r="C903" s="41"/>
      <c r="D903" s="47"/>
      <c r="E903" s="42"/>
      <c r="F903" s="42"/>
      <c r="G903" s="42"/>
      <c r="H903" s="42"/>
      <c r="I903" s="42"/>
      <c r="J903" s="42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</row>
    <row r="904" spans="1:28" ht="15" x14ac:dyDescent="0.35">
      <c r="A904" s="41"/>
      <c r="B904" s="41"/>
      <c r="C904" s="41"/>
      <c r="D904" s="47"/>
      <c r="E904" s="42"/>
      <c r="F904" s="42"/>
      <c r="G904" s="42"/>
      <c r="H904" s="42"/>
      <c r="I904" s="42"/>
      <c r="J904" s="42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</row>
    <row r="905" spans="1:28" ht="15" x14ac:dyDescent="0.35">
      <c r="A905" s="41"/>
      <c r="B905" s="41"/>
      <c r="C905" s="41"/>
      <c r="D905" s="47"/>
      <c r="E905" s="42"/>
      <c r="F905" s="42"/>
      <c r="G905" s="42"/>
      <c r="H905" s="42"/>
      <c r="I905" s="42"/>
      <c r="J905" s="42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</row>
    <row r="906" spans="1:28" ht="15" x14ac:dyDescent="0.35">
      <c r="A906" s="41"/>
      <c r="B906" s="41"/>
      <c r="C906" s="41"/>
      <c r="D906" s="47"/>
      <c r="E906" s="42"/>
      <c r="F906" s="42"/>
      <c r="G906" s="42"/>
      <c r="H906" s="42"/>
      <c r="I906" s="42"/>
      <c r="J906" s="42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</row>
    <row r="907" spans="1:28" ht="15" x14ac:dyDescent="0.35">
      <c r="A907" s="41"/>
      <c r="B907" s="41"/>
      <c r="C907" s="41"/>
      <c r="D907" s="47"/>
      <c r="E907" s="42"/>
      <c r="F907" s="42"/>
      <c r="G907" s="42"/>
      <c r="H907" s="42"/>
      <c r="I907" s="42"/>
      <c r="J907" s="42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</row>
    <row r="908" spans="1:28" ht="15" x14ac:dyDescent="0.35">
      <c r="A908" s="41"/>
      <c r="B908" s="41"/>
      <c r="C908" s="41"/>
      <c r="D908" s="47"/>
      <c r="E908" s="42"/>
      <c r="F908" s="42"/>
      <c r="G908" s="42"/>
      <c r="H908" s="42"/>
      <c r="I908" s="42"/>
      <c r="J908" s="42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</row>
    <row r="909" spans="1:28" ht="15" x14ac:dyDescent="0.35">
      <c r="A909" s="41"/>
      <c r="B909" s="41"/>
      <c r="C909" s="41"/>
      <c r="D909" s="47"/>
      <c r="E909" s="42"/>
      <c r="F909" s="42"/>
      <c r="G909" s="42"/>
      <c r="H909" s="42"/>
      <c r="I909" s="42"/>
      <c r="J909" s="42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</row>
    <row r="910" spans="1:28" ht="15" x14ac:dyDescent="0.35">
      <c r="A910" s="41"/>
      <c r="B910" s="41"/>
      <c r="C910" s="41"/>
      <c r="D910" s="47"/>
      <c r="E910" s="42"/>
      <c r="F910" s="42"/>
      <c r="G910" s="42"/>
      <c r="H910" s="42"/>
      <c r="I910" s="42"/>
      <c r="J910" s="42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</row>
    <row r="911" spans="1:28" ht="15" x14ac:dyDescent="0.35">
      <c r="A911" s="41"/>
      <c r="B911" s="41"/>
      <c r="C911" s="41"/>
      <c r="D911" s="47"/>
      <c r="E911" s="42"/>
      <c r="F911" s="42"/>
      <c r="G911" s="42"/>
      <c r="H911" s="42"/>
      <c r="I911" s="42"/>
      <c r="J911" s="42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</row>
    <row r="912" spans="1:28" ht="15" x14ac:dyDescent="0.35">
      <c r="A912" s="41"/>
      <c r="B912" s="41"/>
      <c r="C912" s="41"/>
      <c r="D912" s="47"/>
      <c r="E912" s="42"/>
      <c r="F912" s="42"/>
      <c r="G912" s="42"/>
      <c r="H912" s="42"/>
      <c r="I912" s="42"/>
      <c r="J912" s="42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</row>
    <row r="913" spans="1:28" ht="15" x14ac:dyDescent="0.35">
      <c r="A913" s="41"/>
      <c r="B913" s="41"/>
      <c r="C913" s="41"/>
      <c r="D913" s="47"/>
      <c r="E913" s="42"/>
      <c r="F913" s="42"/>
      <c r="G913" s="42"/>
      <c r="H913" s="42"/>
      <c r="I913" s="42"/>
      <c r="J913" s="42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</row>
    <row r="914" spans="1:28" ht="15" x14ac:dyDescent="0.35">
      <c r="A914" s="41"/>
      <c r="B914" s="41"/>
      <c r="C914" s="41"/>
      <c r="D914" s="47"/>
      <c r="E914" s="42"/>
      <c r="F914" s="42"/>
      <c r="G914" s="42"/>
      <c r="H914" s="42"/>
      <c r="I914" s="42"/>
      <c r="J914" s="42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</row>
    <row r="915" spans="1:28" ht="15" x14ac:dyDescent="0.35">
      <c r="A915" s="41"/>
      <c r="B915" s="41"/>
      <c r="C915" s="41"/>
      <c r="D915" s="47"/>
      <c r="E915" s="42"/>
      <c r="F915" s="42"/>
      <c r="G915" s="42"/>
      <c r="H915" s="42"/>
      <c r="I915" s="42"/>
      <c r="J915" s="42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</row>
    <row r="916" spans="1:28" ht="15" x14ac:dyDescent="0.35">
      <c r="A916" s="41"/>
      <c r="B916" s="41"/>
      <c r="C916" s="41"/>
      <c r="D916" s="47"/>
      <c r="E916" s="42"/>
      <c r="F916" s="42"/>
      <c r="G916" s="42"/>
      <c r="H916" s="42"/>
      <c r="I916" s="42"/>
      <c r="J916" s="42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</row>
    <row r="917" spans="1:28" ht="15" x14ac:dyDescent="0.35">
      <c r="A917" s="41"/>
      <c r="B917" s="41"/>
      <c r="C917" s="41"/>
      <c r="D917" s="47"/>
      <c r="E917" s="42"/>
      <c r="F917" s="42"/>
      <c r="G917" s="42"/>
      <c r="H917" s="42"/>
      <c r="I917" s="42"/>
      <c r="J917" s="42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</row>
    <row r="918" spans="1:28" ht="15" x14ac:dyDescent="0.35">
      <c r="A918" s="41"/>
      <c r="B918" s="41"/>
      <c r="C918" s="41"/>
      <c r="D918" s="47"/>
      <c r="E918" s="42"/>
      <c r="F918" s="42"/>
      <c r="G918" s="42"/>
      <c r="H918" s="42"/>
      <c r="I918" s="42"/>
      <c r="J918" s="42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</row>
    <row r="919" spans="1:28" ht="15" x14ac:dyDescent="0.35">
      <c r="A919" s="41"/>
      <c r="B919" s="41"/>
      <c r="C919" s="41"/>
      <c r="D919" s="47"/>
      <c r="E919" s="42"/>
      <c r="F919" s="42"/>
      <c r="G919" s="42"/>
      <c r="H919" s="42"/>
      <c r="I919" s="42"/>
      <c r="J919" s="42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</row>
    <row r="920" spans="1:28" ht="15" x14ac:dyDescent="0.35">
      <c r="A920" s="41"/>
      <c r="B920" s="41"/>
      <c r="C920" s="41"/>
      <c r="D920" s="47"/>
      <c r="E920" s="42"/>
      <c r="F920" s="42"/>
      <c r="G920" s="42"/>
      <c r="H920" s="42"/>
      <c r="I920" s="42"/>
      <c r="J920" s="42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</row>
    <row r="921" spans="1:28" ht="15" x14ac:dyDescent="0.35">
      <c r="A921" s="41"/>
      <c r="B921" s="41"/>
      <c r="C921" s="41"/>
      <c r="D921" s="47"/>
      <c r="E921" s="42"/>
      <c r="F921" s="42"/>
      <c r="G921" s="42"/>
      <c r="H921" s="42"/>
      <c r="I921" s="42"/>
      <c r="J921" s="42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</row>
    <row r="922" spans="1:28" ht="15" x14ac:dyDescent="0.35">
      <c r="A922" s="41"/>
      <c r="B922" s="41"/>
      <c r="C922" s="41"/>
      <c r="D922" s="47"/>
      <c r="E922" s="42"/>
      <c r="F922" s="42"/>
      <c r="G922" s="42"/>
      <c r="H922" s="42"/>
      <c r="I922" s="42"/>
      <c r="J922" s="42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</row>
    <row r="923" spans="1:28" ht="15" x14ac:dyDescent="0.35">
      <c r="A923" s="41"/>
      <c r="B923" s="41"/>
      <c r="C923" s="41"/>
      <c r="D923" s="47"/>
      <c r="E923" s="42"/>
      <c r="F923" s="42"/>
      <c r="G923" s="42"/>
      <c r="H923" s="42"/>
      <c r="I923" s="42"/>
      <c r="J923" s="42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</row>
    <row r="924" spans="1:28" ht="15" x14ac:dyDescent="0.35">
      <c r="A924" s="41"/>
      <c r="B924" s="41"/>
      <c r="C924" s="41"/>
      <c r="D924" s="47"/>
      <c r="E924" s="42"/>
      <c r="F924" s="42"/>
      <c r="G924" s="42"/>
      <c r="H924" s="42"/>
      <c r="I924" s="42"/>
      <c r="J924" s="42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</row>
    <row r="925" spans="1:28" ht="15" x14ac:dyDescent="0.35">
      <c r="A925" s="41"/>
      <c r="B925" s="41"/>
      <c r="C925" s="41"/>
      <c r="D925" s="47"/>
      <c r="E925" s="42"/>
      <c r="F925" s="42"/>
      <c r="G925" s="42"/>
      <c r="H925" s="42"/>
      <c r="I925" s="42"/>
      <c r="J925" s="42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</row>
    <row r="926" spans="1:28" ht="15" x14ac:dyDescent="0.35">
      <c r="A926" s="41"/>
      <c r="B926" s="41"/>
      <c r="C926" s="41"/>
      <c r="D926" s="47"/>
      <c r="E926" s="42"/>
      <c r="F926" s="42"/>
      <c r="G926" s="42"/>
      <c r="H926" s="42"/>
      <c r="I926" s="42"/>
      <c r="J926" s="42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</row>
    <row r="927" spans="1:28" ht="15" x14ac:dyDescent="0.35">
      <c r="A927" s="41"/>
      <c r="B927" s="41"/>
      <c r="C927" s="41"/>
      <c r="D927" s="47"/>
      <c r="E927" s="42"/>
      <c r="F927" s="42"/>
      <c r="G927" s="42"/>
      <c r="H927" s="42"/>
      <c r="I927" s="42"/>
      <c r="J927" s="42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</row>
    <row r="928" spans="1:28" ht="15" x14ac:dyDescent="0.35">
      <c r="A928" s="41"/>
      <c r="B928" s="41"/>
      <c r="C928" s="41"/>
      <c r="D928" s="47"/>
      <c r="E928" s="42"/>
      <c r="F928" s="42"/>
      <c r="G928" s="42"/>
      <c r="H928" s="42"/>
      <c r="I928" s="42"/>
      <c r="J928" s="42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</row>
    <row r="929" spans="1:28" ht="15" x14ac:dyDescent="0.35">
      <c r="A929" s="41"/>
      <c r="B929" s="41"/>
      <c r="C929" s="41"/>
      <c r="D929" s="47"/>
      <c r="E929" s="42"/>
      <c r="F929" s="42"/>
      <c r="G929" s="42"/>
      <c r="H929" s="42"/>
      <c r="I929" s="42"/>
      <c r="J929" s="42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</row>
    <row r="930" spans="1:28" ht="15" x14ac:dyDescent="0.35">
      <c r="A930" s="41"/>
      <c r="B930" s="41"/>
      <c r="C930" s="41"/>
      <c r="D930" s="47"/>
      <c r="E930" s="42"/>
      <c r="F930" s="42"/>
      <c r="G930" s="42"/>
      <c r="H930" s="42"/>
      <c r="I930" s="42"/>
      <c r="J930" s="42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</row>
    <row r="931" spans="1:28" ht="15" x14ac:dyDescent="0.35">
      <c r="A931" s="41"/>
      <c r="B931" s="41"/>
      <c r="C931" s="41"/>
      <c r="D931" s="47"/>
      <c r="E931" s="42"/>
      <c r="F931" s="42"/>
      <c r="G931" s="42"/>
      <c r="H931" s="42"/>
      <c r="I931" s="42"/>
      <c r="J931" s="42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</row>
    <row r="932" spans="1:28" ht="15" x14ac:dyDescent="0.35">
      <c r="A932" s="41"/>
      <c r="B932" s="41"/>
      <c r="C932" s="41"/>
      <c r="D932" s="47"/>
      <c r="E932" s="42"/>
      <c r="F932" s="42"/>
      <c r="G932" s="42"/>
      <c r="H932" s="42"/>
      <c r="I932" s="42"/>
      <c r="J932" s="42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</row>
    <row r="933" spans="1:28" ht="15" x14ac:dyDescent="0.35">
      <c r="A933" s="41"/>
      <c r="B933" s="41"/>
      <c r="C933" s="41"/>
      <c r="D933" s="47"/>
      <c r="E933" s="42"/>
      <c r="F933" s="42"/>
      <c r="G933" s="42"/>
      <c r="H933" s="42"/>
      <c r="I933" s="42"/>
      <c r="J933" s="42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</row>
    <row r="934" spans="1:28" ht="15" x14ac:dyDescent="0.35">
      <c r="A934" s="41"/>
      <c r="B934" s="41"/>
      <c r="C934" s="41"/>
      <c r="D934" s="47"/>
      <c r="E934" s="42"/>
      <c r="F934" s="42"/>
      <c r="G934" s="42"/>
      <c r="H934" s="42"/>
      <c r="I934" s="42"/>
      <c r="J934" s="42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</row>
    <row r="935" spans="1:28" ht="15" x14ac:dyDescent="0.35">
      <c r="A935" s="41"/>
      <c r="B935" s="41"/>
      <c r="C935" s="41"/>
      <c r="D935" s="47"/>
      <c r="E935" s="42"/>
      <c r="F935" s="42"/>
      <c r="G935" s="42"/>
      <c r="H935" s="42"/>
      <c r="I935" s="42"/>
      <c r="J935" s="42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</row>
    <row r="936" spans="1:28" ht="15" x14ac:dyDescent="0.35">
      <c r="A936" s="41"/>
      <c r="B936" s="41"/>
      <c r="C936" s="41"/>
      <c r="D936" s="47"/>
      <c r="E936" s="42"/>
      <c r="F936" s="42"/>
      <c r="G936" s="42"/>
      <c r="H936" s="42"/>
      <c r="I936" s="42"/>
      <c r="J936" s="42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</row>
    <row r="937" spans="1:28" ht="15" x14ac:dyDescent="0.35">
      <c r="A937" s="41"/>
      <c r="B937" s="41"/>
      <c r="C937" s="41"/>
      <c r="D937" s="47"/>
      <c r="E937" s="42"/>
      <c r="F937" s="42"/>
      <c r="G937" s="42"/>
      <c r="H937" s="42"/>
      <c r="I937" s="42"/>
      <c r="J937" s="42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</row>
    <row r="938" spans="1:28" ht="15" x14ac:dyDescent="0.35">
      <c r="A938" s="41"/>
      <c r="B938" s="41"/>
      <c r="C938" s="41"/>
      <c r="D938" s="47"/>
      <c r="E938" s="42"/>
      <c r="F938" s="42"/>
      <c r="G938" s="42"/>
      <c r="H938" s="42"/>
      <c r="I938" s="42"/>
      <c r="J938" s="42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</row>
    <row r="939" spans="1:28" ht="15" x14ac:dyDescent="0.35">
      <c r="A939" s="41"/>
      <c r="B939" s="41"/>
      <c r="C939" s="41"/>
      <c r="D939" s="47"/>
      <c r="E939" s="42"/>
      <c r="F939" s="42"/>
      <c r="G939" s="42"/>
      <c r="H939" s="42"/>
      <c r="I939" s="42"/>
      <c r="J939" s="42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</row>
    <row r="940" spans="1:28" ht="15" x14ac:dyDescent="0.35">
      <c r="A940" s="41"/>
      <c r="B940" s="41"/>
      <c r="C940" s="41"/>
      <c r="D940" s="47"/>
      <c r="E940" s="42"/>
      <c r="F940" s="42"/>
      <c r="G940" s="42"/>
      <c r="H940" s="42"/>
      <c r="I940" s="42"/>
      <c r="J940" s="42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</row>
    <row r="941" spans="1:28" ht="15" x14ac:dyDescent="0.35">
      <c r="A941" s="41"/>
      <c r="B941" s="41"/>
      <c r="C941" s="41"/>
      <c r="D941" s="47"/>
      <c r="E941" s="42"/>
      <c r="F941" s="42"/>
      <c r="G941" s="42"/>
      <c r="H941" s="42"/>
      <c r="I941" s="42"/>
      <c r="J941" s="42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</row>
    <row r="942" spans="1:28" ht="15" x14ac:dyDescent="0.35">
      <c r="A942" s="41"/>
      <c r="B942" s="41"/>
      <c r="C942" s="41"/>
      <c r="D942" s="47"/>
      <c r="E942" s="42"/>
      <c r="F942" s="42"/>
      <c r="G942" s="42"/>
      <c r="H942" s="42"/>
      <c r="I942" s="42"/>
      <c r="J942" s="42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</row>
    <row r="943" spans="1:28" ht="15" x14ac:dyDescent="0.35">
      <c r="A943" s="41"/>
      <c r="B943" s="41"/>
      <c r="C943" s="41"/>
      <c r="D943" s="47"/>
      <c r="E943" s="42"/>
      <c r="F943" s="42"/>
      <c r="G943" s="42"/>
      <c r="H943" s="42"/>
      <c r="I943" s="42"/>
      <c r="J943" s="42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</row>
    <row r="944" spans="1:28" ht="15" x14ac:dyDescent="0.35">
      <c r="A944" s="41"/>
      <c r="B944" s="41"/>
      <c r="C944" s="41"/>
      <c r="D944" s="47"/>
      <c r="E944" s="42"/>
      <c r="F944" s="42"/>
      <c r="G944" s="42"/>
      <c r="H944" s="42"/>
      <c r="I944" s="42"/>
      <c r="J944" s="42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</row>
    <row r="945" spans="1:28" ht="15" x14ac:dyDescent="0.35">
      <c r="A945" s="41"/>
      <c r="B945" s="41"/>
      <c r="C945" s="41"/>
      <c r="D945" s="47"/>
      <c r="E945" s="42"/>
      <c r="F945" s="42"/>
      <c r="G945" s="42"/>
      <c r="H945" s="42"/>
      <c r="I945" s="42"/>
      <c r="J945" s="42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</row>
    <row r="946" spans="1:28" ht="15" x14ac:dyDescent="0.35">
      <c r="A946" s="41"/>
      <c r="B946" s="41"/>
      <c r="C946" s="41"/>
      <c r="D946" s="47"/>
      <c r="E946" s="42"/>
      <c r="F946" s="42"/>
      <c r="G946" s="42"/>
      <c r="H946" s="42"/>
      <c r="I946" s="42"/>
      <c r="J946" s="42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</row>
    <row r="947" spans="1:28" ht="15" x14ac:dyDescent="0.35">
      <c r="A947" s="41"/>
      <c r="B947" s="41"/>
      <c r="C947" s="41"/>
      <c r="D947" s="47"/>
      <c r="E947" s="42"/>
      <c r="F947" s="42"/>
      <c r="G947" s="42"/>
      <c r="H947" s="42"/>
      <c r="I947" s="42"/>
      <c r="J947" s="42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</row>
    <row r="948" spans="1:28" ht="15" x14ac:dyDescent="0.35">
      <c r="A948" s="41"/>
      <c r="B948" s="41"/>
      <c r="C948" s="41"/>
      <c r="D948" s="47"/>
      <c r="E948" s="42"/>
      <c r="F948" s="42"/>
      <c r="G948" s="42"/>
      <c r="H948" s="42"/>
      <c r="I948" s="42"/>
      <c r="J948" s="42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</row>
    <row r="949" spans="1:28" ht="15" x14ac:dyDescent="0.35">
      <c r="A949" s="41"/>
      <c r="B949" s="41"/>
      <c r="C949" s="41"/>
      <c r="D949" s="47"/>
      <c r="E949" s="42"/>
      <c r="F949" s="42"/>
      <c r="G949" s="42"/>
      <c r="H949" s="42"/>
      <c r="I949" s="42"/>
      <c r="J949" s="42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</row>
    <row r="950" spans="1:28" ht="15" x14ac:dyDescent="0.35">
      <c r="A950" s="41"/>
      <c r="B950" s="41"/>
      <c r="C950" s="41"/>
      <c r="D950" s="47"/>
      <c r="E950" s="42"/>
      <c r="F950" s="42"/>
      <c r="G950" s="42"/>
      <c r="H950" s="42"/>
      <c r="I950" s="42"/>
      <c r="J950" s="42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</row>
    <row r="951" spans="1:28" ht="15" x14ac:dyDescent="0.35">
      <c r="A951" s="41"/>
      <c r="B951" s="41"/>
      <c r="C951" s="41"/>
      <c r="D951" s="47"/>
      <c r="E951" s="42"/>
      <c r="F951" s="42"/>
      <c r="G951" s="42"/>
      <c r="H951" s="42"/>
      <c r="I951" s="42"/>
      <c r="J951" s="42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</row>
    <row r="952" spans="1:28" ht="15" x14ac:dyDescent="0.35">
      <c r="A952" s="41"/>
      <c r="B952" s="41"/>
      <c r="C952" s="41"/>
      <c r="D952" s="47"/>
      <c r="E952" s="42"/>
      <c r="F952" s="42"/>
      <c r="G952" s="42"/>
      <c r="H952" s="42"/>
      <c r="I952" s="42"/>
      <c r="J952" s="42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</row>
    <row r="953" spans="1:28" ht="15" x14ac:dyDescent="0.35">
      <c r="A953" s="41"/>
      <c r="B953" s="41"/>
      <c r="C953" s="41"/>
      <c r="D953" s="47"/>
      <c r="E953" s="42"/>
      <c r="F953" s="42"/>
      <c r="G953" s="42"/>
      <c r="H953" s="42"/>
      <c r="I953" s="42"/>
      <c r="J953" s="42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</row>
    <row r="954" spans="1:28" ht="15" x14ac:dyDescent="0.35">
      <c r="A954" s="41"/>
      <c r="B954" s="41"/>
      <c r="C954" s="41"/>
      <c r="D954" s="47"/>
      <c r="E954" s="42"/>
      <c r="F954" s="42"/>
      <c r="G954" s="42"/>
      <c r="H954" s="42"/>
      <c r="I954" s="42"/>
      <c r="J954" s="42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</row>
    <row r="955" spans="1:28" ht="15" x14ac:dyDescent="0.35">
      <c r="A955" s="41"/>
      <c r="B955" s="41"/>
      <c r="C955" s="41"/>
      <c r="D955" s="47"/>
      <c r="E955" s="42"/>
      <c r="F955" s="42"/>
      <c r="G955" s="42"/>
      <c r="H955" s="42"/>
      <c r="I955" s="42"/>
      <c r="J955" s="42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</row>
    <row r="956" spans="1:28" ht="15" x14ac:dyDescent="0.35">
      <c r="A956" s="41"/>
      <c r="B956" s="41"/>
      <c r="C956" s="41"/>
      <c r="D956" s="47"/>
      <c r="E956" s="42"/>
      <c r="F956" s="42"/>
      <c r="G956" s="42"/>
      <c r="H956" s="42"/>
      <c r="I956" s="42"/>
      <c r="J956" s="42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</row>
    <row r="957" spans="1:28" ht="15" x14ac:dyDescent="0.35">
      <c r="A957" s="41"/>
      <c r="B957" s="41"/>
      <c r="C957" s="41"/>
      <c r="D957" s="47"/>
      <c r="E957" s="42"/>
      <c r="F957" s="42"/>
      <c r="G957" s="42"/>
      <c r="H957" s="42"/>
      <c r="I957" s="42"/>
      <c r="J957" s="42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</row>
    <row r="958" spans="1:28" ht="15" x14ac:dyDescent="0.35">
      <c r="A958" s="41"/>
      <c r="B958" s="41"/>
      <c r="C958" s="41"/>
      <c r="D958" s="47"/>
      <c r="E958" s="42"/>
      <c r="F958" s="42"/>
      <c r="G958" s="42"/>
      <c r="H958" s="42"/>
      <c r="I958" s="42"/>
      <c r="J958" s="42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</row>
    <row r="959" spans="1:28" ht="15" x14ac:dyDescent="0.35">
      <c r="A959" s="41"/>
      <c r="B959" s="41"/>
      <c r="C959" s="41"/>
      <c r="D959" s="47"/>
      <c r="E959" s="42"/>
      <c r="F959" s="42"/>
      <c r="G959" s="42"/>
      <c r="H959" s="42"/>
      <c r="I959" s="42"/>
      <c r="J959" s="42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</row>
    <row r="960" spans="1:28" ht="15" x14ac:dyDescent="0.35">
      <c r="A960" s="41"/>
      <c r="B960" s="41"/>
      <c r="C960" s="41"/>
      <c r="D960" s="47"/>
      <c r="E960" s="42"/>
      <c r="F960" s="42"/>
      <c r="G960" s="42"/>
      <c r="H960" s="42"/>
      <c r="I960" s="42"/>
      <c r="J960" s="42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</row>
    <row r="961" spans="1:28" ht="15" x14ac:dyDescent="0.35">
      <c r="A961" s="41"/>
      <c r="B961" s="41"/>
      <c r="C961" s="41"/>
      <c r="D961" s="47"/>
      <c r="E961" s="42"/>
      <c r="F961" s="42"/>
      <c r="G961" s="42"/>
      <c r="H961" s="42"/>
      <c r="I961" s="42"/>
      <c r="J961" s="42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</row>
    <row r="962" spans="1:28" ht="15" x14ac:dyDescent="0.35">
      <c r="A962" s="41"/>
      <c r="B962" s="41"/>
      <c r="C962" s="41"/>
      <c r="D962" s="47"/>
      <c r="E962" s="42"/>
      <c r="F962" s="42"/>
      <c r="G962" s="42"/>
      <c r="H962" s="42"/>
      <c r="I962" s="42"/>
      <c r="J962" s="42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</row>
    <row r="963" spans="1:28" ht="15" x14ac:dyDescent="0.35">
      <c r="A963" s="41"/>
      <c r="B963" s="41"/>
      <c r="C963" s="41"/>
      <c r="D963" s="47"/>
      <c r="E963" s="42"/>
      <c r="F963" s="42"/>
      <c r="G963" s="42"/>
      <c r="H963" s="42"/>
      <c r="I963" s="42"/>
      <c r="J963" s="42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</row>
    <row r="964" spans="1:28" ht="15" x14ac:dyDescent="0.35">
      <c r="A964" s="41"/>
      <c r="B964" s="41"/>
      <c r="C964" s="41"/>
      <c r="D964" s="47"/>
      <c r="E964" s="42"/>
      <c r="F964" s="42"/>
      <c r="G964" s="42"/>
      <c r="H964" s="42"/>
      <c r="I964" s="42"/>
      <c r="J964" s="42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</row>
    <row r="965" spans="1:28" ht="15" x14ac:dyDescent="0.35">
      <c r="A965" s="41"/>
      <c r="B965" s="41"/>
      <c r="C965" s="41"/>
      <c r="D965" s="47"/>
      <c r="E965" s="42"/>
      <c r="F965" s="42"/>
      <c r="G965" s="42"/>
      <c r="H965" s="42"/>
      <c r="I965" s="42"/>
      <c r="J965" s="42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</row>
    <row r="966" spans="1:28" ht="15" x14ac:dyDescent="0.35">
      <c r="A966" s="41"/>
      <c r="B966" s="41"/>
      <c r="C966" s="41"/>
      <c r="D966" s="47"/>
      <c r="E966" s="42"/>
      <c r="F966" s="42"/>
      <c r="G966" s="42"/>
      <c r="H966" s="42"/>
      <c r="I966" s="42"/>
      <c r="J966" s="42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</row>
    <row r="967" spans="1:28" ht="15" x14ac:dyDescent="0.35">
      <c r="A967" s="41"/>
      <c r="B967" s="41"/>
      <c r="C967" s="41"/>
      <c r="D967" s="47"/>
      <c r="E967" s="42"/>
      <c r="F967" s="42"/>
      <c r="G967" s="42"/>
      <c r="H967" s="42"/>
      <c r="I967" s="42"/>
      <c r="J967" s="42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</row>
    <row r="968" spans="1:28" ht="15" x14ac:dyDescent="0.35">
      <c r="A968" s="41"/>
      <c r="B968" s="41"/>
      <c r="C968" s="41"/>
      <c r="D968" s="47"/>
      <c r="E968" s="42"/>
      <c r="F968" s="42"/>
      <c r="G968" s="42"/>
      <c r="H968" s="42"/>
      <c r="I968" s="42"/>
      <c r="J968" s="42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</row>
    <row r="969" spans="1:28" ht="15" x14ac:dyDescent="0.35">
      <c r="A969" s="41"/>
      <c r="B969" s="41"/>
      <c r="C969" s="41"/>
      <c r="D969" s="47"/>
      <c r="E969" s="42"/>
      <c r="F969" s="42"/>
      <c r="G969" s="42"/>
      <c r="H969" s="42"/>
      <c r="I969" s="42"/>
      <c r="J969" s="42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</row>
    <row r="970" spans="1:28" ht="15" x14ac:dyDescent="0.35">
      <c r="A970" s="41"/>
      <c r="B970" s="41"/>
      <c r="C970" s="41"/>
      <c r="D970" s="47"/>
      <c r="E970" s="42"/>
      <c r="F970" s="42"/>
      <c r="G970" s="42"/>
      <c r="H970" s="42"/>
      <c r="I970" s="42"/>
      <c r="J970" s="42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</row>
    <row r="971" spans="1:28" ht="15" x14ac:dyDescent="0.35">
      <c r="A971" s="41"/>
      <c r="B971" s="41"/>
      <c r="C971" s="41"/>
      <c r="D971" s="47"/>
      <c r="E971" s="42"/>
      <c r="F971" s="42"/>
      <c r="G971" s="42"/>
      <c r="H971" s="42"/>
      <c r="I971" s="42"/>
      <c r="J971" s="42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</row>
    <row r="972" spans="1:28" ht="15" x14ac:dyDescent="0.35">
      <c r="A972" s="41"/>
      <c r="B972" s="41"/>
      <c r="C972" s="41"/>
      <c r="D972" s="47"/>
      <c r="E972" s="42"/>
      <c r="F972" s="42"/>
      <c r="G972" s="42"/>
      <c r="H972" s="42"/>
      <c r="I972" s="42"/>
      <c r="J972" s="42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</row>
    <row r="973" spans="1:28" ht="15" x14ac:dyDescent="0.35">
      <c r="A973" s="41"/>
      <c r="B973" s="41"/>
      <c r="C973" s="41"/>
      <c r="D973" s="47"/>
      <c r="E973" s="42"/>
      <c r="F973" s="42"/>
      <c r="G973" s="42"/>
      <c r="H973" s="42"/>
      <c r="I973" s="42"/>
      <c r="J973" s="42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</row>
    <row r="974" spans="1:28" ht="15" x14ac:dyDescent="0.35">
      <c r="A974" s="41"/>
      <c r="B974" s="41"/>
      <c r="C974" s="41"/>
      <c r="D974" s="47"/>
      <c r="E974" s="42"/>
      <c r="F974" s="42"/>
      <c r="G974" s="42"/>
      <c r="H974" s="42"/>
      <c r="I974" s="42"/>
      <c r="J974" s="42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</row>
    <row r="975" spans="1:28" ht="15" x14ac:dyDescent="0.35">
      <c r="A975" s="41"/>
      <c r="B975" s="41"/>
      <c r="C975" s="41"/>
      <c r="D975" s="47"/>
      <c r="E975" s="42"/>
      <c r="F975" s="42"/>
      <c r="G975" s="42"/>
      <c r="H975" s="42"/>
      <c r="I975" s="42"/>
      <c r="J975" s="42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</row>
    <row r="976" spans="1:28" ht="15" x14ac:dyDescent="0.35">
      <c r="A976" s="41"/>
      <c r="B976" s="41"/>
      <c r="C976" s="41"/>
      <c r="D976" s="47"/>
      <c r="E976" s="42"/>
      <c r="F976" s="42"/>
      <c r="G976" s="42"/>
      <c r="H976" s="42"/>
      <c r="I976" s="42"/>
      <c r="J976" s="42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</row>
    <row r="977" spans="1:28" ht="15" x14ac:dyDescent="0.35">
      <c r="A977" s="41"/>
      <c r="B977" s="41"/>
      <c r="C977" s="41"/>
      <c r="D977" s="47"/>
      <c r="E977" s="42"/>
      <c r="F977" s="42"/>
      <c r="G977" s="42"/>
      <c r="H977" s="42"/>
      <c r="I977" s="42"/>
      <c r="J977" s="42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</row>
    <row r="978" spans="1:28" ht="15" x14ac:dyDescent="0.35">
      <c r="A978" s="41"/>
      <c r="B978" s="41"/>
      <c r="C978" s="41"/>
      <c r="D978" s="47"/>
      <c r="E978" s="42"/>
      <c r="F978" s="42"/>
      <c r="G978" s="42"/>
      <c r="H978" s="42"/>
      <c r="I978" s="42"/>
      <c r="J978" s="42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</row>
    <row r="979" spans="1:28" ht="15" x14ac:dyDescent="0.35">
      <c r="A979" s="41"/>
      <c r="B979" s="41"/>
      <c r="C979" s="41"/>
      <c r="D979" s="47"/>
      <c r="E979" s="42"/>
      <c r="F979" s="42"/>
      <c r="G979" s="42"/>
      <c r="H979" s="42"/>
      <c r="I979" s="42"/>
      <c r="J979" s="42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</row>
    <row r="980" spans="1:28" ht="15" x14ac:dyDescent="0.35">
      <c r="A980" s="41"/>
      <c r="B980" s="41"/>
      <c r="C980" s="41"/>
      <c r="D980" s="47"/>
      <c r="E980" s="42"/>
      <c r="F980" s="42"/>
      <c r="G980" s="42"/>
      <c r="H980" s="42"/>
      <c r="I980" s="42"/>
      <c r="J980" s="42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</row>
    <row r="981" spans="1:28" ht="15" x14ac:dyDescent="0.35">
      <c r="A981" s="41"/>
      <c r="B981" s="41"/>
      <c r="C981" s="41"/>
      <c r="D981" s="47"/>
      <c r="E981" s="42"/>
      <c r="F981" s="42"/>
      <c r="G981" s="42"/>
      <c r="H981" s="42"/>
      <c r="I981" s="42"/>
      <c r="J981" s="42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</row>
    <row r="982" spans="1:28" ht="15" x14ac:dyDescent="0.35">
      <c r="A982" s="41"/>
      <c r="B982" s="41"/>
      <c r="C982" s="41"/>
      <c r="D982" s="47"/>
      <c r="E982" s="42"/>
      <c r="F982" s="42"/>
      <c r="G982" s="42"/>
      <c r="H982" s="42"/>
      <c r="I982" s="42"/>
      <c r="J982" s="42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</row>
    <row r="983" spans="1:28" ht="15" x14ac:dyDescent="0.35">
      <c r="A983" s="41"/>
      <c r="B983" s="41"/>
      <c r="C983" s="41"/>
      <c r="D983" s="47"/>
      <c r="E983" s="42"/>
      <c r="F983" s="42"/>
      <c r="G983" s="42"/>
      <c r="H983" s="42"/>
      <c r="I983" s="42"/>
      <c r="J983" s="42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</row>
    <row r="984" spans="1:28" ht="15" x14ac:dyDescent="0.35">
      <c r="A984" s="41"/>
      <c r="B984" s="41"/>
      <c r="C984" s="41"/>
      <c r="D984" s="47"/>
      <c r="E984" s="42"/>
      <c r="F984" s="42"/>
      <c r="G984" s="42"/>
      <c r="H984" s="42"/>
      <c r="I984" s="42"/>
      <c r="J984" s="42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</row>
    <row r="985" spans="1:28" ht="15" x14ac:dyDescent="0.35">
      <c r="A985" s="41"/>
      <c r="B985" s="41"/>
      <c r="C985" s="41"/>
      <c r="D985" s="47"/>
      <c r="E985" s="42"/>
      <c r="F985" s="42"/>
      <c r="G985" s="42"/>
      <c r="H985" s="42"/>
      <c r="I985" s="42"/>
      <c r="J985" s="42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</row>
    <row r="986" spans="1:28" ht="15" x14ac:dyDescent="0.35">
      <c r="A986" s="41"/>
      <c r="B986" s="41"/>
      <c r="C986" s="41"/>
      <c r="D986" s="47"/>
      <c r="E986" s="42"/>
      <c r="F986" s="42"/>
      <c r="G986" s="42"/>
      <c r="H986" s="42"/>
      <c r="I986" s="42"/>
      <c r="J986" s="42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</row>
    <row r="987" spans="1:28" ht="15" x14ac:dyDescent="0.35">
      <c r="A987" s="41"/>
      <c r="B987" s="41"/>
      <c r="C987" s="41"/>
      <c r="D987" s="47"/>
      <c r="E987" s="42"/>
      <c r="F987" s="42"/>
      <c r="G987" s="42"/>
      <c r="H987" s="42"/>
      <c r="I987" s="42"/>
      <c r="J987" s="42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</row>
    <row r="988" spans="1:28" ht="15" x14ac:dyDescent="0.35">
      <c r="A988" s="41"/>
      <c r="B988" s="41"/>
      <c r="C988" s="41"/>
      <c r="D988" s="47"/>
      <c r="E988" s="42"/>
      <c r="F988" s="42"/>
      <c r="G988" s="42"/>
      <c r="H988" s="42"/>
      <c r="I988" s="42"/>
      <c r="J988" s="42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</row>
    <row r="989" spans="1:28" ht="15" x14ac:dyDescent="0.35">
      <c r="A989" s="41"/>
      <c r="B989" s="41"/>
      <c r="C989" s="41"/>
      <c r="D989" s="47"/>
      <c r="E989" s="42"/>
      <c r="F989" s="42"/>
      <c r="G989" s="42"/>
      <c r="H989" s="42"/>
      <c r="I989" s="42"/>
      <c r="J989" s="42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</row>
    <row r="990" spans="1:28" ht="15" x14ac:dyDescent="0.35">
      <c r="A990" s="41"/>
      <c r="B990" s="41"/>
      <c r="C990" s="41"/>
      <c r="D990" s="47"/>
      <c r="E990" s="42"/>
      <c r="F990" s="42"/>
      <c r="G990" s="42"/>
      <c r="H990" s="42"/>
      <c r="I990" s="42"/>
      <c r="J990" s="42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</row>
    <row r="991" spans="1:28" x14ac:dyDescent="0.35">
      <c r="A991" s="48"/>
      <c r="B991" s="48"/>
      <c r="C991" s="48"/>
      <c r="D991" s="49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</row>
    <row r="992" spans="1:28" x14ac:dyDescent="0.35">
      <c r="A992" s="48"/>
      <c r="B992" s="48"/>
      <c r="C992" s="48"/>
      <c r="D992" s="49"/>
      <c r="E992" s="48"/>
      <c r="F992" s="48"/>
      <c r="G992" s="48"/>
      <c r="H992" s="48"/>
      <c r="I992" s="48"/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</row>
  </sheetData>
  <sortState xmlns:xlrd2="http://schemas.microsoft.com/office/spreadsheetml/2017/richdata2" ref="A2:AB105">
    <sortCondition ref="A2:A105"/>
  </sortState>
  <conditionalFormatting sqref="AB2:AB88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93:AB94 AB96 AB98:AB105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rintOptions horizontalCentered="1" gridLines="1"/>
  <pageMargins left="0.23622047244094491" right="0.23622047244094491" top="0.74803149606299213" bottom="0.74803149606299213" header="0" footer="0"/>
  <pageSetup paperSize="9" fitToHeight="0" orientation="landscape"/>
  <headerFooter>
    <oddHeader>&amp;L&amp;D&amp;CLIST OF STUDENTS PAYMENT STATUS&amp;R&amp;T</oddHead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Z994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D8" sqref="D8:D138"/>
    </sheetView>
  </sheetViews>
  <sheetFormatPr defaultColWidth="14.453125" defaultRowHeight="15" customHeight="1" x14ac:dyDescent="0.35"/>
  <cols>
    <col min="1" max="1" width="21.6328125" bestFit="1" customWidth="1"/>
    <col min="2" max="2" width="12.54296875" customWidth="1"/>
    <col min="3" max="3" width="62.54296875" customWidth="1"/>
    <col min="4" max="4" width="19.90625" bestFit="1" customWidth="1"/>
    <col min="5" max="5" width="29.81640625" customWidth="1"/>
    <col min="6" max="6" width="14.90625" bestFit="1" customWidth="1"/>
    <col min="7" max="7" width="5.08984375" customWidth="1"/>
    <col min="8" max="8" width="4.81640625" customWidth="1"/>
    <col min="9" max="24" width="24.08984375" customWidth="1"/>
  </cols>
  <sheetData>
    <row r="1" spans="1:25" ht="17.5" x14ac:dyDescent="0.35">
      <c r="A1" s="30" t="s">
        <v>141</v>
      </c>
      <c r="B1" s="30" t="s">
        <v>553</v>
      </c>
      <c r="C1" s="31" t="s">
        <v>142</v>
      </c>
      <c r="D1" s="31" t="s">
        <v>143</v>
      </c>
      <c r="E1" s="32" t="s">
        <v>144</v>
      </c>
      <c r="F1" s="32" t="s">
        <v>554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t="14.5" hidden="1" x14ac:dyDescent="0.35">
      <c r="A2" s="37">
        <v>45503</v>
      </c>
      <c r="B2" s="37" t="s">
        <v>555</v>
      </c>
      <c r="C2" s="19" t="s">
        <v>287</v>
      </c>
      <c r="D2" s="28">
        <v>7000</v>
      </c>
      <c r="E2" s="19" t="s">
        <v>359</v>
      </c>
      <c r="F2" s="19" t="s">
        <v>148</v>
      </c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3" spans="1:25" ht="14.5" hidden="1" x14ac:dyDescent="0.35">
      <c r="A3" s="50">
        <v>45503</v>
      </c>
      <c r="B3" s="50" t="s">
        <v>555</v>
      </c>
      <c r="C3" s="51" t="s">
        <v>556</v>
      </c>
      <c r="D3" s="52">
        <v>30000</v>
      </c>
      <c r="E3" s="3" t="s">
        <v>311</v>
      </c>
      <c r="F3" s="3" t="s">
        <v>148</v>
      </c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</row>
    <row r="4" spans="1:25" ht="14.5" hidden="1" x14ac:dyDescent="0.35">
      <c r="A4" s="37">
        <v>45504</v>
      </c>
      <c r="B4" s="37" t="s">
        <v>555</v>
      </c>
      <c r="C4" s="19" t="s">
        <v>285</v>
      </c>
      <c r="D4" s="28">
        <v>7000</v>
      </c>
      <c r="E4" s="19" t="s">
        <v>220</v>
      </c>
      <c r="F4" s="19" t="s">
        <v>148</v>
      </c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</row>
    <row r="5" spans="1:25" ht="14.5" hidden="1" x14ac:dyDescent="0.35">
      <c r="A5" s="37">
        <v>45504</v>
      </c>
      <c r="B5" s="37" t="s">
        <v>555</v>
      </c>
      <c r="C5" s="19" t="s">
        <v>557</v>
      </c>
      <c r="D5" s="28">
        <v>30000</v>
      </c>
      <c r="E5" s="19" t="s">
        <v>558</v>
      </c>
      <c r="F5" s="19" t="s">
        <v>148</v>
      </c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</row>
    <row r="6" spans="1:25" ht="14.5" hidden="1" x14ac:dyDescent="0.35">
      <c r="A6" s="37">
        <v>45505</v>
      </c>
      <c r="B6" s="37" t="s">
        <v>555</v>
      </c>
      <c r="C6" s="19" t="s">
        <v>559</v>
      </c>
      <c r="D6" s="28">
        <v>68400</v>
      </c>
      <c r="E6" s="19" t="s">
        <v>309</v>
      </c>
      <c r="F6" s="19" t="s">
        <v>148</v>
      </c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</row>
    <row r="7" spans="1:25" ht="14.5" hidden="1" x14ac:dyDescent="0.35">
      <c r="A7" s="37">
        <v>45513</v>
      </c>
      <c r="B7" s="37" t="s">
        <v>555</v>
      </c>
      <c r="C7" s="19" t="s">
        <v>560</v>
      </c>
      <c r="D7" s="28">
        <v>2000</v>
      </c>
      <c r="E7" s="19" t="s">
        <v>472</v>
      </c>
      <c r="F7" s="19" t="s">
        <v>148</v>
      </c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spans="1:25" ht="14.5" x14ac:dyDescent="0.35">
      <c r="A8" s="37">
        <v>45523</v>
      </c>
      <c r="B8" s="37" t="s">
        <v>555</v>
      </c>
      <c r="C8" s="19" t="s">
        <v>561</v>
      </c>
      <c r="D8" s="28">
        <v>3000</v>
      </c>
      <c r="E8" s="19" t="s">
        <v>205</v>
      </c>
      <c r="F8" s="19" t="s">
        <v>151</v>
      </c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</row>
    <row r="9" spans="1:25" ht="14.5" hidden="1" x14ac:dyDescent="0.35">
      <c r="A9" s="37">
        <v>45526</v>
      </c>
      <c r="B9" s="37" t="s">
        <v>555</v>
      </c>
      <c r="C9" s="19" t="s">
        <v>173</v>
      </c>
      <c r="D9" s="28">
        <v>9400</v>
      </c>
      <c r="E9" s="19" t="s">
        <v>310</v>
      </c>
      <c r="F9" s="19" t="s">
        <v>151</v>
      </c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</row>
    <row r="10" spans="1:25" ht="14.5" hidden="1" x14ac:dyDescent="0.35">
      <c r="A10" s="37">
        <v>45527</v>
      </c>
      <c r="B10" s="37" t="s">
        <v>555</v>
      </c>
      <c r="C10" s="19" t="s">
        <v>170</v>
      </c>
      <c r="D10" s="28">
        <v>9600</v>
      </c>
      <c r="E10" s="19" t="s">
        <v>344</v>
      </c>
      <c r="F10" s="19" t="s">
        <v>151</v>
      </c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</row>
    <row r="11" spans="1:25" ht="14.5" hidden="1" x14ac:dyDescent="0.35">
      <c r="A11" s="37">
        <v>45530</v>
      </c>
      <c r="B11" s="37" t="s">
        <v>555</v>
      </c>
      <c r="C11" s="19" t="s">
        <v>352</v>
      </c>
      <c r="D11" s="28">
        <v>70000</v>
      </c>
      <c r="E11" s="19" t="s">
        <v>353</v>
      </c>
      <c r="F11" s="19" t="s">
        <v>148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</row>
    <row r="12" spans="1:25" ht="14.5" hidden="1" x14ac:dyDescent="0.35">
      <c r="A12" s="37">
        <v>45531</v>
      </c>
      <c r="B12" s="37" t="s">
        <v>555</v>
      </c>
      <c r="C12" s="19" t="s">
        <v>562</v>
      </c>
      <c r="D12" s="28">
        <v>14400</v>
      </c>
      <c r="E12" s="19" t="s">
        <v>320</v>
      </c>
      <c r="F12" s="19" t="s">
        <v>151</v>
      </c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</row>
    <row r="13" spans="1:25" ht="14.5" hidden="1" x14ac:dyDescent="0.35">
      <c r="A13" s="37">
        <v>45537</v>
      </c>
      <c r="B13" s="37" t="s">
        <v>555</v>
      </c>
      <c r="C13" s="19" t="s">
        <v>439</v>
      </c>
      <c r="D13" s="28">
        <v>10000</v>
      </c>
      <c r="E13" s="19" t="s">
        <v>356</v>
      </c>
      <c r="F13" s="19" t="s">
        <v>151</v>
      </c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</row>
    <row r="14" spans="1:25" ht="14.5" hidden="1" x14ac:dyDescent="0.35">
      <c r="A14" s="37">
        <v>45539</v>
      </c>
      <c r="B14" s="37"/>
      <c r="C14" s="19" t="s">
        <v>563</v>
      </c>
      <c r="D14" s="28">
        <v>12000</v>
      </c>
      <c r="E14" s="19" t="s">
        <v>316</v>
      </c>
      <c r="F14" s="19" t="s">
        <v>151</v>
      </c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</row>
    <row r="15" spans="1:25" ht="14.5" hidden="1" x14ac:dyDescent="0.35">
      <c r="A15" s="37">
        <v>45541</v>
      </c>
      <c r="B15" s="37"/>
      <c r="C15" s="19" t="s">
        <v>564</v>
      </c>
      <c r="D15" s="28">
        <v>1500</v>
      </c>
      <c r="E15" s="19" t="s">
        <v>565</v>
      </c>
      <c r="F15" s="19" t="s">
        <v>566</v>
      </c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</row>
    <row r="16" spans="1:25" ht="14.5" hidden="1" x14ac:dyDescent="0.35">
      <c r="A16" s="37">
        <v>45544</v>
      </c>
      <c r="B16" s="37" t="s">
        <v>555</v>
      </c>
      <c r="C16" s="19" t="s">
        <v>567</v>
      </c>
      <c r="D16" s="28">
        <v>68500</v>
      </c>
      <c r="E16" s="19" t="s">
        <v>357</v>
      </c>
      <c r="F16" s="19" t="s">
        <v>148</v>
      </c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</row>
    <row r="17" spans="1:26" ht="14.5" hidden="1" x14ac:dyDescent="0.35">
      <c r="A17" s="37">
        <v>45545</v>
      </c>
      <c r="B17" s="37"/>
      <c r="C17" s="19" t="s">
        <v>568</v>
      </c>
      <c r="D17" s="28">
        <v>35000</v>
      </c>
      <c r="E17" s="19" t="s">
        <v>569</v>
      </c>
      <c r="F17" s="19" t="s">
        <v>148</v>
      </c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</row>
    <row r="18" spans="1:26" ht="14.5" hidden="1" x14ac:dyDescent="0.35">
      <c r="A18" s="37">
        <v>45545</v>
      </c>
      <c r="B18" s="37"/>
      <c r="C18" s="19" t="s">
        <v>570</v>
      </c>
      <c r="D18" s="28">
        <v>35000</v>
      </c>
      <c r="E18" s="19" t="s">
        <v>571</v>
      </c>
      <c r="F18" s="19" t="s">
        <v>148</v>
      </c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  <row r="19" spans="1:26" ht="14.5" hidden="1" x14ac:dyDescent="0.35">
      <c r="A19" s="37">
        <v>45545</v>
      </c>
      <c r="B19" s="37" t="s">
        <v>555</v>
      </c>
      <c r="C19" s="19" t="s">
        <v>572</v>
      </c>
      <c r="D19" s="28">
        <v>40000</v>
      </c>
      <c r="E19" s="19" t="s">
        <v>172</v>
      </c>
      <c r="F19" s="19" t="s">
        <v>148</v>
      </c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</row>
    <row r="20" spans="1:26" ht="14.5" hidden="1" x14ac:dyDescent="0.35">
      <c r="A20" s="37">
        <v>45546</v>
      </c>
      <c r="B20" s="37" t="s">
        <v>555</v>
      </c>
      <c r="C20" s="19" t="s">
        <v>321</v>
      </c>
      <c r="D20" s="28">
        <v>25000</v>
      </c>
      <c r="E20" s="19" t="s">
        <v>165</v>
      </c>
      <c r="F20" s="19" t="s">
        <v>148</v>
      </c>
      <c r="G20" s="53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</row>
    <row r="21" spans="1:26" ht="15.75" hidden="1" customHeight="1" x14ac:dyDescent="0.35">
      <c r="A21" s="37">
        <v>45546</v>
      </c>
      <c r="B21" s="37"/>
      <c r="C21" s="19" t="s">
        <v>573</v>
      </c>
      <c r="D21" s="28">
        <v>45900</v>
      </c>
      <c r="E21" s="19" t="s">
        <v>574</v>
      </c>
      <c r="F21" s="19" t="s">
        <v>148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</row>
    <row r="22" spans="1:26" ht="15.75" hidden="1" customHeight="1" x14ac:dyDescent="0.35">
      <c r="A22" s="37">
        <v>45547</v>
      </c>
      <c r="B22" s="37" t="s">
        <v>555</v>
      </c>
      <c r="C22" s="19" t="s">
        <v>468</v>
      </c>
      <c r="D22" s="28">
        <v>30000</v>
      </c>
      <c r="E22" s="19" t="s">
        <v>338</v>
      </c>
      <c r="F22" s="19" t="s">
        <v>148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</row>
    <row r="23" spans="1:26" ht="15.75" hidden="1" customHeight="1" x14ac:dyDescent="0.35">
      <c r="A23" s="37">
        <v>45548</v>
      </c>
      <c r="B23" s="37" t="s">
        <v>555</v>
      </c>
      <c r="C23" s="19" t="s">
        <v>575</v>
      </c>
      <c r="D23" s="28">
        <v>25000</v>
      </c>
      <c r="E23" s="19" t="s">
        <v>576</v>
      </c>
      <c r="F23" s="19" t="s">
        <v>148</v>
      </c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</row>
    <row r="24" spans="1:26" ht="15.75" hidden="1" customHeight="1" x14ac:dyDescent="0.35">
      <c r="A24" s="37">
        <v>45548</v>
      </c>
      <c r="B24" s="37"/>
      <c r="C24" s="19" t="s">
        <v>577</v>
      </c>
      <c r="D24" s="28">
        <v>40000</v>
      </c>
      <c r="E24" s="19" t="s">
        <v>578</v>
      </c>
      <c r="F24" s="19" t="s">
        <v>148</v>
      </c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</row>
    <row r="25" spans="1:26" ht="15.75" hidden="1" customHeight="1" x14ac:dyDescent="0.35">
      <c r="A25" s="37">
        <v>45551</v>
      </c>
      <c r="B25" s="37" t="s">
        <v>555</v>
      </c>
      <c r="C25" s="19" t="s">
        <v>333</v>
      </c>
      <c r="D25" s="28">
        <v>12200</v>
      </c>
      <c r="E25" s="19" t="s">
        <v>309</v>
      </c>
      <c r="F25" s="19" t="s">
        <v>148</v>
      </c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</row>
    <row r="26" spans="1:26" ht="15.75" hidden="1" customHeight="1" x14ac:dyDescent="0.35">
      <c r="A26" s="37">
        <v>45551</v>
      </c>
      <c r="B26" s="37" t="s">
        <v>555</v>
      </c>
      <c r="C26" s="19" t="s">
        <v>579</v>
      </c>
      <c r="D26" s="28">
        <v>50000</v>
      </c>
      <c r="E26" s="19" t="s">
        <v>580</v>
      </c>
      <c r="F26" s="19" t="s">
        <v>148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8"/>
    </row>
    <row r="27" spans="1:26" ht="15.75" hidden="1" customHeight="1" x14ac:dyDescent="0.35">
      <c r="A27" s="37">
        <v>45551</v>
      </c>
      <c r="B27" s="37" t="s">
        <v>555</v>
      </c>
      <c r="C27" s="19" t="s">
        <v>439</v>
      </c>
      <c r="D27" s="28">
        <v>60000</v>
      </c>
      <c r="E27" s="19" t="s">
        <v>356</v>
      </c>
      <c r="F27" s="19" t="s">
        <v>148</v>
      </c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</row>
    <row r="28" spans="1:26" ht="15.75" hidden="1" customHeight="1" x14ac:dyDescent="0.35">
      <c r="A28" s="37">
        <v>45551</v>
      </c>
      <c r="B28" s="37" t="s">
        <v>555</v>
      </c>
      <c r="C28" s="19" t="s">
        <v>581</v>
      </c>
      <c r="D28" s="28">
        <v>20000</v>
      </c>
      <c r="E28" s="19" t="s">
        <v>157</v>
      </c>
      <c r="F28" s="19" t="s">
        <v>148</v>
      </c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</row>
    <row r="29" spans="1:26" ht="15.75" hidden="1" customHeight="1" x14ac:dyDescent="0.35">
      <c r="A29" s="37">
        <v>45551</v>
      </c>
      <c r="B29" s="37"/>
      <c r="C29" s="19" t="s">
        <v>582</v>
      </c>
      <c r="D29" s="28">
        <v>5000</v>
      </c>
      <c r="E29" s="19" t="s">
        <v>359</v>
      </c>
      <c r="F29" s="19" t="s">
        <v>148</v>
      </c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</row>
    <row r="30" spans="1:26" ht="15.75" hidden="1" customHeight="1" x14ac:dyDescent="0.35">
      <c r="A30" s="37">
        <v>45551</v>
      </c>
      <c r="B30" s="37"/>
      <c r="C30" s="19" t="s">
        <v>583</v>
      </c>
      <c r="D30" s="28">
        <v>100000</v>
      </c>
      <c r="E30" s="19" t="s">
        <v>584</v>
      </c>
      <c r="F30" s="19" t="s">
        <v>148</v>
      </c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</row>
    <row r="31" spans="1:26" ht="15.75" hidden="1" customHeight="1" x14ac:dyDescent="0.35">
      <c r="A31" s="37">
        <v>45551</v>
      </c>
      <c r="B31" s="37"/>
      <c r="C31" s="19" t="s">
        <v>585</v>
      </c>
      <c r="D31" s="28">
        <v>50000</v>
      </c>
      <c r="E31" s="19" t="s">
        <v>586</v>
      </c>
      <c r="F31" s="19" t="s">
        <v>148</v>
      </c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  <row r="32" spans="1:26" ht="15.75" hidden="1" customHeight="1" x14ac:dyDescent="0.35">
      <c r="A32" s="37">
        <v>45552</v>
      </c>
      <c r="B32" s="37" t="s">
        <v>555</v>
      </c>
      <c r="C32" s="19" t="s">
        <v>333</v>
      </c>
      <c r="D32" s="28">
        <v>5000</v>
      </c>
      <c r="E32" s="19" t="s">
        <v>309</v>
      </c>
      <c r="F32" s="19" t="s">
        <v>148</v>
      </c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</row>
    <row r="33" spans="1:19" ht="15.75" hidden="1" customHeight="1" x14ac:dyDescent="0.35">
      <c r="A33" s="37">
        <v>45552</v>
      </c>
      <c r="B33" s="37" t="s">
        <v>555</v>
      </c>
      <c r="C33" s="19" t="s">
        <v>333</v>
      </c>
      <c r="D33" s="28">
        <v>40000</v>
      </c>
      <c r="E33" s="19" t="s">
        <v>309</v>
      </c>
      <c r="F33" s="19" t="s">
        <v>148</v>
      </c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</row>
    <row r="34" spans="1:19" ht="15.75" hidden="1" customHeight="1" x14ac:dyDescent="0.35">
      <c r="A34" s="37">
        <v>45552</v>
      </c>
      <c r="B34" s="37"/>
      <c r="C34" s="19" t="s">
        <v>587</v>
      </c>
      <c r="D34" s="28">
        <v>27900</v>
      </c>
      <c r="E34" s="19" t="s">
        <v>347</v>
      </c>
      <c r="F34" s="19" t="s">
        <v>148</v>
      </c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</row>
    <row r="35" spans="1:19" ht="15.75" hidden="1" customHeight="1" x14ac:dyDescent="0.35">
      <c r="A35" s="37">
        <v>45552</v>
      </c>
      <c r="B35" s="37" t="s">
        <v>555</v>
      </c>
      <c r="C35" s="19" t="s">
        <v>588</v>
      </c>
      <c r="D35" s="28">
        <v>30000</v>
      </c>
      <c r="E35" s="19" t="s">
        <v>589</v>
      </c>
      <c r="F35" s="19" t="s">
        <v>148</v>
      </c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 spans="1:19" ht="15.75" hidden="1" customHeight="1" x14ac:dyDescent="0.35">
      <c r="A36" s="37">
        <v>45552</v>
      </c>
      <c r="B36" s="37" t="s">
        <v>555</v>
      </c>
      <c r="C36" s="19" t="s">
        <v>590</v>
      </c>
      <c r="D36" s="28">
        <v>50000</v>
      </c>
      <c r="E36" s="19" t="s">
        <v>591</v>
      </c>
      <c r="F36" s="19" t="s">
        <v>148</v>
      </c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</row>
    <row r="37" spans="1:19" ht="15.75" customHeight="1" x14ac:dyDescent="0.35">
      <c r="A37" s="37">
        <v>45552</v>
      </c>
      <c r="B37" s="37" t="s">
        <v>555</v>
      </c>
      <c r="C37" s="19" t="s">
        <v>429</v>
      </c>
      <c r="D37" s="28">
        <v>19700</v>
      </c>
      <c r="E37" s="19" t="s">
        <v>205</v>
      </c>
      <c r="F37" s="19" t="s">
        <v>148</v>
      </c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ht="15.75" hidden="1" customHeight="1" x14ac:dyDescent="0.35">
      <c r="A38" s="37">
        <v>45552</v>
      </c>
      <c r="B38" s="37" t="s">
        <v>555</v>
      </c>
      <c r="C38" s="19" t="s">
        <v>592</v>
      </c>
      <c r="D38" s="28">
        <v>150000</v>
      </c>
      <c r="E38" s="19" t="s">
        <v>593</v>
      </c>
      <c r="F38" s="19" t="s">
        <v>148</v>
      </c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</row>
    <row r="39" spans="1:19" ht="15.75" hidden="1" customHeight="1" x14ac:dyDescent="0.35">
      <c r="A39" s="37">
        <v>45552</v>
      </c>
      <c r="B39" s="37"/>
      <c r="C39" s="19" t="s">
        <v>594</v>
      </c>
      <c r="D39" s="28">
        <v>10000</v>
      </c>
      <c r="E39" s="19" t="s">
        <v>359</v>
      </c>
      <c r="F39" s="19" t="s">
        <v>148</v>
      </c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</row>
    <row r="40" spans="1:19" ht="15.75" hidden="1" customHeight="1" x14ac:dyDescent="0.35">
      <c r="A40" s="37">
        <v>45552</v>
      </c>
      <c r="B40" s="37" t="s">
        <v>555</v>
      </c>
      <c r="C40" s="19" t="s">
        <v>595</v>
      </c>
      <c r="D40" s="28">
        <v>50000</v>
      </c>
      <c r="E40" s="19" t="s">
        <v>421</v>
      </c>
      <c r="F40" s="19" t="s">
        <v>148</v>
      </c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</row>
    <row r="41" spans="1:19" ht="15.75" hidden="1" customHeight="1" x14ac:dyDescent="0.35">
      <c r="A41" s="37">
        <v>45552</v>
      </c>
      <c r="B41" s="37" t="s">
        <v>555</v>
      </c>
      <c r="C41" s="19" t="s">
        <v>253</v>
      </c>
      <c r="D41" s="28">
        <v>40000</v>
      </c>
      <c r="E41" s="19" t="s">
        <v>334</v>
      </c>
      <c r="F41" s="19" t="s">
        <v>148</v>
      </c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</row>
    <row r="42" spans="1:19" ht="15.75" hidden="1" customHeight="1" x14ac:dyDescent="0.35">
      <c r="A42" s="37">
        <v>45552</v>
      </c>
      <c r="B42" s="37" t="s">
        <v>555</v>
      </c>
      <c r="C42" s="19" t="s">
        <v>596</v>
      </c>
      <c r="D42" s="28">
        <v>70800</v>
      </c>
      <c r="E42" s="19" t="s">
        <v>320</v>
      </c>
      <c r="F42" s="19" t="s">
        <v>148</v>
      </c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</row>
    <row r="43" spans="1:19" ht="15.75" hidden="1" customHeight="1" x14ac:dyDescent="0.35">
      <c r="A43" s="37">
        <v>45552</v>
      </c>
      <c r="B43" s="37" t="s">
        <v>555</v>
      </c>
      <c r="C43" s="19" t="s">
        <v>597</v>
      </c>
      <c r="D43" s="28">
        <v>35700</v>
      </c>
      <c r="E43" s="19" t="s">
        <v>598</v>
      </c>
      <c r="F43" s="19" t="s">
        <v>148</v>
      </c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</row>
    <row r="44" spans="1:19" ht="15.75" hidden="1" customHeight="1" x14ac:dyDescent="0.35">
      <c r="A44" s="37">
        <v>45552</v>
      </c>
      <c r="B44" s="37" t="s">
        <v>555</v>
      </c>
      <c r="C44" s="19" t="s">
        <v>599</v>
      </c>
      <c r="D44" s="28">
        <v>25000</v>
      </c>
      <c r="E44" s="19" t="s">
        <v>600</v>
      </c>
      <c r="F44" s="19" t="s">
        <v>148</v>
      </c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</row>
    <row r="45" spans="1:19" ht="15.75" hidden="1" customHeight="1" x14ac:dyDescent="0.35">
      <c r="A45" s="37">
        <v>45552</v>
      </c>
      <c r="B45" s="37" t="s">
        <v>555</v>
      </c>
      <c r="C45" s="19" t="s">
        <v>601</v>
      </c>
      <c r="D45" s="28">
        <v>43250</v>
      </c>
      <c r="E45" s="19" t="s">
        <v>443</v>
      </c>
      <c r="F45" s="19" t="s">
        <v>148</v>
      </c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</row>
    <row r="46" spans="1:19" ht="15.75" hidden="1" customHeight="1" x14ac:dyDescent="0.35">
      <c r="A46" s="37">
        <v>45552</v>
      </c>
      <c r="B46" s="37" t="s">
        <v>555</v>
      </c>
      <c r="C46" s="19" t="s">
        <v>602</v>
      </c>
      <c r="D46" s="28">
        <v>1500</v>
      </c>
      <c r="E46" s="19" t="s">
        <v>565</v>
      </c>
      <c r="F46" s="19" t="s">
        <v>566</v>
      </c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</row>
    <row r="47" spans="1:19" ht="15.75" hidden="1" customHeight="1" x14ac:dyDescent="0.35">
      <c r="A47" s="37">
        <v>45552</v>
      </c>
      <c r="B47" s="37" t="s">
        <v>555</v>
      </c>
      <c r="C47" s="19" t="s">
        <v>603</v>
      </c>
      <c r="D47" s="28">
        <v>50000</v>
      </c>
      <c r="E47" s="19" t="s">
        <v>604</v>
      </c>
      <c r="F47" s="19" t="s">
        <v>148</v>
      </c>
      <c r="G47" s="53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</row>
    <row r="48" spans="1:19" ht="15.75" hidden="1" customHeight="1" x14ac:dyDescent="0.35">
      <c r="A48" s="37">
        <v>45553</v>
      </c>
      <c r="B48" s="37"/>
      <c r="C48" s="19" t="s">
        <v>605</v>
      </c>
      <c r="D48" s="28">
        <v>95050</v>
      </c>
      <c r="E48" s="19" t="s">
        <v>351</v>
      </c>
      <c r="F48" s="19" t="s">
        <v>148</v>
      </c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</row>
    <row r="49" spans="1:19" ht="15.75" hidden="1" customHeight="1" x14ac:dyDescent="0.35">
      <c r="A49" s="37">
        <v>45553</v>
      </c>
      <c r="B49" s="37" t="s">
        <v>555</v>
      </c>
      <c r="C49" s="19" t="s">
        <v>272</v>
      </c>
      <c r="D49" s="28">
        <v>9000</v>
      </c>
      <c r="E49" s="19" t="s">
        <v>245</v>
      </c>
      <c r="F49" s="19" t="s">
        <v>148</v>
      </c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</row>
    <row r="50" spans="1:19" ht="15.75" hidden="1" customHeight="1" x14ac:dyDescent="0.35">
      <c r="A50" s="37">
        <v>45553</v>
      </c>
      <c r="B50" s="37" t="s">
        <v>555</v>
      </c>
      <c r="C50" s="19" t="s">
        <v>606</v>
      </c>
      <c r="D50" s="28">
        <v>10000</v>
      </c>
      <c r="E50" s="19" t="s">
        <v>558</v>
      </c>
      <c r="F50" s="19" t="s">
        <v>148</v>
      </c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</row>
    <row r="51" spans="1:19" ht="15.75" hidden="1" customHeight="1" x14ac:dyDescent="0.35">
      <c r="A51" s="37">
        <v>45553</v>
      </c>
      <c r="B51" s="37"/>
      <c r="C51" s="19" t="s">
        <v>607</v>
      </c>
      <c r="D51" s="28">
        <v>50000</v>
      </c>
      <c r="E51" s="19" t="s">
        <v>317</v>
      </c>
      <c r="F51" s="19" t="s">
        <v>148</v>
      </c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</row>
    <row r="52" spans="1:19" ht="15.75" hidden="1" customHeight="1" x14ac:dyDescent="0.35">
      <c r="A52" s="37">
        <v>45553</v>
      </c>
      <c r="B52" s="37" t="s">
        <v>555</v>
      </c>
      <c r="C52" s="19" t="s">
        <v>462</v>
      </c>
      <c r="D52" s="28">
        <v>20000</v>
      </c>
      <c r="E52" s="19" t="s">
        <v>323</v>
      </c>
      <c r="F52" s="19" t="s">
        <v>148</v>
      </c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</row>
    <row r="53" spans="1:19" ht="15.75" hidden="1" customHeight="1" x14ac:dyDescent="0.35">
      <c r="A53" s="37">
        <v>45553</v>
      </c>
      <c r="B53" s="37" t="s">
        <v>555</v>
      </c>
      <c r="C53" s="19" t="s">
        <v>462</v>
      </c>
      <c r="D53" s="28">
        <v>20000</v>
      </c>
      <c r="E53" s="19" t="s">
        <v>323</v>
      </c>
      <c r="F53" s="19" t="s">
        <v>148</v>
      </c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</row>
    <row r="54" spans="1:19" ht="15.75" hidden="1" customHeight="1" x14ac:dyDescent="0.35">
      <c r="A54" s="37">
        <v>45553</v>
      </c>
      <c r="B54" s="37" t="s">
        <v>555</v>
      </c>
      <c r="C54" s="19" t="s">
        <v>608</v>
      </c>
      <c r="D54" s="28">
        <v>60000</v>
      </c>
      <c r="E54" s="19" t="s">
        <v>324</v>
      </c>
      <c r="F54" s="19" t="s">
        <v>148</v>
      </c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</row>
    <row r="55" spans="1:19" ht="15.75" hidden="1" customHeight="1" x14ac:dyDescent="0.35">
      <c r="A55" s="37">
        <v>45553</v>
      </c>
      <c r="B55" s="37" t="s">
        <v>555</v>
      </c>
      <c r="C55" s="19" t="s">
        <v>609</v>
      </c>
      <c r="D55" s="28">
        <v>25000</v>
      </c>
      <c r="E55" s="19" t="s">
        <v>610</v>
      </c>
      <c r="F55" s="19" t="s">
        <v>148</v>
      </c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</row>
    <row r="56" spans="1:19" ht="15.75" hidden="1" customHeight="1" x14ac:dyDescent="0.35">
      <c r="A56" s="37">
        <v>45554</v>
      </c>
      <c r="B56" s="37" t="s">
        <v>555</v>
      </c>
      <c r="C56" s="19" t="s">
        <v>291</v>
      </c>
      <c r="D56" s="28">
        <v>5000</v>
      </c>
      <c r="E56" s="19" t="s">
        <v>436</v>
      </c>
      <c r="F56" s="19" t="s">
        <v>148</v>
      </c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</row>
    <row r="57" spans="1:19" ht="15.75" hidden="1" customHeight="1" x14ac:dyDescent="0.35">
      <c r="A57" s="37">
        <v>45554</v>
      </c>
      <c r="B57" s="37"/>
      <c r="C57" s="19" t="s">
        <v>611</v>
      </c>
      <c r="D57" s="28">
        <v>25000</v>
      </c>
      <c r="E57" s="19" t="s">
        <v>181</v>
      </c>
      <c r="F57" s="19" t="s">
        <v>148</v>
      </c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</row>
    <row r="58" spans="1:19" ht="15.75" hidden="1" customHeight="1" x14ac:dyDescent="0.35">
      <c r="A58" s="37">
        <v>45554</v>
      </c>
      <c r="B58" s="37" t="s">
        <v>555</v>
      </c>
      <c r="C58" s="19" t="s">
        <v>612</v>
      </c>
      <c r="D58" s="28">
        <v>15000</v>
      </c>
      <c r="E58" s="19" t="s">
        <v>410</v>
      </c>
      <c r="F58" s="19" t="s">
        <v>148</v>
      </c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</row>
    <row r="59" spans="1:19" ht="15.75" hidden="1" customHeight="1" x14ac:dyDescent="0.35">
      <c r="A59" s="37">
        <v>45554</v>
      </c>
      <c r="B59" s="37" t="s">
        <v>555</v>
      </c>
      <c r="C59" s="19" t="s">
        <v>562</v>
      </c>
      <c r="D59" s="28">
        <v>74250</v>
      </c>
      <c r="E59" s="19" t="s">
        <v>320</v>
      </c>
      <c r="F59" s="19" t="s">
        <v>148</v>
      </c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</row>
    <row r="60" spans="1:19" ht="15.75" hidden="1" customHeight="1" x14ac:dyDescent="0.35">
      <c r="A60" s="37">
        <v>45555</v>
      </c>
      <c r="B60" s="37"/>
      <c r="C60" s="19" t="s">
        <v>613</v>
      </c>
      <c r="D60" s="28">
        <v>50000</v>
      </c>
      <c r="E60" s="19" t="s">
        <v>578</v>
      </c>
      <c r="F60" s="19" t="s">
        <v>148</v>
      </c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</row>
    <row r="61" spans="1:19" ht="15.75" hidden="1" customHeight="1" x14ac:dyDescent="0.35">
      <c r="A61" s="37">
        <v>45557</v>
      </c>
      <c r="B61" s="37" t="s">
        <v>555</v>
      </c>
      <c r="C61" s="19" t="s">
        <v>447</v>
      </c>
      <c r="D61" s="28">
        <v>30000</v>
      </c>
      <c r="E61" s="19" t="s">
        <v>167</v>
      </c>
      <c r="F61" s="19" t="s">
        <v>148</v>
      </c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</row>
    <row r="62" spans="1:19" ht="15.75" hidden="1" customHeight="1" x14ac:dyDescent="0.35">
      <c r="A62" s="37">
        <v>45557</v>
      </c>
      <c r="B62" s="37"/>
      <c r="C62" s="19" t="s">
        <v>614</v>
      </c>
      <c r="D62" s="28">
        <v>50000</v>
      </c>
      <c r="E62" s="19" t="s">
        <v>615</v>
      </c>
      <c r="F62" s="19" t="s">
        <v>148</v>
      </c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</row>
    <row r="63" spans="1:19" ht="15.75" hidden="1" customHeight="1" x14ac:dyDescent="0.35">
      <c r="A63" s="37">
        <v>45558</v>
      </c>
      <c r="B63" s="37"/>
      <c r="C63" s="19" t="s">
        <v>616</v>
      </c>
      <c r="D63" s="28">
        <v>40000</v>
      </c>
      <c r="E63" s="19" t="s">
        <v>331</v>
      </c>
      <c r="F63" s="19" t="s">
        <v>148</v>
      </c>
      <c r="G63" s="19"/>
      <c r="H63" s="19"/>
      <c r="I63" s="40"/>
      <c r="J63" s="19"/>
      <c r="K63" s="19"/>
      <c r="L63" s="19"/>
      <c r="M63" s="19"/>
      <c r="N63" s="19"/>
      <c r="O63" s="19"/>
      <c r="P63" s="19"/>
      <c r="Q63" s="19"/>
      <c r="R63" s="19"/>
      <c r="S63" s="19"/>
    </row>
    <row r="64" spans="1:19" ht="15.75" hidden="1" customHeight="1" x14ac:dyDescent="0.35">
      <c r="A64" s="37">
        <v>45558</v>
      </c>
      <c r="B64" s="37" t="s">
        <v>555</v>
      </c>
      <c r="C64" s="19" t="s">
        <v>460</v>
      </c>
      <c r="D64" s="28">
        <v>54550</v>
      </c>
      <c r="E64" s="19" t="s">
        <v>617</v>
      </c>
      <c r="F64" s="19" t="s">
        <v>148</v>
      </c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</row>
    <row r="65" spans="1:19" ht="15.75" hidden="1" customHeight="1" x14ac:dyDescent="0.35">
      <c r="A65" s="37">
        <v>45558</v>
      </c>
      <c r="B65" s="37"/>
      <c r="C65" s="19" t="s">
        <v>618</v>
      </c>
      <c r="D65" s="28">
        <v>18000</v>
      </c>
      <c r="E65" s="19" t="s">
        <v>431</v>
      </c>
      <c r="F65" s="19" t="s">
        <v>148</v>
      </c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</row>
    <row r="66" spans="1:19" ht="15.75" hidden="1" customHeight="1" x14ac:dyDescent="0.35">
      <c r="A66" s="37">
        <v>45558</v>
      </c>
      <c r="B66" s="37" t="s">
        <v>555</v>
      </c>
      <c r="C66" s="19" t="s">
        <v>434</v>
      </c>
      <c r="D66" s="28">
        <v>20000</v>
      </c>
      <c r="E66" s="19" t="s">
        <v>238</v>
      </c>
      <c r="F66" s="19" t="s">
        <v>148</v>
      </c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</row>
    <row r="67" spans="1:19" ht="15.75" customHeight="1" x14ac:dyDescent="0.35">
      <c r="A67" s="37">
        <v>45558</v>
      </c>
      <c r="B67" s="37" t="s">
        <v>555</v>
      </c>
      <c r="C67" s="19" t="s">
        <v>429</v>
      </c>
      <c r="D67" s="28">
        <v>20000</v>
      </c>
      <c r="E67" s="19" t="s">
        <v>205</v>
      </c>
      <c r="F67" s="19" t="s">
        <v>148</v>
      </c>
      <c r="G67" s="19"/>
      <c r="H67" s="19"/>
      <c r="I67" s="40"/>
      <c r="J67" s="19"/>
      <c r="K67" s="19"/>
      <c r="L67" s="19"/>
      <c r="M67" s="19"/>
      <c r="N67" s="19"/>
      <c r="O67" s="19"/>
      <c r="P67" s="19"/>
      <c r="Q67" s="19"/>
      <c r="R67" s="19"/>
      <c r="S67" s="19"/>
    </row>
    <row r="68" spans="1:19" ht="15.75" hidden="1" customHeight="1" x14ac:dyDescent="0.35">
      <c r="A68" s="37">
        <v>45558</v>
      </c>
      <c r="B68" s="37" t="s">
        <v>555</v>
      </c>
      <c r="C68" s="19" t="s">
        <v>619</v>
      </c>
      <c r="D68" s="28">
        <v>20000</v>
      </c>
      <c r="E68" s="19" t="s">
        <v>620</v>
      </c>
      <c r="F68" s="19" t="s">
        <v>148</v>
      </c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</row>
    <row r="69" spans="1:19" ht="15.75" hidden="1" customHeight="1" x14ac:dyDescent="0.35">
      <c r="A69" s="37">
        <v>45558</v>
      </c>
      <c r="B69" s="37" t="s">
        <v>555</v>
      </c>
      <c r="C69" s="19" t="s">
        <v>621</v>
      </c>
      <c r="D69" s="28">
        <v>50000</v>
      </c>
      <c r="E69" s="19" t="s">
        <v>421</v>
      </c>
      <c r="F69" s="19" t="s">
        <v>148</v>
      </c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</row>
    <row r="70" spans="1:19" ht="15.75" hidden="1" customHeight="1" x14ac:dyDescent="0.35">
      <c r="A70" s="37">
        <v>45558</v>
      </c>
      <c r="B70" s="37" t="s">
        <v>555</v>
      </c>
      <c r="C70" s="19" t="s">
        <v>253</v>
      </c>
      <c r="D70" s="28">
        <v>20000</v>
      </c>
      <c r="E70" s="19" t="s">
        <v>334</v>
      </c>
      <c r="F70" s="19" t="s">
        <v>148</v>
      </c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</row>
    <row r="71" spans="1:19" ht="15.75" hidden="1" customHeight="1" x14ac:dyDescent="0.35">
      <c r="A71" s="37">
        <v>45558</v>
      </c>
      <c r="B71" s="37"/>
      <c r="C71" s="19" t="s">
        <v>622</v>
      </c>
      <c r="D71" s="28">
        <v>42550</v>
      </c>
      <c r="E71" s="19" t="s">
        <v>578</v>
      </c>
      <c r="F71" s="19" t="s">
        <v>148</v>
      </c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</row>
    <row r="72" spans="1:19" ht="15.75" hidden="1" customHeight="1" x14ac:dyDescent="0.35">
      <c r="A72" s="37">
        <v>45558</v>
      </c>
      <c r="B72" s="37" t="s">
        <v>555</v>
      </c>
      <c r="C72" s="19" t="s">
        <v>623</v>
      </c>
      <c r="D72" s="28">
        <v>90000</v>
      </c>
      <c r="E72" s="19" t="s">
        <v>280</v>
      </c>
      <c r="F72" s="19" t="s">
        <v>148</v>
      </c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</row>
    <row r="73" spans="1:19" ht="15.75" hidden="1" customHeight="1" x14ac:dyDescent="0.35">
      <c r="A73" s="37">
        <v>45558</v>
      </c>
      <c r="B73" s="37" t="s">
        <v>555</v>
      </c>
      <c r="C73" s="19" t="s">
        <v>624</v>
      </c>
      <c r="D73" s="28">
        <v>2000</v>
      </c>
      <c r="E73" s="19" t="s">
        <v>625</v>
      </c>
      <c r="F73" s="19" t="s">
        <v>148</v>
      </c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</row>
    <row r="74" spans="1:19" ht="15.75" hidden="1" customHeight="1" x14ac:dyDescent="0.35">
      <c r="A74" s="37">
        <v>45558</v>
      </c>
      <c r="B74" s="37" t="s">
        <v>555</v>
      </c>
      <c r="C74" s="19" t="s">
        <v>624</v>
      </c>
      <c r="D74" s="28">
        <v>24500</v>
      </c>
      <c r="E74" s="19" t="s">
        <v>625</v>
      </c>
      <c r="F74" s="19" t="s">
        <v>148</v>
      </c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</row>
    <row r="75" spans="1:19" ht="15.75" hidden="1" customHeight="1" x14ac:dyDescent="0.35">
      <c r="A75" s="37">
        <v>45559</v>
      </c>
      <c r="B75" s="37" t="s">
        <v>555</v>
      </c>
      <c r="C75" s="19" t="s">
        <v>283</v>
      </c>
      <c r="D75" s="28">
        <v>45000</v>
      </c>
      <c r="E75" s="19" t="s">
        <v>626</v>
      </c>
      <c r="F75" s="19" t="s">
        <v>148</v>
      </c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</row>
    <row r="76" spans="1:19" ht="15.75" hidden="1" customHeight="1" x14ac:dyDescent="0.35">
      <c r="A76" s="37">
        <v>45559</v>
      </c>
      <c r="B76" s="37" t="s">
        <v>555</v>
      </c>
      <c r="C76" s="19" t="s">
        <v>173</v>
      </c>
      <c r="D76" s="28">
        <v>120000</v>
      </c>
      <c r="E76" s="19" t="s">
        <v>310</v>
      </c>
      <c r="F76" s="19" t="s">
        <v>148</v>
      </c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</row>
    <row r="77" spans="1:19" ht="15.75" hidden="1" customHeight="1" x14ac:dyDescent="0.35">
      <c r="A77" s="37">
        <v>45559</v>
      </c>
      <c r="B77" s="37" t="s">
        <v>555</v>
      </c>
      <c r="C77" s="19" t="s">
        <v>627</v>
      </c>
      <c r="D77" s="28">
        <v>90000</v>
      </c>
      <c r="E77" s="19" t="s">
        <v>628</v>
      </c>
      <c r="F77" s="19" t="s">
        <v>148</v>
      </c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</row>
    <row r="78" spans="1:19" ht="15.75" hidden="1" customHeight="1" x14ac:dyDescent="0.35">
      <c r="A78" s="37">
        <v>45559</v>
      </c>
      <c r="B78" s="37" t="s">
        <v>555</v>
      </c>
      <c r="C78" s="19" t="s">
        <v>352</v>
      </c>
      <c r="D78" s="28">
        <v>50000</v>
      </c>
      <c r="E78" s="19" t="s">
        <v>353</v>
      </c>
      <c r="F78" s="19" t="s">
        <v>148</v>
      </c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</row>
    <row r="79" spans="1:19" ht="15.75" hidden="1" customHeight="1" x14ac:dyDescent="0.35">
      <c r="A79" s="37">
        <v>45559</v>
      </c>
      <c r="B79" s="37" t="s">
        <v>555</v>
      </c>
      <c r="C79" s="19" t="s">
        <v>629</v>
      </c>
      <c r="D79" s="28">
        <v>20000</v>
      </c>
      <c r="E79" s="19" t="s">
        <v>591</v>
      </c>
      <c r="F79" s="19" t="s">
        <v>148</v>
      </c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</row>
    <row r="80" spans="1:19" ht="15.75" hidden="1" customHeight="1" x14ac:dyDescent="0.35">
      <c r="A80" s="37">
        <v>45559</v>
      </c>
      <c r="B80" s="37" t="s">
        <v>555</v>
      </c>
      <c r="C80" s="19" t="s">
        <v>272</v>
      </c>
      <c r="D80" s="28">
        <v>5000</v>
      </c>
      <c r="E80" s="19" t="s">
        <v>245</v>
      </c>
      <c r="F80" s="19" t="s">
        <v>148</v>
      </c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</row>
    <row r="81" spans="1:19" ht="15.75" hidden="1" customHeight="1" x14ac:dyDescent="0.35">
      <c r="A81" s="37">
        <v>45559</v>
      </c>
      <c r="B81" s="37" t="s">
        <v>555</v>
      </c>
      <c r="C81" s="19" t="s">
        <v>630</v>
      </c>
      <c r="D81" s="28">
        <v>30000</v>
      </c>
      <c r="E81" s="19" t="s">
        <v>377</v>
      </c>
      <c r="F81" s="19" t="s">
        <v>148</v>
      </c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</row>
    <row r="82" spans="1:19" ht="15.75" hidden="1" customHeight="1" x14ac:dyDescent="0.35">
      <c r="A82" s="37">
        <v>45559</v>
      </c>
      <c r="B82" s="37"/>
      <c r="C82" s="19" t="s">
        <v>631</v>
      </c>
      <c r="D82" s="28">
        <v>54200</v>
      </c>
      <c r="E82" s="19" t="s">
        <v>328</v>
      </c>
      <c r="F82" s="19" t="s">
        <v>148</v>
      </c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</row>
    <row r="83" spans="1:19" ht="15.75" hidden="1" customHeight="1" x14ac:dyDescent="0.35">
      <c r="A83" s="37">
        <v>45560</v>
      </c>
      <c r="B83" s="37"/>
      <c r="C83" s="19" t="s">
        <v>632</v>
      </c>
      <c r="D83" s="28">
        <v>25000</v>
      </c>
      <c r="E83" s="19" t="s">
        <v>310</v>
      </c>
      <c r="F83" s="19" t="s">
        <v>148</v>
      </c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</row>
    <row r="84" spans="1:19" ht="15.75" hidden="1" customHeight="1" x14ac:dyDescent="0.35">
      <c r="A84" s="37">
        <v>45560</v>
      </c>
      <c r="B84" s="37" t="s">
        <v>555</v>
      </c>
      <c r="C84" s="19" t="s">
        <v>633</v>
      </c>
      <c r="D84" s="28">
        <v>40000</v>
      </c>
      <c r="E84" s="19" t="s">
        <v>634</v>
      </c>
      <c r="F84" s="19" t="s">
        <v>148</v>
      </c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</row>
    <row r="85" spans="1:19" ht="15.75" hidden="1" customHeight="1" x14ac:dyDescent="0.35">
      <c r="A85" s="37">
        <v>45560</v>
      </c>
      <c r="B85" s="37" t="s">
        <v>555</v>
      </c>
      <c r="C85" s="19" t="s">
        <v>196</v>
      </c>
      <c r="D85" s="28">
        <v>15000</v>
      </c>
      <c r="E85" s="19" t="s">
        <v>317</v>
      </c>
      <c r="F85" s="19" t="s">
        <v>148</v>
      </c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</row>
    <row r="86" spans="1:19" ht="15.75" hidden="1" customHeight="1" x14ac:dyDescent="0.35">
      <c r="A86" s="37">
        <v>45560</v>
      </c>
      <c r="B86" s="37" t="s">
        <v>555</v>
      </c>
      <c r="C86" s="19" t="s">
        <v>635</v>
      </c>
      <c r="D86" s="28">
        <v>205000</v>
      </c>
      <c r="E86" s="19" t="s">
        <v>636</v>
      </c>
      <c r="F86" s="19" t="s">
        <v>148</v>
      </c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</row>
    <row r="87" spans="1:19" ht="15.75" hidden="1" customHeight="1" x14ac:dyDescent="0.35">
      <c r="A87" s="37">
        <v>45560</v>
      </c>
      <c r="B87" s="37" t="s">
        <v>555</v>
      </c>
      <c r="C87" s="19" t="s">
        <v>609</v>
      </c>
      <c r="D87" s="28">
        <v>25000</v>
      </c>
      <c r="E87" s="19" t="s">
        <v>610</v>
      </c>
      <c r="F87" s="19" t="s">
        <v>148</v>
      </c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</row>
    <row r="88" spans="1:19" ht="15.75" hidden="1" customHeight="1" x14ac:dyDescent="0.35">
      <c r="A88" s="37">
        <v>45561</v>
      </c>
      <c r="B88" s="37" t="s">
        <v>555</v>
      </c>
      <c r="C88" s="19" t="s">
        <v>637</v>
      </c>
      <c r="D88" s="28">
        <v>14000</v>
      </c>
      <c r="E88" s="19" t="s">
        <v>620</v>
      </c>
      <c r="F88" s="19" t="s">
        <v>148</v>
      </c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</row>
    <row r="89" spans="1:19" ht="15.75" hidden="1" customHeight="1" x14ac:dyDescent="0.35">
      <c r="A89" s="37">
        <v>45562</v>
      </c>
      <c r="B89" s="37" t="s">
        <v>555</v>
      </c>
      <c r="C89" s="19" t="s">
        <v>638</v>
      </c>
      <c r="D89" s="28">
        <v>41000</v>
      </c>
      <c r="E89" s="19" t="s">
        <v>639</v>
      </c>
      <c r="F89" s="19" t="s">
        <v>148</v>
      </c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</row>
    <row r="90" spans="1:19" ht="15.75" hidden="1" customHeight="1" x14ac:dyDescent="0.35">
      <c r="A90" s="37">
        <v>45562</v>
      </c>
      <c r="B90" s="37" t="s">
        <v>555</v>
      </c>
      <c r="C90" s="19" t="s">
        <v>178</v>
      </c>
      <c r="D90" s="28">
        <v>25000</v>
      </c>
      <c r="E90" s="19" t="s">
        <v>359</v>
      </c>
      <c r="F90" s="19" t="s">
        <v>148</v>
      </c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</row>
    <row r="91" spans="1:19" ht="15.75" hidden="1" customHeight="1" x14ac:dyDescent="0.35">
      <c r="A91" s="37">
        <v>45562</v>
      </c>
      <c r="B91" s="37" t="s">
        <v>555</v>
      </c>
      <c r="C91" s="19" t="s">
        <v>640</v>
      </c>
      <c r="D91" s="28">
        <v>25000</v>
      </c>
      <c r="E91" s="19" t="s">
        <v>641</v>
      </c>
      <c r="F91" s="19" t="s">
        <v>148</v>
      </c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</row>
    <row r="92" spans="1:19" ht="15.75" hidden="1" customHeight="1" x14ac:dyDescent="0.35">
      <c r="A92" s="37">
        <v>45565</v>
      </c>
      <c r="B92" s="37" t="s">
        <v>555</v>
      </c>
      <c r="C92" s="19" t="s">
        <v>642</v>
      </c>
      <c r="D92" s="28">
        <v>30000</v>
      </c>
      <c r="E92" s="19" t="s">
        <v>436</v>
      </c>
      <c r="F92" s="19" t="s">
        <v>148</v>
      </c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</row>
    <row r="93" spans="1:19" ht="15.75" hidden="1" customHeight="1" x14ac:dyDescent="0.35">
      <c r="A93" s="37">
        <v>45565</v>
      </c>
      <c r="B93" s="37" t="s">
        <v>555</v>
      </c>
      <c r="C93" s="19" t="s">
        <v>457</v>
      </c>
      <c r="D93" s="28">
        <v>15000</v>
      </c>
      <c r="E93" s="19" t="s">
        <v>314</v>
      </c>
      <c r="F93" s="19" t="s">
        <v>148</v>
      </c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</row>
    <row r="94" spans="1:19" ht="15.75" hidden="1" customHeight="1" x14ac:dyDescent="0.35">
      <c r="A94" s="37">
        <v>45565</v>
      </c>
      <c r="B94" s="37" t="s">
        <v>555</v>
      </c>
      <c r="C94" s="19" t="s">
        <v>643</v>
      </c>
      <c r="D94" s="28">
        <v>35000</v>
      </c>
      <c r="E94" s="19" t="s">
        <v>240</v>
      </c>
      <c r="F94" s="19" t="s">
        <v>148</v>
      </c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</row>
    <row r="95" spans="1:19" ht="15.75" hidden="1" customHeight="1" x14ac:dyDescent="0.35">
      <c r="A95" s="37">
        <v>45565</v>
      </c>
      <c r="B95" s="37" t="s">
        <v>555</v>
      </c>
      <c r="C95" s="19" t="s">
        <v>644</v>
      </c>
      <c r="D95" s="28">
        <v>40000</v>
      </c>
      <c r="E95" s="19" t="s">
        <v>280</v>
      </c>
      <c r="F95" s="19" t="s">
        <v>148</v>
      </c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</row>
    <row r="96" spans="1:19" ht="15.75" hidden="1" customHeight="1" x14ac:dyDescent="0.35">
      <c r="A96" s="37">
        <v>45567</v>
      </c>
      <c r="B96" s="37"/>
      <c r="C96" s="19" t="s">
        <v>645</v>
      </c>
      <c r="D96" s="28">
        <v>20000</v>
      </c>
      <c r="E96" s="19" t="s">
        <v>238</v>
      </c>
      <c r="F96" s="19" t="s">
        <v>148</v>
      </c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</row>
    <row r="97" spans="1:19" ht="15.75" hidden="1" customHeight="1" x14ac:dyDescent="0.35">
      <c r="A97" s="37">
        <v>45567</v>
      </c>
      <c r="B97" s="37" t="s">
        <v>555</v>
      </c>
      <c r="C97" s="19" t="s">
        <v>646</v>
      </c>
      <c r="D97" s="28">
        <v>50000</v>
      </c>
      <c r="E97" s="19" t="s">
        <v>647</v>
      </c>
      <c r="F97" s="19" t="s">
        <v>148</v>
      </c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</row>
    <row r="98" spans="1:19" ht="15.75" hidden="1" customHeight="1" x14ac:dyDescent="0.35">
      <c r="A98" s="37">
        <v>45567</v>
      </c>
      <c r="B98" s="37" t="s">
        <v>555</v>
      </c>
      <c r="C98" s="19" t="s">
        <v>597</v>
      </c>
      <c r="D98" s="28">
        <v>20700</v>
      </c>
      <c r="E98" s="19" t="s">
        <v>598</v>
      </c>
      <c r="F98" s="19" t="s">
        <v>148</v>
      </c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</row>
    <row r="99" spans="1:19" ht="15.75" hidden="1" customHeight="1" x14ac:dyDescent="0.35">
      <c r="A99" s="37">
        <v>45568</v>
      </c>
      <c r="B99" s="37" t="s">
        <v>555</v>
      </c>
      <c r="C99" s="19" t="s">
        <v>648</v>
      </c>
      <c r="D99" s="28">
        <v>55900</v>
      </c>
      <c r="E99" s="19" t="s">
        <v>649</v>
      </c>
      <c r="F99" s="19" t="s">
        <v>148</v>
      </c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</row>
    <row r="100" spans="1:19" ht="15.75" hidden="1" customHeight="1" x14ac:dyDescent="0.35">
      <c r="A100" s="37">
        <v>45568</v>
      </c>
      <c r="B100" s="37" t="s">
        <v>555</v>
      </c>
      <c r="C100" s="19" t="s">
        <v>154</v>
      </c>
      <c r="D100" s="28">
        <v>65000</v>
      </c>
      <c r="E100" s="19" t="s">
        <v>344</v>
      </c>
      <c r="F100" s="19" t="s">
        <v>148</v>
      </c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</row>
    <row r="101" spans="1:19" ht="15.75" hidden="1" customHeight="1" x14ac:dyDescent="0.35">
      <c r="A101" s="37">
        <v>45568</v>
      </c>
      <c r="B101" s="37" t="s">
        <v>555</v>
      </c>
      <c r="C101" s="19" t="s">
        <v>409</v>
      </c>
      <c r="D101" s="28">
        <v>26800</v>
      </c>
      <c r="E101" s="19" t="s">
        <v>410</v>
      </c>
      <c r="F101" s="19" t="s">
        <v>148</v>
      </c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</row>
    <row r="102" spans="1:19" ht="15.75" hidden="1" customHeight="1" x14ac:dyDescent="0.35">
      <c r="A102" s="37">
        <v>45568</v>
      </c>
      <c r="B102" s="37" t="s">
        <v>555</v>
      </c>
      <c r="C102" s="19" t="s">
        <v>650</v>
      </c>
      <c r="D102" s="28">
        <v>48050</v>
      </c>
      <c r="E102" s="19" t="s">
        <v>586</v>
      </c>
      <c r="F102" s="19" t="s">
        <v>148</v>
      </c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</row>
    <row r="103" spans="1:19" ht="15.75" hidden="1" customHeight="1" x14ac:dyDescent="0.35">
      <c r="A103" s="37">
        <v>45570</v>
      </c>
      <c r="B103" s="37"/>
      <c r="C103" s="19" t="s">
        <v>651</v>
      </c>
      <c r="D103" s="28">
        <v>76900</v>
      </c>
      <c r="E103" s="19" t="s">
        <v>316</v>
      </c>
      <c r="F103" s="19" t="s">
        <v>148</v>
      </c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</row>
    <row r="104" spans="1:19" ht="15.75" hidden="1" customHeight="1" x14ac:dyDescent="0.35">
      <c r="A104" s="37">
        <v>45572</v>
      </c>
      <c r="B104" s="37" t="s">
        <v>555</v>
      </c>
      <c r="C104" s="19" t="s">
        <v>575</v>
      </c>
      <c r="D104" s="28">
        <v>24900</v>
      </c>
      <c r="E104" s="19" t="s">
        <v>576</v>
      </c>
      <c r="F104" s="19" t="s">
        <v>148</v>
      </c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</row>
    <row r="105" spans="1:19" ht="15.75" hidden="1" customHeight="1" x14ac:dyDescent="0.35">
      <c r="A105" s="37">
        <v>45572</v>
      </c>
      <c r="B105" s="37" t="s">
        <v>555</v>
      </c>
      <c r="C105" s="19" t="s">
        <v>439</v>
      </c>
      <c r="D105" s="28">
        <v>29000</v>
      </c>
      <c r="E105" s="19" t="s">
        <v>356</v>
      </c>
      <c r="F105" s="19" t="s">
        <v>148</v>
      </c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</row>
    <row r="106" spans="1:19" ht="15.75" hidden="1" customHeight="1" x14ac:dyDescent="0.35">
      <c r="A106" s="37">
        <v>45572</v>
      </c>
      <c r="B106" s="37" t="s">
        <v>555</v>
      </c>
      <c r="C106" s="19" t="s">
        <v>196</v>
      </c>
      <c r="D106" s="28">
        <v>40000</v>
      </c>
      <c r="E106" s="19" t="s">
        <v>317</v>
      </c>
      <c r="F106" s="19" t="s">
        <v>148</v>
      </c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</row>
    <row r="107" spans="1:19" ht="15.75" hidden="1" customHeight="1" x14ac:dyDescent="0.35">
      <c r="A107" s="37">
        <v>45572</v>
      </c>
      <c r="B107" s="37" t="s">
        <v>555</v>
      </c>
      <c r="C107" s="19" t="s">
        <v>464</v>
      </c>
      <c r="D107" s="28">
        <v>20000</v>
      </c>
      <c r="E107" s="19" t="s">
        <v>334</v>
      </c>
      <c r="F107" s="19" t="s">
        <v>148</v>
      </c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</row>
    <row r="108" spans="1:19" ht="15.75" hidden="1" customHeight="1" x14ac:dyDescent="0.35">
      <c r="A108" s="37">
        <v>45573</v>
      </c>
      <c r="B108" s="37" t="s">
        <v>555</v>
      </c>
      <c r="C108" s="19" t="s">
        <v>444</v>
      </c>
      <c r="D108" s="28">
        <v>30000</v>
      </c>
      <c r="E108" s="19" t="s">
        <v>220</v>
      </c>
      <c r="F108" s="19" t="s">
        <v>148</v>
      </c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</row>
    <row r="109" spans="1:19" ht="15.75" hidden="1" customHeight="1" x14ac:dyDescent="0.35">
      <c r="A109" s="37">
        <v>45574</v>
      </c>
      <c r="B109" s="37" t="s">
        <v>555</v>
      </c>
      <c r="C109" s="19" t="s">
        <v>581</v>
      </c>
      <c r="D109" s="28">
        <v>20000</v>
      </c>
      <c r="E109" s="19" t="s">
        <v>157</v>
      </c>
      <c r="F109" s="19" t="s">
        <v>148</v>
      </c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</row>
    <row r="110" spans="1:19" ht="15.75" hidden="1" customHeight="1" x14ac:dyDescent="0.35">
      <c r="A110" s="37">
        <v>45574</v>
      </c>
      <c r="B110" s="37" t="s">
        <v>555</v>
      </c>
      <c r="C110" s="19" t="s">
        <v>342</v>
      </c>
      <c r="D110" s="28">
        <v>20000</v>
      </c>
      <c r="E110" s="19" t="s">
        <v>652</v>
      </c>
      <c r="F110" s="19" t="s">
        <v>148</v>
      </c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</row>
    <row r="111" spans="1:19" ht="15.75" hidden="1" customHeight="1" x14ac:dyDescent="0.35">
      <c r="A111" s="37">
        <v>45577</v>
      </c>
      <c r="B111" s="37"/>
      <c r="C111" s="19" t="s">
        <v>653</v>
      </c>
      <c r="D111" s="28">
        <v>40000</v>
      </c>
      <c r="E111" s="19" t="s">
        <v>589</v>
      </c>
      <c r="F111" s="19" t="s">
        <v>148</v>
      </c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</row>
    <row r="112" spans="1:19" ht="15.75" hidden="1" customHeight="1" x14ac:dyDescent="0.35">
      <c r="A112" s="37">
        <v>45579</v>
      </c>
      <c r="B112" s="37"/>
      <c r="C112" s="19" t="s">
        <v>654</v>
      </c>
      <c r="D112" s="28">
        <v>8000</v>
      </c>
      <c r="E112" s="19" t="s">
        <v>431</v>
      </c>
      <c r="F112" s="19" t="s">
        <v>148</v>
      </c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spans="1:19" ht="15.75" hidden="1" customHeight="1" x14ac:dyDescent="0.35">
      <c r="A113" s="37">
        <v>45579</v>
      </c>
      <c r="B113" s="37"/>
      <c r="C113" s="19" t="s">
        <v>655</v>
      </c>
      <c r="D113" s="28">
        <v>30000</v>
      </c>
      <c r="E113" s="19" t="s">
        <v>181</v>
      </c>
      <c r="F113" s="19" t="s">
        <v>148</v>
      </c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</row>
    <row r="114" spans="1:19" ht="15.75" hidden="1" customHeight="1" x14ac:dyDescent="0.35">
      <c r="A114" s="37">
        <v>45579</v>
      </c>
      <c r="B114" s="37" t="s">
        <v>555</v>
      </c>
      <c r="C114" s="19" t="s">
        <v>656</v>
      </c>
      <c r="D114" s="28">
        <v>19050</v>
      </c>
      <c r="E114" s="19" t="s">
        <v>593</v>
      </c>
      <c r="F114" s="19" t="s">
        <v>148</v>
      </c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</row>
    <row r="115" spans="1:19" ht="15.75" hidden="1" customHeight="1" x14ac:dyDescent="0.35">
      <c r="A115" s="37">
        <v>45579</v>
      </c>
      <c r="B115" s="37" t="s">
        <v>555</v>
      </c>
      <c r="C115" s="19" t="s">
        <v>657</v>
      </c>
      <c r="D115" s="28">
        <v>36800</v>
      </c>
      <c r="E115" s="19" t="s">
        <v>167</v>
      </c>
      <c r="F115" s="19" t="s">
        <v>148</v>
      </c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</row>
    <row r="116" spans="1:19" ht="15.75" hidden="1" customHeight="1" x14ac:dyDescent="0.35">
      <c r="A116" s="37">
        <v>45579</v>
      </c>
      <c r="B116" s="37" t="s">
        <v>555</v>
      </c>
      <c r="C116" s="19" t="s">
        <v>658</v>
      </c>
      <c r="D116" s="28">
        <v>40000</v>
      </c>
      <c r="E116" s="19" t="s">
        <v>600</v>
      </c>
      <c r="F116" s="19" t="s">
        <v>148</v>
      </c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</row>
    <row r="117" spans="1:19" ht="15.75" hidden="1" customHeight="1" x14ac:dyDescent="0.35">
      <c r="A117" s="37">
        <v>45580</v>
      </c>
      <c r="B117" s="37"/>
      <c r="C117" s="19" t="s">
        <v>659</v>
      </c>
      <c r="D117" s="28">
        <v>40000</v>
      </c>
      <c r="E117" s="19" t="s">
        <v>310</v>
      </c>
      <c r="F117" s="19" t="s">
        <v>148</v>
      </c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</row>
    <row r="118" spans="1:19" ht="15.75" hidden="1" customHeight="1" x14ac:dyDescent="0.35">
      <c r="A118" s="37">
        <v>45580</v>
      </c>
      <c r="B118" s="37" t="s">
        <v>555</v>
      </c>
      <c r="C118" s="19" t="s">
        <v>660</v>
      </c>
      <c r="D118" s="28">
        <v>20000</v>
      </c>
      <c r="E118" s="19" t="s">
        <v>615</v>
      </c>
      <c r="F118" s="19" t="s">
        <v>148</v>
      </c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</row>
    <row r="119" spans="1:19" ht="15.75" hidden="1" customHeight="1" x14ac:dyDescent="0.35">
      <c r="A119" s="37">
        <v>45580</v>
      </c>
      <c r="B119" s="37" t="s">
        <v>555</v>
      </c>
      <c r="C119" s="19" t="s">
        <v>261</v>
      </c>
      <c r="D119" s="28">
        <v>50000</v>
      </c>
      <c r="E119" s="19" t="s">
        <v>324</v>
      </c>
      <c r="F119" s="19" t="s">
        <v>148</v>
      </c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</row>
    <row r="120" spans="1:19" ht="15.75" hidden="1" customHeight="1" x14ac:dyDescent="0.35">
      <c r="A120" s="37">
        <v>45581</v>
      </c>
      <c r="B120" s="37"/>
      <c r="C120" s="19" t="s">
        <v>661</v>
      </c>
      <c r="D120" s="28">
        <v>16050</v>
      </c>
      <c r="E120" s="19" t="s">
        <v>578</v>
      </c>
      <c r="F120" s="19" t="s">
        <v>148</v>
      </c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</row>
    <row r="121" spans="1:19" ht="15.75" hidden="1" customHeight="1" x14ac:dyDescent="0.35">
      <c r="A121" s="37">
        <v>45586</v>
      </c>
      <c r="B121" s="37" t="s">
        <v>555</v>
      </c>
      <c r="C121" s="19" t="s">
        <v>662</v>
      </c>
      <c r="D121" s="28">
        <v>20000</v>
      </c>
      <c r="E121" s="19" t="s">
        <v>641</v>
      </c>
      <c r="F121" s="19" t="s">
        <v>148</v>
      </c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</row>
    <row r="122" spans="1:19" ht="15.75" hidden="1" customHeight="1" x14ac:dyDescent="0.35">
      <c r="A122" s="37">
        <v>45587</v>
      </c>
      <c r="B122" s="37"/>
      <c r="C122" s="19" t="s">
        <v>663</v>
      </c>
      <c r="D122" s="28">
        <v>40000</v>
      </c>
      <c r="E122" s="19" t="s">
        <v>243</v>
      </c>
      <c r="F122" s="19" t="s">
        <v>148</v>
      </c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</row>
    <row r="123" spans="1:19" ht="15.75" hidden="1" customHeight="1" x14ac:dyDescent="0.35">
      <c r="A123" s="37">
        <v>45587</v>
      </c>
      <c r="B123" s="37" t="s">
        <v>555</v>
      </c>
      <c r="C123" s="19" t="s">
        <v>609</v>
      </c>
      <c r="D123" s="28">
        <v>30000</v>
      </c>
      <c r="E123" s="19" t="s">
        <v>610</v>
      </c>
      <c r="F123" s="19" t="s">
        <v>148</v>
      </c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</row>
    <row r="124" spans="1:19" ht="15.75" hidden="1" customHeight="1" x14ac:dyDescent="0.35">
      <c r="A124" s="37">
        <v>45588</v>
      </c>
      <c r="B124" s="37"/>
      <c r="C124" s="19" t="s">
        <v>664</v>
      </c>
      <c r="D124" s="28">
        <v>-13450</v>
      </c>
      <c r="E124" s="19" t="s">
        <v>310</v>
      </c>
      <c r="F124" s="19" t="s">
        <v>148</v>
      </c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</row>
    <row r="125" spans="1:19" ht="15.75" hidden="1" customHeight="1" x14ac:dyDescent="0.35">
      <c r="A125" s="37">
        <v>45589</v>
      </c>
      <c r="B125" s="37" t="s">
        <v>555</v>
      </c>
      <c r="C125" s="19" t="s">
        <v>467</v>
      </c>
      <c r="D125" s="28">
        <v>10000</v>
      </c>
      <c r="E125" s="19" t="s">
        <v>431</v>
      </c>
      <c r="F125" s="19" t="s">
        <v>148</v>
      </c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</row>
    <row r="126" spans="1:19" ht="15.75" hidden="1" customHeight="1" x14ac:dyDescent="0.35">
      <c r="A126" s="37">
        <v>45592</v>
      </c>
      <c r="B126" s="37"/>
      <c r="C126" s="19" t="s">
        <v>665</v>
      </c>
      <c r="D126" s="28">
        <v>30000</v>
      </c>
      <c r="E126" s="19" t="s">
        <v>569</v>
      </c>
      <c r="F126" s="19" t="s">
        <v>148</v>
      </c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</row>
    <row r="127" spans="1:19" ht="15.75" hidden="1" customHeight="1" x14ac:dyDescent="0.35">
      <c r="A127" s="37">
        <v>45592</v>
      </c>
      <c r="B127" s="37"/>
      <c r="C127" s="19" t="s">
        <v>666</v>
      </c>
      <c r="D127" s="28">
        <v>30000</v>
      </c>
      <c r="E127" s="19" t="s">
        <v>571</v>
      </c>
      <c r="F127" s="19" t="s">
        <v>148</v>
      </c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</row>
    <row r="128" spans="1:19" ht="15.75" hidden="1" customHeight="1" x14ac:dyDescent="0.35">
      <c r="A128" s="37">
        <v>45593</v>
      </c>
      <c r="B128" s="37" t="s">
        <v>555</v>
      </c>
      <c r="C128" s="19" t="s">
        <v>667</v>
      </c>
      <c r="D128" s="28">
        <v>89500</v>
      </c>
      <c r="E128" s="19" t="s">
        <v>227</v>
      </c>
      <c r="F128" s="19" t="s">
        <v>148</v>
      </c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</row>
    <row r="129" spans="1:19" ht="15.75" hidden="1" customHeight="1" x14ac:dyDescent="0.35">
      <c r="A129" s="37">
        <v>45593</v>
      </c>
      <c r="B129" s="37" t="s">
        <v>555</v>
      </c>
      <c r="C129" s="19" t="s">
        <v>467</v>
      </c>
      <c r="D129" s="28">
        <v>10000</v>
      </c>
      <c r="E129" s="19" t="s">
        <v>431</v>
      </c>
      <c r="F129" s="19" t="s">
        <v>148</v>
      </c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</row>
    <row r="130" spans="1:19" ht="15.75" hidden="1" customHeight="1" x14ac:dyDescent="0.35">
      <c r="A130" s="37">
        <v>45593</v>
      </c>
      <c r="B130" s="37" t="s">
        <v>555</v>
      </c>
      <c r="C130" s="19" t="s">
        <v>668</v>
      </c>
      <c r="D130" s="28">
        <v>10000</v>
      </c>
      <c r="E130" s="19" t="s">
        <v>245</v>
      </c>
      <c r="F130" s="19" t="s">
        <v>148</v>
      </c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</row>
    <row r="131" spans="1:19" ht="15.75" hidden="1" customHeight="1" x14ac:dyDescent="0.35">
      <c r="A131" s="37">
        <v>45593</v>
      </c>
      <c r="B131" s="37"/>
      <c r="C131" s="27" t="s">
        <v>669</v>
      </c>
      <c r="D131" s="28">
        <v>30000</v>
      </c>
      <c r="E131" s="19" t="s">
        <v>317</v>
      </c>
      <c r="F131" s="19" t="s">
        <v>148</v>
      </c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</row>
    <row r="132" spans="1:19" ht="15.75" hidden="1" customHeight="1" x14ac:dyDescent="0.35">
      <c r="A132" s="37">
        <v>45593</v>
      </c>
      <c r="B132" s="37" t="s">
        <v>555</v>
      </c>
      <c r="C132" s="19" t="s">
        <v>462</v>
      </c>
      <c r="D132" s="28">
        <v>10000</v>
      </c>
      <c r="E132" s="19" t="s">
        <v>323</v>
      </c>
      <c r="F132" s="19" t="s">
        <v>148</v>
      </c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</row>
    <row r="133" spans="1:19" ht="15.75" hidden="1" customHeight="1" x14ac:dyDescent="0.35">
      <c r="A133" s="37">
        <v>45594</v>
      </c>
      <c r="B133" s="37" t="s">
        <v>555</v>
      </c>
      <c r="C133" s="19" t="s">
        <v>670</v>
      </c>
      <c r="D133" s="28">
        <v>17800</v>
      </c>
      <c r="E133" s="19" t="s">
        <v>598</v>
      </c>
      <c r="F133" s="19" t="s">
        <v>148</v>
      </c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spans="1:19" ht="15.75" hidden="1" customHeight="1" x14ac:dyDescent="0.35">
      <c r="A134" s="37">
        <v>45594</v>
      </c>
      <c r="B134" s="37" t="s">
        <v>555</v>
      </c>
      <c r="C134" s="19" t="s">
        <v>643</v>
      </c>
      <c r="D134" s="28">
        <v>20000</v>
      </c>
      <c r="E134" s="19" t="s">
        <v>240</v>
      </c>
      <c r="F134" s="19" t="s">
        <v>148</v>
      </c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</row>
    <row r="135" spans="1:19" ht="15.75" hidden="1" customHeight="1" x14ac:dyDescent="0.35">
      <c r="A135" s="37">
        <v>45595</v>
      </c>
      <c r="B135" s="37" t="s">
        <v>555</v>
      </c>
      <c r="C135" s="19" t="s">
        <v>457</v>
      </c>
      <c r="D135" s="28">
        <v>35000</v>
      </c>
      <c r="E135" s="19" t="s">
        <v>314</v>
      </c>
      <c r="F135" s="19" t="s">
        <v>148</v>
      </c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</row>
    <row r="136" spans="1:19" ht="15.75" hidden="1" customHeight="1" x14ac:dyDescent="0.35">
      <c r="A136" s="37">
        <v>45595</v>
      </c>
      <c r="B136" s="37" t="s">
        <v>555</v>
      </c>
      <c r="C136" s="19" t="s">
        <v>671</v>
      </c>
      <c r="D136" s="28">
        <v>21700</v>
      </c>
      <c r="E136" s="19" t="s">
        <v>584</v>
      </c>
      <c r="F136" s="19" t="s">
        <v>148</v>
      </c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</row>
    <row r="137" spans="1:19" ht="15.75" hidden="1" customHeight="1" x14ac:dyDescent="0.35">
      <c r="A137" s="37">
        <v>45598</v>
      </c>
      <c r="B137" s="37" t="s">
        <v>555</v>
      </c>
      <c r="C137" s="19" t="s">
        <v>468</v>
      </c>
      <c r="D137" s="28">
        <v>19095</v>
      </c>
      <c r="E137" s="19" t="s">
        <v>338</v>
      </c>
      <c r="F137" s="19" t="s">
        <v>148</v>
      </c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</row>
    <row r="138" spans="1:19" ht="15.75" customHeight="1" x14ac:dyDescent="0.35">
      <c r="A138" s="37">
        <v>45599</v>
      </c>
      <c r="B138" s="37" t="s">
        <v>555</v>
      </c>
      <c r="C138" s="19" t="s">
        <v>429</v>
      </c>
      <c r="D138" s="28">
        <v>15500</v>
      </c>
      <c r="E138" s="19" t="s">
        <v>205</v>
      </c>
      <c r="F138" s="19" t="s">
        <v>148</v>
      </c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</row>
    <row r="139" spans="1:19" ht="15.75" hidden="1" customHeight="1" x14ac:dyDescent="0.35">
      <c r="A139" s="37">
        <v>45599</v>
      </c>
      <c r="B139" s="37" t="s">
        <v>555</v>
      </c>
      <c r="C139" s="19" t="s">
        <v>633</v>
      </c>
      <c r="D139" s="28">
        <v>20000</v>
      </c>
      <c r="E139" s="19" t="s">
        <v>634</v>
      </c>
      <c r="F139" s="19" t="s">
        <v>148</v>
      </c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</row>
    <row r="140" spans="1:19" ht="15.75" hidden="1" customHeight="1" x14ac:dyDescent="0.35">
      <c r="A140" s="37">
        <v>45599</v>
      </c>
      <c r="B140" s="37" t="s">
        <v>555</v>
      </c>
      <c r="C140" s="19" t="s">
        <v>178</v>
      </c>
      <c r="D140" s="28">
        <v>10000</v>
      </c>
      <c r="E140" s="19" t="s">
        <v>359</v>
      </c>
      <c r="F140" s="19" t="s">
        <v>148</v>
      </c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</row>
    <row r="141" spans="1:19" ht="15.75" hidden="1" customHeight="1" x14ac:dyDescent="0.35">
      <c r="A141" s="37">
        <v>45599</v>
      </c>
      <c r="B141" s="37" t="s">
        <v>555</v>
      </c>
      <c r="C141" s="19" t="s">
        <v>253</v>
      </c>
      <c r="D141" s="28">
        <v>50000</v>
      </c>
      <c r="E141" s="19" t="s">
        <v>334</v>
      </c>
      <c r="F141" s="19" t="s">
        <v>148</v>
      </c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</row>
    <row r="142" spans="1:19" ht="15.75" hidden="1" customHeight="1" x14ac:dyDescent="0.35">
      <c r="A142" s="37">
        <v>45600</v>
      </c>
      <c r="B142" s="37" t="s">
        <v>555</v>
      </c>
      <c r="C142" s="19" t="s">
        <v>672</v>
      </c>
      <c r="D142" s="28">
        <v>100000</v>
      </c>
      <c r="E142" s="19" t="s">
        <v>626</v>
      </c>
      <c r="F142" s="19" t="s">
        <v>148</v>
      </c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</row>
    <row r="143" spans="1:19" ht="15.75" hidden="1" customHeight="1" x14ac:dyDescent="0.35">
      <c r="A143" s="37">
        <v>45600</v>
      </c>
      <c r="B143" s="37"/>
      <c r="C143" s="27" t="s">
        <v>616</v>
      </c>
      <c r="D143" s="28">
        <v>57600</v>
      </c>
      <c r="E143" s="19" t="s">
        <v>331</v>
      </c>
      <c r="F143" s="19" t="s">
        <v>148</v>
      </c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spans="1:19" ht="15.75" hidden="1" customHeight="1" x14ac:dyDescent="0.35">
      <c r="A144" s="37">
        <v>45600</v>
      </c>
      <c r="B144" s="37" t="s">
        <v>555</v>
      </c>
      <c r="C144" s="19" t="s">
        <v>588</v>
      </c>
      <c r="D144" s="28">
        <v>78000</v>
      </c>
      <c r="E144" s="19" t="s">
        <v>589</v>
      </c>
      <c r="F144" s="19" t="s">
        <v>148</v>
      </c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</row>
    <row r="145" spans="1:25" ht="15.75" hidden="1" customHeight="1" x14ac:dyDescent="0.35">
      <c r="A145" s="37">
        <v>45600</v>
      </c>
      <c r="B145" s="37" t="s">
        <v>555</v>
      </c>
      <c r="C145" s="27" t="s">
        <v>638</v>
      </c>
      <c r="D145" s="28">
        <v>43000</v>
      </c>
      <c r="E145" s="19" t="s">
        <v>639</v>
      </c>
      <c r="F145" s="19" t="s">
        <v>148</v>
      </c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</row>
    <row r="146" spans="1:25" ht="15.75" hidden="1" customHeight="1" x14ac:dyDescent="0.35">
      <c r="A146" s="37">
        <v>45600</v>
      </c>
      <c r="B146" s="37" t="s">
        <v>555</v>
      </c>
      <c r="C146" s="19" t="s">
        <v>467</v>
      </c>
      <c r="D146" s="28">
        <v>30000</v>
      </c>
      <c r="E146" s="19" t="s">
        <v>193</v>
      </c>
      <c r="F146" s="19" t="s">
        <v>148</v>
      </c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</row>
    <row r="147" spans="1:25" ht="15.75" hidden="1" customHeight="1" x14ac:dyDescent="0.35">
      <c r="A147" s="37">
        <v>45600</v>
      </c>
      <c r="B147" s="37" t="s">
        <v>555</v>
      </c>
      <c r="C147" s="19" t="s">
        <v>673</v>
      </c>
      <c r="D147" s="28">
        <v>152000</v>
      </c>
      <c r="E147" s="19" t="s">
        <v>674</v>
      </c>
      <c r="F147" s="19" t="s">
        <v>148</v>
      </c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</row>
    <row r="148" spans="1:25" ht="15.75" hidden="1" customHeight="1" x14ac:dyDescent="0.35">
      <c r="A148" s="37">
        <v>45600</v>
      </c>
      <c r="B148" s="37" t="s">
        <v>555</v>
      </c>
      <c r="C148" s="27" t="s">
        <v>675</v>
      </c>
      <c r="D148" s="28">
        <v>9000</v>
      </c>
      <c r="E148" s="19" t="s">
        <v>620</v>
      </c>
      <c r="F148" s="19" t="s">
        <v>148</v>
      </c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 spans="1:25" ht="15.75" hidden="1" customHeight="1" x14ac:dyDescent="0.35">
      <c r="A149" s="37">
        <v>45600</v>
      </c>
      <c r="B149" s="37" t="s">
        <v>555</v>
      </c>
      <c r="C149" s="27" t="s">
        <v>676</v>
      </c>
      <c r="D149" s="28">
        <v>9200</v>
      </c>
      <c r="E149" s="19" t="s">
        <v>677</v>
      </c>
      <c r="F149" s="19" t="s">
        <v>148</v>
      </c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 spans="1:25" ht="15.75" hidden="1" customHeight="1" x14ac:dyDescent="0.35">
      <c r="A150" s="37">
        <v>45600</v>
      </c>
      <c r="B150" s="37" t="s">
        <v>555</v>
      </c>
      <c r="C150" s="27" t="s">
        <v>385</v>
      </c>
      <c r="D150" s="28">
        <v>30000</v>
      </c>
      <c r="E150" s="19" t="s">
        <v>377</v>
      </c>
      <c r="F150" s="19" t="s">
        <v>148</v>
      </c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 spans="1:25" ht="15.75" hidden="1" customHeight="1" x14ac:dyDescent="0.35">
      <c r="A151" s="37">
        <v>45600</v>
      </c>
      <c r="B151" s="37" t="s">
        <v>555</v>
      </c>
      <c r="C151" s="27" t="s">
        <v>678</v>
      </c>
      <c r="D151" s="28">
        <v>15000</v>
      </c>
      <c r="E151" s="19" t="s">
        <v>280</v>
      </c>
      <c r="F151" s="19" t="s">
        <v>148</v>
      </c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 spans="1:25" ht="15.75" hidden="1" customHeight="1" x14ac:dyDescent="0.35">
      <c r="A152" s="37">
        <v>45601</v>
      </c>
      <c r="B152" s="37" t="s">
        <v>555</v>
      </c>
      <c r="C152" s="27" t="s">
        <v>679</v>
      </c>
      <c r="D152" s="28">
        <v>15300</v>
      </c>
      <c r="E152" s="19" t="s">
        <v>647</v>
      </c>
      <c r="F152" s="19" t="s">
        <v>148</v>
      </c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 spans="1:25" ht="15.75" hidden="1" customHeight="1" x14ac:dyDescent="0.35">
      <c r="A153" s="37">
        <v>45601</v>
      </c>
      <c r="B153" s="37" t="s">
        <v>555</v>
      </c>
      <c r="C153" s="27" t="s">
        <v>680</v>
      </c>
      <c r="D153" s="28">
        <v>50000</v>
      </c>
      <c r="E153" s="19" t="s">
        <v>316</v>
      </c>
      <c r="F153" s="19" t="s">
        <v>148</v>
      </c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 spans="1:25" ht="15.75" hidden="1" customHeight="1" x14ac:dyDescent="0.35">
      <c r="A154" s="37">
        <v>45602</v>
      </c>
      <c r="B154" s="37"/>
      <c r="C154" s="27" t="s">
        <v>681</v>
      </c>
      <c r="D154" s="28">
        <v>25000</v>
      </c>
      <c r="E154" s="19" t="s">
        <v>347</v>
      </c>
      <c r="F154" s="19" t="s">
        <v>148</v>
      </c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</row>
    <row r="155" spans="1:25" ht="15.75" hidden="1" customHeight="1" x14ac:dyDescent="0.35">
      <c r="A155" s="37">
        <v>45603</v>
      </c>
      <c r="B155" s="37" t="s">
        <v>555</v>
      </c>
      <c r="C155" s="27" t="s">
        <v>682</v>
      </c>
      <c r="D155" s="28">
        <v>24000</v>
      </c>
      <c r="E155" s="19" t="s">
        <v>628</v>
      </c>
      <c r="F155" s="19" t="s">
        <v>148</v>
      </c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</row>
    <row r="156" spans="1:25" ht="15.75" hidden="1" customHeight="1" x14ac:dyDescent="0.35">
      <c r="A156" s="37">
        <v>45603</v>
      </c>
      <c r="B156" s="37" t="s">
        <v>555</v>
      </c>
      <c r="C156" s="27" t="s">
        <v>439</v>
      </c>
      <c r="D156" s="28">
        <v>50000</v>
      </c>
      <c r="E156" s="19" t="s">
        <v>356</v>
      </c>
      <c r="F156" s="19" t="s">
        <v>148</v>
      </c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</row>
    <row r="157" spans="1:25" ht="15.75" hidden="1" customHeight="1" x14ac:dyDescent="0.35">
      <c r="A157" s="37">
        <v>45606</v>
      </c>
      <c r="B157" s="37"/>
      <c r="C157" s="27" t="s">
        <v>683</v>
      </c>
      <c r="D157" s="28">
        <v>-8050</v>
      </c>
      <c r="E157" s="19" t="s">
        <v>353</v>
      </c>
      <c r="F157" s="19" t="s">
        <v>148</v>
      </c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</row>
    <row r="158" spans="1:25" ht="15.75" hidden="1" customHeight="1" x14ac:dyDescent="0.35">
      <c r="A158" s="37">
        <v>45606</v>
      </c>
      <c r="B158" s="37"/>
      <c r="C158" s="27" t="s">
        <v>655</v>
      </c>
      <c r="D158" s="28">
        <v>17800</v>
      </c>
      <c r="E158" s="19" t="s">
        <v>181</v>
      </c>
      <c r="F158" s="19" t="s">
        <v>148</v>
      </c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</row>
    <row r="159" spans="1:25" ht="15.75" hidden="1" customHeight="1" x14ac:dyDescent="0.35">
      <c r="A159" s="37">
        <v>45607</v>
      </c>
      <c r="B159" s="37"/>
      <c r="C159" s="27" t="s">
        <v>632</v>
      </c>
      <c r="D159" s="28">
        <v>30000</v>
      </c>
      <c r="E159" s="19" t="s">
        <v>310</v>
      </c>
      <c r="F159" s="19" t="s">
        <v>148</v>
      </c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</row>
    <row r="160" spans="1:25" ht="15.75" hidden="1" customHeight="1" x14ac:dyDescent="0.35">
      <c r="A160" s="37">
        <v>45607</v>
      </c>
      <c r="B160" s="37" t="s">
        <v>555</v>
      </c>
      <c r="C160" s="27" t="s">
        <v>575</v>
      </c>
      <c r="D160" s="28">
        <v>20000</v>
      </c>
      <c r="E160" s="19" t="s">
        <v>576</v>
      </c>
      <c r="F160" s="19" t="s">
        <v>148</v>
      </c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</row>
    <row r="161" spans="1:25" ht="15.75" hidden="1" customHeight="1" x14ac:dyDescent="0.35">
      <c r="A161" s="37">
        <v>45607</v>
      </c>
      <c r="B161" s="37" t="s">
        <v>555</v>
      </c>
      <c r="C161" s="27" t="s">
        <v>684</v>
      </c>
      <c r="D161" s="28">
        <v>57000</v>
      </c>
      <c r="E161" s="19" t="s">
        <v>353</v>
      </c>
      <c r="F161" s="19" t="s">
        <v>148</v>
      </c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</row>
    <row r="162" spans="1:25" ht="15.75" hidden="1" customHeight="1" x14ac:dyDescent="0.35">
      <c r="A162" s="37">
        <v>45607</v>
      </c>
      <c r="B162" s="37" t="s">
        <v>555</v>
      </c>
      <c r="C162" s="27" t="s">
        <v>581</v>
      </c>
      <c r="D162" s="28">
        <v>20000</v>
      </c>
      <c r="E162" s="19" t="s">
        <v>157</v>
      </c>
      <c r="F162" s="19" t="s">
        <v>148</v>
      </c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</row>
    <row r="163" spans="1:25" ht="15.75" hidden="1" customHeight="1" x14ac:dyDescent="0.35">
      <c r="A163" s="37">
        <v>45607</v>
      </c>
      <c r="B163" s="37" t="s">
        <v>555</v>
      </c>
      <c r="C163" s="27" t="s">
        <v>685</v>
      </c>
      <c r="D163" s="28">
        <v>10000</v>
      </c>
      <c r="E163" s="19" t="s">
        <v>634</v>
      </c>
      <c r="F163" s="19" t="s">
        <v>148</v>
      </c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</row>
    <row r="164" spans="1:25" ht="15.75" hidden="1" customHeight="1" x14ac:dyDescent="0.35">
      <c r="A164" s="37">
        <v>45607</v>
      </c>
      <c r="B164" s="37" t="s">
        <v>555</v>
      </c>
      <c r="C164" s="27" t="s">
        <v>686</v>
      </c>
      <c r="D164" s="28">
        <v>22200</v>
      </c>
      <c r="E164" s="19" t="s">
        <v>165</v>
      </c>
      <c r="F164" s="19" t="s">
        <v>148</v>
      </c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</row>
    <row r="165" spans="1:25" ht="15.75" hidden="1" customHeight="1" x14ac:dyDescent="0.35">
      <c r="A165" s="37">
        <v>45607</v>
      </c>
      <c r="B165" s="37" t="s">
        <v>555</v>
      </c>
      <c r="C165" s="27" t="s">
        <v>687</v>
      </c>
      <c r="D165" s="28">
        <v>10000</v>
      </c>
      <c r="E165" s="19" t="s">
        <v>314</v>
      </c>
      <c r="F165" s="19" t="s">
        <v>148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</row>
    <row r="166" spans="1:25" ht="15.75" hidden="1" customHeight="1" x14ac:dyDescent="0.35">
      <c r="A166" s="37">
        <v>45607</v>
      </c>
      <c r="B166" s="37" t="s">
        <v>555</v>
      </c>
      <c r="C166" s="27" t="s">
        <v>658</v>
      </c>
      <c r="D166" s="28">
        <v>50000</v>
      </c>
      <c r="E166" s="19" t="s">
        <v>600</v>
      </c>
      <c r="F166" s="19" t="s">
        <v>148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</row>
    <row r="167" spans="1:25" ht="15.75" hidden="1" customHeight="1" x14ac:dyDescent="0.35">
      <c r="A167" s="37">
        <v>45609</v>
      </c>
      <c r="B167" s="37" t="s">
        <v>555</v>
      </c>
      <c r="C167" s="27" t="s">
        <v>658</v>
      </c>
      <c r="D167" s="28">
        <v>10000</v>
      </c>
      <c r="E167" s="19" t="s">
        <v>600</v>
      </c>
      <c r="F167" s="19" t="s">
        <v>148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</row>
    <row r="168" spans="1:25" ht="15.75" hidden="1" customHeight="1" x14ac:dyDescent="0.35">
      <c r="A168" s="37">
        <v>45612</v>
      </c>
      <c r="B168" s="37" t="s">
        <v>555</v>
      </c>
      <c r="C168" s="27" t="s">
        <v>688</v>
      </c>
      <c r="D168" s="28">
        <v>20000</v>
      </c>
      <c r="E168" s="19" t="s">
        <v>344</v>
      </c>
      <c r="F168" s="19" t="s">
        <v>148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</row>
    <row r="169" spans="1:25" ht="15.75" hidden="1" customHeight="1" x14ac:dyDescent="0.35">
      <c r="A169" s="37">
        <v>45614</v>
      </c>
      <c r="B169" s="37" t="s">
        <v>555</v>
      </c>
      <c r="C169" s="27" t="s">
        <v>642</v>
      </c>
      <c r="D169" s="28">
        <v>20000</v>
      </c>
      <c r="E169" s="19" t="s">
        <v>436</v>
      </c>
      <c r="F169" s="19" t="s">
        <v>148</v>
      </c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</row>
    <row r="170" spans="1:25" ht="15.75" hidden="1" customHeight="1" x14ac:dyDescent="0.35">
      <c r="A170" s="37">
        <v>45614</v>
      </c>
      <c r="B170" s="37" t="s">
        <v>555</v>
      </c>
      <c r="C170" s="27" t="s">
        <v>689</v>
      </c>
      <c r="D170" s="28">
        <v>9700</v>
      </c>
      <c r="E170" s="19" t="s">
        <v>323</v>
      </c>
      <c r="F170" s="19" t="s">
        <v>148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</row>
    <row r="171" spans="1:25" ht="15.75" hidden="1" customHeight="1" x14ac:dyDescent="0.35">
      <c r="A171" s="37">
        <v>45615</v>
      </c>
      <c r="B171" s="37" t="s">
        <v>690</v>
      </c>
      <c r="C171" s="27" t="s">
        <v>691</v>
      </c>
      <c r="D171" s="28">
        <v>22000</v>
      </c>
      <c r="E171" s="19" t="s">
        <v>615</v>
      </c>
      <c r="F171" s="19" t="s">
        <v>148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</row>
    <row r="172" spans="1:25" ht="15.75" hidden="1" customHeight="1" x14ac:dyDescent="0.35">
      <c r="A172" s="37">
        <v>45616</v>
      </c>
      <c r="B172" s="37" t="s">
        <v>555</v>
      </c>
      <c r="C172" s="27" t="s">
        <v>675</v>
      </c>
      <c r="D172" s="28">
        <v>10000</v>
      </c>
      <c r="E172" s="19" t="s">
        <v>193</v>
      </c>
      <c r="F172" s="19" t="s">
        <v>148</v>
      </c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</row>
    <row r="173" spans="1:25" ht="15.75" hidden="1" customHeight="1" x14ac:dyDescent="0.35">
      <c r="A173" s="37">
        <v>45617</v>
      </c>
      <c r="B173" s="37" t="s">
        <v>555</v>
      </c>
      <c r="C173" s="27" t="s">
        <v>692</v>
      </c>
      <c r="D173" s="28">
        <v>20000</v>
      </c>
      <c r="E173" s="19" t="s">
        <v>421</v>
      </c>
      <c r="F173" s="19" t="s">
        <v>148</v>
      </c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</row>
    <row r="174" spans="1:25" ht="15.75" hidden="1" customHeight="1" x14ac:dyDescent="0.35">
      <c r="A174" s="37">
        <v>45617</v>
      </c>
      <c r="B174" s="37" t="s">
        <v>690</v>
      </c>
      <c r="C174" s="27" t="s">
        <v>693</v>
      </c>
      <c r="D174" s="28">
        <v>45000</v>
      </c>
      <c r="E174" s="19" t="s">
        <v>569</v>
      </c>
      <c r="F174" s="19" t="s">
        <v>148</v>
      </c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</row>
    <row r="175" spans="1:25" ht="15.75" hidden="1" customHeight="1" x14ac:dyDescent="0.35">
      <c r="A175" s="37">
        <v>45621</v>
      </c>
      <c r="B175" s="37" t="s">
        <v>555</v>
      </c>
      <c r="C175" s="27" t="s">
        <v>694</v>
      </c>
      <c r="D175" s="28">
        <v>20000</v>
      </c>
      <c r="E175" s="19" t="s">
        <v>220</v>
      </c>
      <c r="F175" s="19" t="s">
        <v>148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</row>
    <row r="176" spans="1:25" ht="15.75" hidden="1" customHeight="1" x14ac:dyDescent="0.35">
      <c r="A176" s="37">
        <v>45621</v>
      </c>
      <c r="B176" s="37" t="s">
        <v>555</v>
      </c>
      <c r="C176" s="27" t="s">
        <v>695</v>
      </c>
      <c r="D176" s="28">
        <v>5000</v>
      </c>
      <c r="E176" s="19" t="s">
        <v>620</v>
      </c>
      <c r="F176" s="19" t="s">
        <v>148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</row>
    <row r="177" spans="1:25" ht="15.75" hidden="1" customHeight="1" x14ac:dyDescent="0.35">
      <c r="A177" s="37">
        <v>45621</v>
      </c>
      <c r="B177" s="37" t="s">
        <v>555</v>
      </c>
      <c r="C177" s="27" t="s">
        <v>439</v>
      </c>
      <c r="D177" s="28">
        <v>30000</v>
      </c>
      <c r="E177" s="19" t="s">
        <v>356</v>
      </c>
      <c r="F177" s="19" t="s">
        <v>148</v>
      </c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</row>
    <row r="178" spans="1:25" ht="15.75" hidden="1" customHeight="1" x14ac:dyDescent="0.35">
      <c r="A178" s="37">
        <v>45621</v>
      </c>
      <c r="B178" s="37" t="s">
        <v>555</v>
      </c>
      <c r="C178" s="27" t="s">
        <v>696</v>
      </c>
      <c r="D178" s="28">
        <v>30000</v>
      </c>
      <c r="E178" s="19" t="s">
        <v>238</v>
      </c>
      <c r="F178" s="19" t="s">
        <v>148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</row>
    <row r="179" spans="1:25" ht="15.75" hidden="1" customHeight="1" x14ac:dyDescent="0.35">
      <c r="A179" s="37">
        <v>45622</v>
      </c>
      <c r="B179" s="37" t="s">
        <v>555</v>
      </c>
      <c r="C179" s="27" t="s">
        <v>154</v>
      </c>
      <c r="D179" s="28">
        <v>22550</v>
      </c>
      <c r="E179" s="19" t="s">
        <v>344</v>
      </c>
      <c r="F179" s="19" t="s">
        <v>148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</row>
    <row r="180" spans="1:25" ht="15.75" hidden="1" customHeight="1" x14ac:dyDescent="0.35">
      <c r="A180" s="37">
        <v>45622</v>
      </c>
      <c r="B180" s="37" t="s">
        <v>555</v>
      </c>
      <c r="C180" s="27" t="s">
        <v>697</v>
      </c>
      <c r="D180" s="28">
        <v>5400</v>
      </c>
      <c r="E180" s="19" t="s">
        <v>172</v>
      </c>
      <c r="F180" s="19" t="s">
        <v>148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</row>
    <row r="181" spans="1:25" ht="15.75" hidden="1" customHeight="1" x14ac:dyDescent="0.35">
      <c r="A181" s="37">
        <v>45621</v>
      </c>
      <c r="B181" s="37" t="s">
        <v>690</v>
      </c>
      <c r="C181" s="27" t="s">
        <v>698</v>
      </c>
      <c r="D181" s="28">
        <v>25000</v>
      </c>
      <c r="E181" s="19" t="s">
        <v>580</v>
      </c>
      <c r="F181" s="19" t="s">
        <v>148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</row>
    <row r="182" spans="1:25" ht="15.75" hidden="1" customHeight="1" x14ac:dyDescent="0.35">
      <c r="A182" s="37">
        <v>45623</v>
      </c>
      <c r="B182" s="37" t="s">
        <v>690</v>
      </c>
      <c r="C182" s="27" t="s">
        <v>681</v>
      </c>
      <c r="D182" s="28">
        <v>26750</v>
      </c>
      <c r="E182" s="19" t="s">
        <v>347</v>
      </c>
      <c r="F182" s="19" t="s">
        <v>148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</row>
    <row r="183" spans="1:25" ht="15.75" hidden="1" customHeight="1" x14ac:dyDescent="0.35">
      <c r="A183" s="37">
        <v>45625</v>
      </c>
      <c r="B183" s="54" t="s">
        <v>555</v>
      </c>
      <c r="C183" s="27" t="s">
        <v>699</v>
      </c>
      <c r="D183" s="28">
        <v>19250</v>
      </c>
      <c r="E183" s="55" t="s">
        <v>586</v>
      </c>
      <c r="F183" s="55" t="s">
        <v>148</v>
      </c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</row>
    <row r="184" spans="1:25" ht="15.75" hidden="1" customHeight="1" x14ac:dyDescent="0.35">
      <c r="A184" s="37">
        <v>45625</v>
      </c>
      <c r="B184" s="54" t="s">
        <v>690</v>
      </c>
      <c r="C184" s="27" t="s">
        <v>700</v>
      </c>
      <c r="D184" s="28">
        <v>700</v>
      </c>
      <c r="E184" s="55" t="s">
        <v>280</v>
      </c>
      <c r="F184" s="55" t="s">
        <v>148</v>
      </c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</row>
    <row r="185" spans="1:25" ht="15.75" hidden="1" customHeight="1" x14ac:dyDescent="0.35">
      <c r="A185" s="37">
        <v>45628</v>
      </c>
      <c r="B185" s="37" t="s">
        <v>555</v>
      </c>
      <c r="C185" s="27" t="s">
        <v>196</v>
      </c>
      <c r="D185" s="28">
        <v>24000</v>
      </c>
      <c r="E185" s="19" t="s">
        <v>317</v>
      </c>
      <c r="F185" s="19" t="s">
        <v>148</v>
      </c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</row>
    <row r="186" spans="1:25" ht="15.75" hidden="1" customHeight="1" x14ac:dyDescent="0.35">
      <c r="A186" s="37">
        <v>45628</v>
      </c>
      <c r="B186" s="37" t="s">
        <v>555</v>
      </c>
      <c r="C186" s="27" t="s">
        <v>629</v>
      </c>
      <c r="D186" s="28">
        <v>20000</v>
      </c>
      <c r="E186" s="19" t="s">
        <v>591</v>
      </c>
      <c r="F186" s="19" t="s">
        <v>148</v>
      </c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</row>
    <row r="187" spans="1:25" ht="15.75" hidden="1" customHeight="1" x14ac:dyDescent="0.35">
      <c r="A187" s="37">
        <v>45628</v>
      </c>
      <c r="B187" s="37" t="s">
        <v>555</v>
      </c>
      <c r="C187" s="27" t="s">
        <v>701</v>
      </c>
      <c r="D187" s="28">
        <v>10000</v>
      </c>
      <c r="E187" s="19" t="s">
        <v>634</v>
      </c>
      <c r="F187" s="19" t="s">
        <v>148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</row>
    <row r="188" spans="1:25" ht="15.75" hidden="1" customHeight="1" x14ac:dyDescent="0.35">
      <c r="A188" s="37">
        <v>45628</v>
      </c>
      <c r="B188" s="37" t="s">
        <v>555</v>
      </c>
      <c r="C188" s="27" t="s">
        <v>373</v>
      </c>
      <c r="D188" s="28">
        <v>10000</v>
      </c>
      <c r="E188" s="19" t="s">
        <v>436</v>
      </c>
      <c r="F188" s="19" t="s">
        <v>148</v>
      </c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</row>
    <row r="189" spans="1:25" ht="15.75" hidden="1" customHeight="1" x14ac:dyDescent="0.35">
      <c r="A189" s="37">
        <v>45628</v>
      </c>
      <c r="B189" s="37" t="s">
        <v>555</v>
      </c>
      <c r="C189" s="27" t="s">
        <v>662</v>
      </c>
      <c r="D189" s="28">
        <v>20300</v>
      </c>
      <c r="E189" s="19" t="s">
        <v>641</v>
      </c>
      <c r="F189" s="19" t="s">
        <v>148</v>
      </c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</row>
    <row r="190" spans="1:25" ht="15.75" hidden="1" customHeight="1" x14ac:dyDescent="0.35">
      <c r="A190" s="37">
        <v>45628</v>
      </c>
      <c r="B190" s="37" t="s">
        <v>555</v>
      </c>
      <c r="C190" s="27" t="s">
        <v>253</v>
      </c>
      <c r="D190" s="28">
        <v>30000</v>
      </c>
      <c r="E190" s="19" t="s">
        <v>334</v>
      </c>
      <c r="F190" s="19" t="s">
        <v>148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</row>
    <row r="191" spans="1:25" ht="15.75" hidden="1" customHeight="1" x14ac:dyDescent="0.35">
      <c r="A191" s="37">
        <v>45628</v>
      </c>
      <c r="B191" s="37" t="s">
        <v>555</v>
      </c>
      <c r="C191" s="27" t="s">
        <v>702</v>
      </c>
      <c r="D191" s="28">
        <v>37000</v>
      </c>
      <c r="E191" s="19" t="s">
        <v>421</v>
      </c>
      <c r="F191" s="19" t="s">
        <v>148</v>
      </c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</row>
    <row r="192" spans="1:25" ht="15.75" hidden="1" customHeight="1" x14ac:dyDescent="0.35">
      <c r="A192" s="37">
        <v>45628</v>
      </c>
      <c r="B192" s="37" t="s">
        <v>555</v>
      </c>
      <c r="C192" s="27" t="s">
        <v>624</v>
      </c>
      <c r="D192" s="28">
        <v>2400</v>
      </c>
      <c r="E192" s="19" t="s">
        <v>625</v>
      </c>
      <c r="F192" s="19" t="s">
        <v>148</v>
      </c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</row>
    <row r="193" spans="1:25" ht="15.75" hidden="1" customHeight="1" x14ac:dyDescent="0.35">
      <c r="A193" s="37">
        <v>45628</v>
      </c>
      <c r="B193" s="37" t="s">
        <v>555</v>
      </c>
      <c r="C193" s="27" t="s">
        <v>703</v>
      </c>
      <c r="D193" s="28">
        <v>35730</v>
      </c>
      <c r="E193" s="19" t="s">
        <v>324</v>
      </c>
      <c r="F193" s="19" t="s">
        <v>148</v>
      </c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</row>
    <row r="194" spans="1:25" ht="15.75" hidden="1" customHeight="1" x14ac:dyDescent="0.35">
      <c r="A194" s="37">
        <v>45628</v>
      </c>
      <c r="B194" s="37" t="s">
        <v>555</v>
      </c>
      <c r="C194" s="27" t="s">
        <v>704</v>
      </c>
      <c r="D194" s="28">
        <v>40000</v>
      </c>
      <c r="E194" s="19" t="s">
        <v>167</v>
      </c>
      <c r="F194" s="19" t="s">
        <v>148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</row>
    <row r="195" spans="1:25" ht="15.75" hidden="1" customHeight="1" x14ac:dyDescent="0.35">
      <c r="A195" s="37">
        <v>45628</v>
      </c>
      <c r="B195" s="37" t="s">
        <v>555</v>
      </c>
      <c r="C195" s="27" t="s">
        <v>272</v>
      </c>
      <c r="D195" s="28">
        <v>10000</v>
      </c>
      <c r="E195" s="19" t="s">
        <v>245</v>
      </c>
      <c r="F195" s="19" t="s">
        <v>148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</row>
    <row r="196" spans="1:25" ht="15.75" hidden="1" customHeight="1" x14ac:dyDescent="0.35">
      <c r="A196" s="37">
        <v>45628</v>
      </c>
      <c r="B196" s="37" t="s">
        <v>555</v>
      </c>
      <c r="C196" s="27" t="s">
        <v>342</v>
      </c>
      <c r="D196" s="28">
        <v>15000</v>
      </c>
      <c r="E196" s="19" t="s">
        <v>652</v>
      </c>
      <c r="F196" s="19" t="s">
        <v>148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</row>
    <row r="197" spans="1:25" ht="15.75" hidden="1" customHeight="1" x14ac:dyDescent="0.35">
      <c r="A197" s="37">
        <v>45628</v>
      </c>
      <c r="B197" s="37" t="s">
        <v>690</v>
      </c>
      <c r="C197" s="27" t="s">
        <v>705</v>
      </c>
      <c r="D197" s="28">
        <v>10000</v>
      </c>
      <c r="E197" s="19" t="s">
        <v>574</v>
      </c>
      <c r="F197" s="19" t="s">
        <v>148</v>
      </c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</row>
    <row r="198" spans="1:25" ht="15.75" hidden="1" customHeight="1" x14ac:dyDescent="0.35">
      <c r="A198" s="37">
        <v>45628</v>
      </c>
      <c r="B198" s="37" t="s">
        <v>555</v>
      </c>
      <c r="C198" s="27" t="s">
        <v>675</v>
      </c>
      <c r="D198" s="28">
        <v>15000</v>
      </c>
      <c r="E198" s="55" t="s">
        <v>620</v>
      </c>
      <c r="F198" s="55" t="s">
        <v>148</v>
      </c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</row>
    <row r="199" spans="1:25" ht="15.75" hidden="1" customHeight="1" x14ac:dyDescent="0.35">
      <c r="A199" s="37">
        <v>45628</v>
      </c>
      <c r="B199" s="37" t="s">
        <v>555</v>
      </c>
      <c r="C199" s="27" t="s">
        <v>557</v>
      </c>
      <c r="D199" s="28">
        <v>10900</v>
      </c>
      <c r="E199" s="19" t="s">
        <v>558</v>
      </c>
      <c r="F199" s="19" t="s">
        <v>148</v>
      </c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</row>
    <row r="200" spans="1:25" ht="15.75" hidden="1" customHeight="1" x14ac:dyDescent="0.35">
      <c r="A200" s="37">
        <v>45629</v>
      </c>
      <c r="B200" s="37" t="s">
        <v>555</v>
      </c>
      <c r="C200" s="27" t="s">
        <v>575</v>
      </c>
      <c r="D200" s="28">
        <v>16000</v>
      </c>
      <c r="E200" s="19" t="s">
        <v>576</v>
      </c>
      <c r="F200" s="19" t="s">
        <v>148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</row>
    <row r="201" spans="1:25" ht="15.75" hidden="1" customHeight="1" x14ac:dyDescent="0.35">
      <c r="A201" s="37">
        <v>45630</v>
      </c>
      <c r="B201" s="37" t="s">
        <v>555</v>
      </c>
      <c r="C201" s="27" t="s">
        <v>609</v>
      </c>
      <c r="D201" s="28">
        <v>4400</v>
      </c>
      <c r="E201" s="19" t="s">
        <v>610</v>
      </c>
      <c r="F201" s="19" t="s">
        <v>148</v>
      </c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</row>
    <row r="202" spans="1:25" ht="15.75" hidden="1" customHeight="1" x14ac:dyDescent="0.35">
      <c r="A202" s="37">
        <v>45630</v>
      </c>
      <c r="B202" s="37" t="s">
        <v>555</v>
      </c>
      <c r="C202" s="27" t="s">
        <v>435</v>
      </c>
      <c r="D202" s="28">
        <v>5500</v>
      </c>
      <c r="E202" s="19" t="s">
        <v>436</v>
      </c>
      <c r="F202" s="19" t="s">
        <v>148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</row>
    <row r="203" spans="1:25" ht="15.75" hidden="1" customHeight="1" x14ac:dyDescent="0.35">
      <c r="A203" s="37">
        <v>45630</v>
      </c>
      <c r="B203" s="54" t="s">
        <v>555</v>
      </c>
      <c r="C203" s="27" t="s">
        <v>581</v>
      </c>
      <c r="D203" s="28">
        <v>16000</v>
      </c>
      <c r="E203" s="55" t="s">
        <v>157</v>
      </c>
      <c r="F203" s="55" t="s">
        <v>148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</row>
    <row r="204" spans="1:25" ht="15.75" hidden="1" customHeight="1" x14ac:dyDescent="0.35">
      <c r="A204" s="37">
        <v>45630</v>
      </c>
      <c r="B204" s="54" t="s">
        <v>690</v>
      </c>
      <c r="C204" s="27" t="s">
        <v>707</v>
      </c>
      <c r="D204" s="28">
        <v>9000</v>
      </c>
      <c r="E204" s="55" t="s">
        <v>580</v>
      </c>
      <c r="F204" s="55" t="s">
        <v>148</v>
      </c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</row>
    <row r="205" spans="1:25" ht="15.75" hidden="1" customHeight="1" x14ac:dyDescent="0.35">
      <c r="A205" s="37">
        <v>45631</v>
      </c>
      <c r="B205" s="37" t="s">
        <v>555</v>
      </c>
      <c r="C205" s="27" t="s">
        <v>457</v>
      </c>
      <c r="D205" s="28">
        <v>8000</v>
      </c>
      <c r="E205" s="19" t="s">
        <v>314</v>
      </c>
      <c r="F205" s="19" t="s">
        <v>148</v>
      </c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</row>
    <row r="206" spans="1:25" ht="15.75" hidden="1" customHeight="1" x14ac:dyDescent="0.35">
      <c r="A206" s="37">
        <v>45635</v>
      </c>
      <c r="B206" s="37" t="s">
        <v>555</v>
      </c>
      <c r="C206" s="27" t="s">
        <v>272</v>
      </c>
      <c r="D206" s="28">
        <v>5000</v>
      </c>
      <c r="E206" s="19" t="s">
        <v>245</v>
      </c>
      <c r="F206" s="19" t="s">
        <v>148</v>
      </c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</row>
    <row r="207" spans="1:25" ht="15.75" hidden="1" customHeight="1" x14ac:dyDescent="0.35">
      <c r="A207" s="37">
        <v>45635</v>
      </c>
      <c r="B207" s="37" t="s">
        <v>555</v>
      </c>
      <c r="C207" s="27" t="s">
        <v>415</v>
      </c>
      <c r="D207" s="28">
        <v>5000</v>
      </c>
      <c r="E207" s="19" t="s">
        <v>316</v>
      </c>
      <c r="F207" s="19" t="s">
        <v>148</v>
      </c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</row>
    <row r="208" spans="1:25" ht="15.75" hidden="1" customHeight="1" x14ac:dyDescent="0.35">
      <c r="A208" s="37">
        <v>45635</v>
      </c>
      <c r="B208" s="37" t="s">
        <v>555</v>
      </c>
      <c r="C208" s="27" t="s">
        <v>658</v>
      </c>
      <c r="D208" s="28">
        <v>10000</v>
      </c>
      <c r="E208" s="19" t="s">
        <v>600</v>
      </c>
      <c r="F208" s="19" t="s">
        <v>148</v>
      </c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</row>
    <row r="209" spans="1:25" ht="15.75" hidden="1" customHeight="1" x14ac:dyDescent="0.35">
      <c r="A209" s="37">
        <v>45635</v>
      </c>
      <c r="B209" s="37" t="s">
        <v>555</v>
      </c>
      <c r="C209" s="27" t="s">
        <v>239</v>
      </c>
      <c r="D209" s="28">
        <v>30000</v>
      </c>
      <c r="E209" s="19" t="s">
        <v>240</v>
      </c>
      <c r="F209" s="19" t="s">
        <v>148</v>
      </c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</row>
    <row r="210" spans="1:25" ht="15.75" hidden="1" customHeight="1" x14ac:dyDescent="0.35">
      <c r="A210" s="37">
        <v>45635</v>
      </c>
      <c r="B210" s="54" t="s">
        <v>555</v>
      </c>
      <c r="C210" s="27" t="s">
        <v>709</v>
      </c>
      <c r="D210" s="28">
        <v>40000</v>
      </c>
      <c r="E210" s="55" t="s">
        <v>238</v>
      </c>
      <c r="F210" s="55" t="s">
        <v>148</v>
      </c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</row>
    <row r="211" spans="1:25" ht="15.75" customHeight="1" x14ac:dyDescent="0.35">
      <c r="A211" s="37"/>
      <c r="B211" s="37"/>
      <c r="C211" s="27"/>
      <c r="D211" s="28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</row>
    <row r="212" spans="1:25" ht="15.75" customHeight="1" x14ac:dyDescent="0.35">
      <c r="A212" s="37"/>
      <c r="B212" s="37"/>
      <c r="C212" s="19"/>
      <c r="D212" s="28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</row>
    <row r="213" spans="1:25" ht="15.75" customHeight="1" x14ac:dyDescent="0.35">
      <c r="A213" s="38"/>
      <c r="B213" s="38"/>
      <c r="D213" s="39"/>
    </row>
    <row r="214" spans="1:25" ht="15.75" customHeight="1" x14ac:dyDescent="0.35">
      <c r="A214" s="38"/>
      <c r="B214" s="38"/>
      <c r="D214" s="39"/>
    </row>
    <row r="215" spans="1:25" ht="15.75" customHeight="1" x14ac:dyDescent="0.35">
      <c r="A215" s="38"/>
      <c r="B215" s="38"/>
      <c r="D215" s="39"/>
    </row>
    <row r="216" spans="1:25" ht="15.75" customHeight="1" x14ac:dyDescent="0.35">
      <c r="A216" s="38"/>
      <c r="B216" s="38"/>
      <c r="D216" s="39"/>
    </row>
    <row r="217" spans="1:25" ht="15.75" customHeight="1" x14ac:dyDescent="0.35">
      <c r="A217" s="38"/>
      <c r="B217" s="38"/>
      <c r="D217" s="39"/>
    </row>
    <row r="218" spans="1:25" ht="15.75" customHeight="1" x14ac:dyDescent="0.35">
      <c r="A218" s="38"/>
      <c r="B218" s="38"/>
      <c r="D218" s="39"/>
    </row>
    <row r="219" spans="1:25" ht="15.75" customHeight="1" x14ac:dyDescent="0.35">
      <c r="A219" s="38"/>
      <c r="B219" s="38"/>
      <c r="D219" s="39"/>
    </row>
    <row r="220" spans="1:25" ht="15.75" customHeight="1" x14ac:dyDescent="0.35">
      <c r="A220" s="38"/>
      <c r="B220" s="38"/>
      <c r="D220" s="39"/>
    </row>
    <row r="221" spans="1:25" ht="15.75" customHeight="1" x14ac:dyDescent="0.35">
      <c r="A221" s="38"/>
      <c r="B221" s="38"/>
      <c r="D221" s="39"/>
    </row>
    <row r="222" spans="1:25" ht="15.75" customHeight="1" x14ac:dyDescent="0.35">
      <c r="A222" s="38"/>
      <c r="B222" s="38"/>
      <c r="D222" s="39"/>
    </row>
    <row r="223" spans="1:25" ht="15.75" customHeight="1" x14ac:dyDescent="0.35">
      <c r="A223" s="38"/>
      <c r="B223" s="38"/>
      <c r="D223" s="39"/>
    </row>
    <row r="224" spans="1:25" ht="15.75" customHeight="1" x14ac:dyDescent="0.35">
      <c r="A224" s="38"/>
      <c r="B224" s="38"/>
      <c r="D224" s="39"/>
    </row>
    <row r="225" spans="1:4" ht="15.75" customHeight="1" x14ac:dyDescent="0.35">
      <c r="A225" s="38"/>
      <c r="B225" s="38"/>
      <c r="D225" s="39"/>
    </row>
    <row r="226" spans="1:4" ht="15.75" customHeight="1" x14ac:dyDescent="0.35">
      <c r="A226" s="38"/>
      <c r="B226" s="38"/>
      <c r="D226" s="39"/>
    </row>
    <row r="227" spans="1:4" ht="15.75" customHeight="1" x14ac:dyDescent="0.35">
      <c r="A227" s="38"/>
      <c r="B227" s="38"/>
      <c r="D227" s="39"/>
    </row>
    <row r="228" spans="1:4" ht="15.75" customHeight="1" x14ac:dyDescent="0.35">
      <c r="A228" s="38"/>
      <c r="B228" s="38"/>
      <c r="D228" s="39"/>
    </row>
    <row r="229" spans="1:4" ht="15.75" customHeight="1" x14ac:dyDescent="0.35">
      <c r="A229" s="38"/>
      <c r="B229" s="38"/>
      <c r="D229" s="39"/>
    </row>
    <row r="230" spans="1:4" ht="15.75" customHeight="1" x14ac:dyDescent="0.35">
      <c r="A230" s="38"/>
      <c r="B230" s="38"/>
      <c r="D230" s="39"/>
    </row>
    <row r="231" spans="1:4" ht="15.75" customHeight="1" x14ac:dyDescent="0.35"/>
    <row r="232" spans="1:4" ht="15.75" customHeight="1" x14ac:dyDescent="0.35"/>
    <row r="233" spans="1:4" ht="15.75" customHeight="1" x14ac:dyDescent="0.35"/>
    <row r="234" spans="1:4" ht="15.75" customHeight="1" x14ac:dyDescent="0.35"/>
    <row r="235" spans="1:4" ht="15.75" customHeight="1" x14ac:dyDescent="0.35"/>
    <row r="236" spans="1:4" ht="15.75" customHeight="1" x14ac:dyDescent="0.35"/>
    <row r="237" spans="1:4" ht="15.75" customHeight="1" x14ac:dyDescent="0.35"/>
    <row r="238" spans="1:4" ht="15.75" customHeight="1" x14ac:dyDescent="0.35"/>
    <row r="239" spans="1:4" ht="15.75" customHeight="1" x14ac:dyDescent="0.35"/>
    <row r="240" spans="1:4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</sheetData>
  <autoFilter ref="A1:F210" xr:uid="{00000000-0001-0000-0700-000000000000}">
    <filterColumn colId="4">
      <filters>
        <filter val="Edem Zenith"/>
      </filters>
    </filterColumn>
  </autoFilter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BB1E-6BD0-46D2-A2FD-720A1B5EC987}">
  <sheetPr>
    <pageSetUpPr fitToPage="1"/>
  </sheetPr>
  <dimension ref="A1:AC991"/>
  <sheetViews>
    <sheetView workbookViewId="0">
      <pane xSplit="4" ySplit="1" topLeftCell="Y16" activePane="bottomRight" state="frozen"/>
      <selection pane="topRight" activeCell="E1" sqref="E1"/>
      <selection pane="bottomLeft" activeCell="A2" sqref="A2"/>
      <selection pane="bottomRight" activeCell="Z79" sqref="Z79"/>
    </sheetView>
  </sheetViews>
  <sheetFormatPr defaultColWidth="14.453125" defaultRowHeight="15" customHeight="1" x14ac:dyDescent="0.35"/>
  <cols>
    <col min="1" max="1" width="15.26953125" customWidth="1"/>
    <col min="2" max="2" width="33.7265625" customWidth="1"/>
    <col min="3" max="3" width="31.26953125" customWidth="1"/>
    <col min="4" max="4" width="11.453125" customWidth="1"/>
    <col min="5" max="5" width="11.90625" bestFit="1" customWidth="1"/>
    <col min="6" max="6" width="15.90625" bestFit="1" customWidth="1"/>
    <col min="7" max="7" width="13.453125" customWidth="1"/>
    <col min="8" max="8" width="16.90625" bestFit="1" customWidth="1"/>
    <col min="10" max="10" width="12" customWidth="1"/>
    <col min="11" max="11" width="12.81640625" customWidth="1"/>
    <col min="12" max="12" width="14" customWidth="1"/>
    <col min="13" max="13" width="17.36328125" bestFit="1" customWidth="1"/>
    <col min="14" max="14" width="13.36328125" bestFit="1" customWidth="1"/>
    <col min="15" max="15" width="14.26953125" customWidth="1"/>
    <col min="16" max="16" width="12.453125" bestFit="1" customWidth="1"/>
    <col min="17" max="17" width="11.36328125" bestFit="1" customWidth="1"/>
    <col min="18" max="18" width="9.26953125" bestFit="1" customWidth="1"/>
    <col min="19" max="19" width="16" customWidth="1"/>
    <col min="20" max="20" width="17.26953125" customWidth="1"/>
    <col min="21" max="21" width="13.453125" customWidth="1"/>
    <col min="22" max="22" width="28" customWidth="1"/>
    <col min="23" max="23" width="33.7265625" customWidth="1"/>
    <col min="24" max="24" width="19.36328125" bestFit="1" customWidth="1"/>
    <col min="25" max="25" width="16.7265625" customWidth="1"/>
    <col min="26" max="26" width="12.81640625" bestFit="1" customWidth="1"/>
    <col min="27" max="27" width="14.26953125" customWidth="1"/>
    <col min="28" max="28" width="12.81640625" customWidth="1"/>
  </cols>
  <sheetData>
    <row r="1" spans="1:28" x14ac:dyDescent="0.35">
      <c r="A1" s="56" t="s">
        <v>0</v>
      </c>
      <c r="B1" s="56" t="s">
        <v>1</v>
      </c>
      <c r="C1" s="56" t="s">
        <v>2</v>
      </c>
      <c r="D1" s="57" t="s">
        <v>478</v>
      </c>
      <c r="E1" s="58" t="s">
        <v>4</v>
      </c>
      <c r="F1" s="58" t="s">
        <v>479</v>
      </c>
      <c r="G1" s="58" t="s">
        <v>6</v>
      </c>
      <c r="H1" s="58" t="s">
        <v>7</v>
      </c>
      <c r="I1" s="58" t="s">
        <v>8</v>
      </c>
      <c r="J1" s="58" t="s">
        <v>480</v>
      </c>
      <c r="K1" s="58" t="s">
        <v>5</v>
      </c>
      <c r="L1" s="58" t="s">
        <v>481</v>
      </c>
      <c r="M1" s="58" t="s">
        <v>482</v>
      </c>
      <c r="N1" s="58" t="s">
        <v>483</v>
      </c>
      <c r="O1" s="58" t="s">
        <v>9</v>
      </c>
      <c r="P1" s="58" t="s">
        <v>10</v>
      </c>
      <c r="Q1" s="58" t="s">
        <v>11</v>
      </c>
      <c r="R1" s="58" t="s">
        <v>12</v>
      </c>
      <c r="S1" s="58" t="s">
        <v>13</v>
      </c>
      <c r="T1" s="58" t="s">
        <v>14</v>
      </c>
      <c r="U1" s="58" t="s">
        <v>15</v>
      </c>
      <c r="V1" s="58" t="s">
        <v>16</v>
      </c>
      <c r="W1" s="58" t="s">
        <v>17</v>
      </c>
      <c r="X1" s="58" t="s">
        <v>18</v>
      </c>
      <c r="Y1" s="58" t="s">
        <v>19</v>
      </c>
      <c r="Z1" s="58" t="s">
        <v>20</v>
      </c>
      <c r="AA1" s="58" t="s">
        <v>21</v>
      </c>
      <c r="AB1" s="58" t="s">
        <v>22</v>
      </c>
    </row>
    <row r="2" spans="1:28" x14ac:dyDescent="0.35">
      <c r="A2" s="59" t="s">
        <v>484</v>
      </c>
      <c r="B2" s="59" t="s">
        <v>485</v>
      </c>
      <c r="C2" s="59" t="s">
        <v>71</v>
      </c>
      <c r="D2" s="60">
        <v>0</v>
      </c>
      <c r="E2" s="61">
        <v>0</v>
      </c>
      <c r="F2" s="61">
        <v>23000</v>
      </c>
      <c r="G2" s="61">
        <v>1000</v>
      </c>
      <c r="H2" s="61">
        <v>1000</v>
      </c>
      <c r="I2" s="61">
        <v>0</v>
      </c>
      <c r="J2" s="61">
        <f t="shared" ref="J2:J33" si="0">(1-$D2)*E2</f>
        <v>0</v>
      </c>
      <c r="K2" s="61">
        <f t="shared" ref="K2:K33" si="1">(1-$D2)*F2</f>
        <v>23000</v>
      </c>
      <c r="L2" s="61">
        <f t="shared" ref="L2:L33" si="2">(1-$D2)*G2</f>
        <v>1000</v>
      </c>
      <c r="M2" s="61">
        <f t="shared" ref="M2:M33" si="3">(1-$D2)*H2</f>
        <v>1000</v>
      </c>
      <c r="N2" s="61">
        <f t="shared" ref="N2:N33" si="4">(1-$D2)*I2</f>
        <v>0</v>
      </c>
      <c r="O2" s="61">
        <v>0</v>
      </c>
      <c r="P2" s="61">
        <v>0</v>
      </c>
      <c r="Q2" s="61">
        <v>0</v>
      </c>
      <c r="R2" s="61">
        <v>0</v>
      </c>
      <c r="S2" s="61">
        <v>0</v>
      </c>
      <c r="T2" s="61">
        <v>5000</v>
      </c>
      <c r="U2" s="61">
        <v>0</v>
      </c>
      <c r="V2" s="61">
        <v>0</v>
      </c>
      <c r="W2" s="61">
        <v>0</v>
      </c>
      <c r="X2" s="61">
        <v>0</v>
      </c>
      <c r="Y2" s="61">
        <v>0</v>
      </c>
      <c r="Z2" s="61">
        <f t="shared" ref="Z2:Z33" si="5">SUM(J2:Y2)</f>
        <v>30000</v>
      </c>
      <c r="AA2" s="61">
        <v>0</v>
      </c>
      <c r="AB2" s="61">
        <f t="shared" ref="AB2:AB33" si="6">Z2-AA2</f>
        <v>30000</v>
      </c>
    </row>
    <row r="3" spans="1:28" x14ac:dyDescent="0.35">
      <c r="A3" s="59" t="s">
        <v>23</v>
      </c>
      <c r="B3" s="59" t="s">
        <v>486</v>
      </c>
      <c r="C3" s="59" t="s">
        <v>71</v>
      </c>
      <c r="D3" s="60">
        <v>0.25</v>
      </c>
      <c r="E3" s="61">
        <v>0</v>
      </c>
      <c r="F3" s="61">
        <v>23000</v>
      </c>
      <c r="G3" s="61">
        <v>1000</v>
      </c>
      <c r="H3" s="61">
        <v>1000</v>
      </c>
      <c r="I3" s="61">
        <v>0</v>
      </c>
      <c r="J3" s="61">
        <f t="shared" si="0"/>
        <v>0</v>
      </c>
      <c r="K3" s="61">
        <f t="shared" si="1"/>
        <v>17250</v>
      </c>
      <c r="L3" s="61">
        <f t="shared" si="2"/>
        <v>750</v>
      </c>
      <c r="M3" s="61">
        <f t="shared" si="3"/>
        <v>750</v>
      </c>
      <c r="N3" s="61">
        <f t="shared" si="4"/>
        <v>0</v>
      </c>
      <c r="O3" s="61">
        <v>0</v>
      </c>
      <c r="P3" s="61">
        <v>0</v>
      </c>
      <c r="Q3" s="61">
        <v>0</v>
      </c>
      <c r="R3" s="61">
        <v>0</v>
      </c>
      <c r="S3" s="61">
        <v>0</v>
      </c>
      <c r="T3" s="61">
        <v>0</v>
      </c>
      <c r="U3" s="61">
        <v>0</v>
      </c>
      <c r="V3" s="61">
        <v>0</v>
      </c>
      <c r="W3" s="61">
        <v>0</v>
      </c>
      <c r="X3" s="61">
        <v>0</v>
      </c>
      <c r="Y3" s="61">
        <v>-28225</v>
      </c>
      <c r="Z3" s="61">
        <f t="shared" si="5"/>
        <v>-9475</v>
      </c>
      <c r="AA3" s="61">
        <v>0</v>
      </c>
      <c r="AB3" s="61">
        <f t="shared" si="6"/>
        <v>-9475</v>
      </c>
    </row>
    <row r="4" spans="1:28" x14ac:dyDescent="0.35">
      <c r="A4" s="59" t="s">
        <v>45</v>
      </c>
      <c r="B4" s="59" t="s">
        <v>706</v>
      </c>
      <c r="C4" s="59" t="s">
        <v>71</v>
      </c>
      <c r="D4" s="60">
        <v>0.25</v>
      </c>
      <c r="E4" s="61">
        <v>0</v>
      </c>
      <c r="F4" s="61">
        <v>23000</v>
      </c>
      <c r="G4" s="61">
        <v>1000</v>
      </c>
      <c r="H4" s="61">
        <v>1000</v>
      </c>
      <c r="I4" s="61">
        <v>0</v>
      </c>
      <c r="J4" s="61">
        <f t="shared" si="0"/>
        <v>0</v>
      </c>
      <c r="K4" s="61">
        <f t="shared" si="1"/>
        <v>17250</v>
      </c>
      <c r="L4" s="61">
        <f t="shared" si="2"/>
        <v>750</v>
      </c>
      <c r="M4" s="61">
        <f t="shared" si="3"/>
        <v>750</v>
      </c>
      <c r="N4" s="61">
        <f t="shared" si="4"/>
        <v>0</v>
      </c>
      <c r="O4" s="61">
        <v>0</v>
      </c>
      <c r="P4" s="61">
        <v>0</v>
      </c>
      <c r="Q4" s="61">
        <v>0</v>
      </c>
      <c r="R4" s="61">
        <v>0</v>
      </c>
      <c r="S4" s="61">
        <v>0</v>
      </c>
      <c r="T4" s="61">
        <v>0</v>
      </c>
      <c r="U4" s="61">
        <v>0</v>
      </c>
      <c r="V4" s="61">
        <v>0</v>
      </c>
      <c r="W4" s="61">
        <v>0</v>
      </c>
      <c r="X4" s="61">
        <v>0</v>
      </c>
      <c r="Y4" s="61">
        <v>40275</v>
      </c>
      <c r="Z4" s="61">
        <f t="shared" si="5"/>
        <v>59025</v>
      </c>
      <c r="AA4" s="61">
        <v>0</v>
      </c>
      <c r="AB4" s="61">
        <f t="shared" si="6"/>
        <v>59025</v>
      </c>
    </row>
    <row r="5" spans="1:28" x14ac:dyDescent="0.35">
      <c r="A5" s="59" t="s">
        <v>50</v>
      </c>
      <c r="B5" s="59" t="s">
        <v>487</v>
      </c>
      <c r="C5" s="59" t="s">
        <v>71</v>
      </c>
      <c r="D5" s="60">
        <v>0.25</v>
      </c>
      <c r="E5" s="61">
        <v>0</v>
      </c>
      <c r="F5" s="61">
        <v>23000</v>
      </c>
      <c r="G5" s="61">
        <v>1000</v>
      </c>
      <c r="H5" s="61">
        <v>1000</v>
      </c>
      <c r="I5" s="61">
        <v>0</v>
      </c>
      <c r="J5" s="61">
        <f t="shared" si="0"/>
        <v>0</v>
      </c>
      <c r="K5" s="61">
        <f t="shared" si="1"/>
        <v>17250</v>
      </c>
      <c r="L5" s="61">
        <f t="shared" si="2"/>
        <v>750</v>
      </c>
      <c r="M5" s="61">
        <f t="shared" si="3"/>
        <v>750</v>
      </c>
      <c r="N5" s="61">
        <f t="shared" si="4"/>
        <v>0</v>
      </c>
      <c r="O5" s="61">
        <v>0</v>
      </c>
      <c r="P5" s="61">
        <v>0</v>
      </c>
      <c r="Q5" s="61">
        <v>0</v>
      </c>
      <c r="R5" s="61">
        <v>0</v>
      </c>
      <c r="S5" s="61">
        <v>0</v>
      </c>
      <c r="T5" s="61">
        <v>5000</v>
      </c>
      <c r="U5" s="61">
        <v>0</v>
      </c>
      <c r="V5" s="61">
        <v>0</v>
      </c>
      <c r="W5" s="61">
        <v>0</v>
      </c>
      <c r="X5" s="61">
        <v>0</v>
      </c>
      <c r="Y5" s="61">
        <v>-10000</v>
      </c>
      <c r="Z5" s="61">
        <f t="shared" si="5"/>
        <v>13750</v>
      </c>
      <c r="AA5" s="61">
        <v>0</v>
      </c>
      <c r="AB5" s="61">
        <f t="shared" si="6"/>
        <v>13750</v>
      </c>
    </row>
    <row r="6" spans="1:28" x14ac:dyDescent="0.35">
      <c r="A6" s="59" t="s">
        <v>488</v>
      </c>
      <c r="B6" s="59" t="s">
        <v>489</v>
      </c>
      <c r="C6" s="59" t="s">
        <v>71</v>
      </c>
      <c r="D6" s="60">
        <v>0</v>
      </c>
      <c r="E6" s="61">
        <v>0</v>
      </c>
      <c r="F6" s="61">
        <v>23000</v>
      </c>
      <c r="G6" s="61">
        <v>1000</v>
      </c>
      <c r="H6" s="61">
        <v>1000</v>
      </c>
      <c r="I6" s="61">
        <v>0</v>
      </c>
      <c r="J6" s="61">
        <f t="shared" si="0"/>
        <v>0</v>
      </c>
      <c r="K6" s="61">
        <f t="shared" si="1"/>
        <v>23000</v>
      </c>
      <c r="L6" s="61">
        <f t="shared" si="2"/>
        <v>1000</v>
      </c>
      <c r="M6" s="61">
        <f t="shared" si="3"/>
        <v>1000</v>
      </c>
      <c r="N6" s="61">
        <f t="shared" si="4"/>
        <v>0</v>
      </c>
      <c r="O6" s="61">
        <v>0</v>
      </c>
      <c r="P6" s="61">
        <v>0</v>
      </c>
      <c r="Q6" s="61">
        <v>0</v>
      </c>
      <c r="R6" s="61">
        <v>0</v>
      </c>
      <c r="S6" s="61">
        <v>0</v>
      </c>
      <c r="T6" s="61">
        <v>0</v>
      </c>
      <c r="U6" s="61">
        <v>0</v>
      </c>
      <c r="V6" s="61">
        <v>0</v>
      </c>
      <c r="W6" s="61">
        <v>0</v>
      </c>
      <c r="X6" s="61">
        <v>0</v>
      </c>
      <c r="Y6" s="61">
        <v>0</v>
      </c>
      <c r="Z6" s="61">
        <f t="shared" si="5"/>
        <v>25000</v>
      </c>
      <c r="AA6" s="61">
        <v>0</v>
      </c>
      <c r="AB6" s="61">
        <f t="shared" si="6"/>
        <v>25000</v>
      </c>
    </row>
    <row r="7" spans="1:28" x14ac:dyDescent="0.35">
      <c r="A7" s="59" t="s">
        <v>490</v>
      </c>
      <c r="B7" s="59" t="s">
        <v>491</v>
      </c>
      <c r="C7" s="59" t="s">
        <v>71</v>
      </c>
      <c r="D7" s="60">
        <v>0.25</v>
      </c>
      <c r="E7" s="61">
        <v>0</v>
      </c>
      <c r="F7" s="61">
        <v>23000</v>
      </c>
      <c r="G7" s="61">
        <v>1000</v>
      </c>
      <c r="H7" s="61">
        <v>1000</v>
      </c>
      <c r="I7" s="61">
        <v>0</v>
      </c>
      <c r="J7" s="61">
        <f t="shared" si="0"/>
        <v>0</v>
      </c>
      <c r="K7" s="61">
        <f t="shared" si="1"/>
        <v>17250</v>
      </c>
      <c r="L7" s="61">
        <f t="shared" si="2"/>
        <v>750</v>
      </c>
      <c r="M7" s="61">
        <f t="shared" si="3"/>
        <v>750</v>
      </c>
      <c r="N7" s="61">
        <f t="shared" si="4"/>
        <v>0</v>
      </c>
      <c r="O7" s="61">
        <v>0</v>
      </c>
      <c r="P7" s="61">
        <v>0</v>
      </c>
      <c r="Q7" s="61">
        <v>0</v>
      </c>
      <c r="R7" s="61">
        <v>0</v>
      </c>
      <c r="S7" s="61">
        <v>0</v>
      </c>
      <c r="T7" s="61">
        <v>5000</v>
      </c>
      <c r="U7" s="61">
        <v>0</v>
      </c>
      <c r="V7" s="61">
        <v>0</v>
      </c>
      <c r="W7" s="61">
        <v>0</v>
      </c>
      <c r="X7" s="61">
        <v>0</v>
      </c>
      <c r="Y7" s="61">
        <v>0</v>
      </c>
      <c r="Z7" s="61">
        <f t="shared" si="5"/>
        <v>23750</v>
      </c>
      <c r="AA7" s="61">
        <v>0</v>
      </c>
      <c r="AB7" s="61">
        <f t="shared" si="6"/>
        <v>23750</v>
      </c>
    </row>
    <row r="8" spans="1:28" x14ac:dyDescent="0.35">
      <c r="A8" s="59" t="s">
        <v>492</v>
      </c>
      <c r="B8" s="59" t="s">
        <v>493</v>
      </c>
      <c r="C8" s="59" t="s">
        <v>71</v>
      </c>
      <c r="D8" s="60">
        <v>0</v>
      </c>
      <c r="E8" s="61">
        <v>0</v>
      </c>
      <c r="F8" s="61">
        <v>23000</v>
      </c>
      <c r="G8" s="61">
        <v>1000</v>
      </c>
      <c r="H8" s="61">
        <v>1000</v>
      </c>
      <c r="I8" s="61">
        <v>0</v>
      </c>
      <c r="J8" s="61">
        <f t="shared" si="0"/>
        <v>0</v>
      </c>
      <c r="K8" s="61">
        <f t="shared" si="1"/>
        <v>23000</v>
      </c>
      <c r="L8" s="61">
        <f t="shared" si="2"/>
        <v>1000</v>
      </c>
      <c r="M8" s="61">
        <f t="shared" si="3"/>
        <v>1000</v>
      </c>
      <c r="N8" s="61">
        <f t="shared" si="4"/>
        <v>0</v>
      </c>
      <c r="O8" s="61">
        <v>0</v>
      </c>
      <c r="P8" s="61">
        <v>0</v>
      </c>
      <c r="Q8" s="61">
        <v>0</v>
      </c>
      <c r="R8" s="61">
        <v>0</v>
      </c>
      <c r="S8" s="61">
        <v>0</v>
      </c>
      <c r="T8" s="61">
        <v>5000</v>
      </c>
      <c r="U8" s="61">
        <v>0</v>
      </c>
      <c r="V8" s="61">
        <v>0</v>
      </c>
      <c r="W8" s="61">
        <v>0</v>
      </c>
      <c r="X8" s="61">
        <v>0</v>
      </c>
      <c r="Y8" s="61">
        <v>0</v>
      </c>
      <c r="Z8" s="61">
        <f t="shared" si="5"/>
        <v>30000</v>
      </c>
      <c r="AA8" s="61">
        <v>0</v>
      </c>
      <c r="AB8" s="61">
        <f t="shared" si="6"/>
        <v>30000</v>
      </c>
    </row>
    <row r="9" spans="1:28" x14ac:dyDescent="0.35">
      <c r="A9" s="59" t="s">
        <v>494</v>
      </c>
      <c r="B9" s="59" t="s">
        <v>63</v>
      </c>
      <c r="C9" s="59" t="s">
        <v>71</v>
      </c>
      <c r="D9" s="60">
        <v>0</v>
      </c>
      <c r="E9" s="61">
        <v>0</v>
      </c>
      <c r="F9" s="61">
        <v>23000</v>
      </c>
      <c r="G9" s="61">
        <v>1000</v>
      </c>
      <c r="H9" s="61">
        <v>1000</v>
      </c>
      <c r="I9" s="61">
        <v>0</v>
      </c>
      <c r="J9" s="61">
        <f t="shared" si="0"/>
        <v>0</v>
      </c>
      <c r="K9" s="61">
        <f t="shared" si="1"/>
        <v>23000</v>
      </c>
      <c r="L9" s="61">
        <f t="shared" si="2"/>
        <v>1000</v>
      </c>
      <c r="M9" s="61">
        <f t="shared" si="3"/>
        <v>1000</v>
      </c>
      <c r="N9" s="61">
        <f t="shared" si="4"/>
        <v>0</v>
      </c>
      <c r="O9" s="61">
        <v>0</v>
      </c>
      <c r="P9" s="61">
        <v>0</v>
      </c>
      <c r="Q9" s="61">
        <v>0</v>
      </c>
      <c r="R9" s="61">
        <v>0</v>
      </c>
      <c r="S9" s="61">
        <v>0</v>
      </c>
      <c r="T9" s="61">
        <v>0</v>
      </c>
      <c r="U9" s="61">
        <v>0</v>
      </c>
      <c r="V9" s="61">
        <v>0</v>
      </c>
      <c r="W9" s="61">
        <v>0</v>
      </c>
      <c r="X9" s="61">
        <v>0</v>
      </c>
      <c r="Y9" s="61">
        <v>0</v>
      </c>
      <c r="Z9" s="61">
        <f t="shared" si="5"/>
        <v>25000</v>
      </c>
      <c r="AA9" s="61">
        <v>0</v>
      </c>
      <c r="AB9" s="61">
        <f t="shared" si="6"/>
        <v>25000</v>
      </c>
    </row>
    <row r="10" spans="1:28" x14ac:dyDescent="0.35">
      <c r="A10" s="59" t="s">
        <v>495</v>
      </c>
      <c r="B10" s="59" t="s">
        <v>496</v>
      </c>
      <c r="C10" s="59" t="s">
        <v>71</v>
      </c>
      <c r="D10" s="60">
        <v>0</v>
      </c>
      <c r="E10" s="61">
        <v>0</v>
      </c>
      <c r="F10" s="61">
        <v>23000</v>
      </c>
      <c r="G10" s="61">
        <v>1000</v>
      </c>
      <c r="H10" s="61">
        <v>1000</v>
      </c>
      <c r="I10" s="61">
        <v>0</v>
      </c>
      <c r="J10" s="61">
        <f t="shared" si="0"/>
        <v>0</v>
      </c>
      <c r="K10" s="61">
        <f t="shared" si="1"/>
        <v>23000</v>
      </c>
      <c r="L10" s="61">
        <f t="shared" si="2"/>
        <v>1000</v>
      </c>
      <c r="M10" s="61">
        <f t="shared" si="3"/>
        <v>1000</v>
      </c>
      <c r="N10" s="61">
        <f t="shared" si="4"/>
        <v>0</v>
      </c>
      <c r="O10" s="61">
        <v>0</v>
      </c>
      <c r="P10" s="61">
        <v>0</v>
      </c>
      <c r="Q10" s="61">
        <v>0</v>
      </c>
      <c r="R10" s="61">
        <v>0</v>
      </c>
      <c r="S10" s="61">
        <v>0</v>
      </c>
      <c r="T10" s="61">
        <v>0</v>
      </c>
      <c r="U10" s="61">
        <v>0</v>
      </c>
      <c r="V10" s="61">
        <v>0</v>
      </c>
      <c r="W10" s="61">
        <v>0</v>
      </c>
      <c r="X10" s="61">
        <v>0</v>
      </c>
      <c r="Y10" s="61">
        <v>900</v>
      </c>
      <c r="Z10" s="61">
        <f t="shared" si="5"/>
        <v>25900</v>
      </c>
      <c r="AA10" s="61">
        <v>0</v>
      </c>
      <c r="AB10" s="61">
        <f t="shared" si="6"/>
        <v>25900</v>
      </c>
    </row>
    <row r="11" spans="1:28" x14ac:dyDescent="0.35">
      <c r="A11" s="59" t="s">
        <v>497</v>
      </c>
      <c r="B11" s="59" t="s">
        <v>498</v>
      </c>
      <c r="C11" s="59" t="s">
        <v>30</v>
      </c>
      <c r="D11" s="60">
        <v>0.5</v>
      </c>
      <c r="E11" s="61">
        <v>0</v>
      </c>
      <c r="F11" s="61">
        <v>29500</v>
      </c>
      <c r="G11" s="61">
        <v>2500</v>
      </c>
      <c r="H11" s="61">
        <v>1500</v>
      </c>
      <c r="I11" s="61">
        <v>5000</v>
      </c>
      <c r="J11" s="61">
        <f t="shared" si="0"/>
        <v>0</v>
      </c>
      <c r="K11" s="61">
        <f t="shared" si="1"/>
        <v>14750</v>
      </c>
      <c r="L11" s="61">
        <f t="shared" si="2"/>
        <v>1250</v>
      </c>
      <c r="M11" s="61">
        <f t="shared" si="3"/>
        <v>750</v>
      </c>
      <c r="N11" s="61">
        <f t="shared" si="4"/>
        <v>2500</v>
      </c>
      <c r="O11" s="61">
        <v>0</v>
      </c>
      <c r="P11" s="61">
        <v>0</v>
      </c>
      <c r="Q11" s="61">
        <v>0</v>
      </c>
      <c r="R11" s="61">
        <v>0</v>
      </c>
      <c r="S11" s="61">
        <v>0</v>
      </c>
      <c r="T11" s="61">
        <v>6000</v>
      </c>
      <c r="U11" s="61">
        <v>0</v>
      </c>
      <c r="V11" s="61">
        <v>0</v>
      </c>
      <c r="W11" s="61">
        <v>0</v>
      </c>
      <c r="X11" s="61">
        <v>0</v>
      </c>
      <c r="Y11" s="61">
        <v>0</v>
      </c>
      <c r="Z11" s="61">
        <f t="shared" si="5"/>
        <v>25250</v>
      </c>
      <c r="AA11" s="61">
        <v>0</v>
      </c>
      <c r="AB11" s="61">
        <f t="shared" si="6"/>
        <v>25250</v>
      </c>
    </row>
    <row r="12" spans="1:28" x14ac:dyDescent="0.35">
      <c r="A12" s="59" t="s">
        <v>499</v>
      </c>
      <c r="B12" s="59" t="s">
        <v>500</v>
      </c>
      <c r="C12" s="59" t="s">
        <v>30</v>
      </c>
      <c r="D12" s="60">
        <v>0.6</v>
      </c>
      <c r="E12" s="61">
        <v>0</v>
      </c>
      <c r="F12" s="61">
        <v>29500</v>
      </c>
      <c r="G12" s="61">
        <v>2500</v>
      </c>
      <c r="H12" s="61">
        <v>1500</v>
      </c>
      <c r="I12" s="61">
        <v>5000</v>
      </c>
      <c r="J12" s="61">
        <f t="shared" si="0"/>
        <v>0</v>
      </c>
      <c r="K12" s="61">
        <f t="shared" si="1"/>
        <v>11800</v>
      </c>
      <c r="L12" s="61">
        <f t="shared" si="2"/>
        <v>1000</v>
      </c>
      <c r="M12" s="61">
        <f t="shared" si="3"/>
        <v>600</v>
      </c>
      <c r="N12" s="61">
        <f t="shared" si="4"/>
        <v>2000</v>
      </c>
      <c r="O12" s="61">
        <v>0</v>
      </c>
      <c r="P12" s="61">
        <v>0</v>
      </c>
      <c r="Q12" s="61">
        <v>0</v>
      </c>
      <c r="R12" s="61">
        <v>0</v>
      </c>
      <c r="S12" s="61">
        <v>0</v>
      </c>
      <c r="T12" s="61">
        <v>6000</v>
      </c>
      <c r="U12" s="61">
        <v>0</v>
      </c>
      <c r="V12" s="61">
        <v>0</v>
      </c>
      <c r="W12" s="61">
        <v>0</v>
      </c>
      <c r="X12" s="61">
        <v>0</v>
      </c>
      <c r="Y12" s="61">
        <v>0</v>
      </c>
      <c r="Z12" s="61">
        <f t="shared" si="5"/>
        <v>21400</v>
      </c>
      <c r="AA12" s="61">
        <v>0</v>
      </c>
      <c r="AB12" s="61">
        <f t="shared" si="6"/>
        <v>21400</v>
      </c>
    </row>
    <row r="13" spans="1:28" x14ac:dyDescent="0.35">
      <c r="A13" s="59" t="s">
        <v>501</v>
      </c>
      <c r="B13" s="59" t="s">
        <v>502</v>
      </c>
      <c r="C13" s="59" t="s">
        <v>30</v>
      </c>
      <c r="D13" s="60">
        <v>0.5</v>
      </c>
      <c r="E13" s="61">
        <v>0</v>
      </c>
      <c r="F13" s="61">
        <v>29500</v>
      </c>
      <c r="G13" s="61">
        <v>2500</v>
      </c>
      <c r="H13" s="61">
        <v>1500</v>
      </c>
      <c r="I13" s="61">
        <v>5000</v>
      </c>
      <c r="J13" s="61">
        <f t="shared" si="0"/>
        <v>0</v>
      </c>
      <c r="K13" s="61">
        <f t="shared" si="1"/>
        <v>14750</v>
      </c>
      <c r="L13" s="61">
        <f t="shared" si="2"/>
        <v>1250</v>
      </c>
      <c r="M13" s="61">
        <f t="shared" si="3"/>
        <v>750</v>
      </c>
      <c r="N13" s="61">
        <f t="shared" si="4"/>
        <v>2500</v>
      </c>
      <c r="O13" s="61">
        <v>0</v>
      </c>
      <c r="P13" s="61">
        <v>0</v>
      </c>
      <c r="Q13" s="61">
        <v>0</v>
      </c>
      <c r="R13" s="61">
        <v>0</v>
      </c>
      <c r="S13" s="61">
        <v>0</v>
      </c>
      <c r="T13" s="61">
        <v>0</v>
      </c>
      <c r="U13" s="61">
        <v>0</v>
      </c>
      <c r="V13" s="61">
        <v>0</v>
      </c>
      <c r="W13" s="61">
        <v>0</v>
      </c>
      <c r="X13" s="61">
        <v>0</v>
      </c>
      <c r="Y13" s="61">
        <v>0</v>
      </c>
      <c r="Z13" s="61">
        <f t="shared" si="5"/>
        <v>19250</v>
      </c>
      <c r="AA13" s="61">
        <v>0</v>
      </c>
      <c r="AB13" s="61">
        <f t="shared" si="6"/>
        <v>19250</v>
      </c>
    </row>
    <row r="14" spans="1:28" x14ac:dyDescent="0.35">
      <c r="A14" s="59" t="s">
        <v>503</v>
      </c>
      <c r="B14" s="59" t="s">
        <v>504</v>
      </c>
      <c r="C14" s="59" t="s">
        <v>30</v>
      </c>
      <c r="D14" s="60">
        <v>0.5</v>
      </c>
      <c r="E14" s="61">
        <v>0</v>
      </c>
      <c r="F14" s="61">
        <v>29500</v>
      </c>
      <c r="G14" s="61">
        <v>2500</v>
      </c>
      <c r="H14" s="61">
        <v>1500</v>
      </c>
      <c r="I14" s="61">
        <v>5000</v>
      </c>
      <c r="J14" s="61">
        <f t="shared" si="0"/>
        <v>0</v>
      </c>
      <c r="K14" s="61">
        <f t="shared" si="1"/>
        <v>14750</v>
      </c>
      <c r="L14" s="61">
        <f t="shared" si="2"/>
        <v>1250</v>
      </c>
      <c r="M14" s="61">
        <f t="shared" si="3"/>
        <v>750</v>
      </c>
      <c r="N14" s="61">
        <f t="shared" si="4"/>
        <v>2500</v>
      </c>
      <c r="O14" s="61">
        <v>0</v>
      </c>
      <c r="P14" s="61">
        <v>0</v>
      </c>
      <c r="Q14" s="61">
        <v>0</v>
      </c>
      <c r="R14" s="61">
        <v>0</v>
      </c>
      <c r="S14" s="61">
        <v>0</v>
      </c>
      <c r="T14" s="61">
        <v>6000</v>
      </c>
      <c r="U14" s="61">
        <v>0</v>
      </c>
      <c r="V14" s="61">
        <v>0</v>
      </c>
      <c r="W14" s="61">
        <v>0</v>
      </c>
      <c r="X14" s="61">
        <v>0</v>
      </c>
      <c r="Y14" s="61">
        <v>0</v>
      </c>
      <c r="Z14" s="61">
        <f t="shared" si="5"/>
        <v>25250</v>
      </c>
      <c r="AA14" s="61">
        <v>0</v>
      </c>
      <c r="AB14" s="61">
        <f t="shared" si="6"/>
        <v>25250</v>
      </c>
    </row>
    <row r="15" spans="1:28" x14ac:dyDescent="0.35">
      <c r="A15" s="59" t="s">
        <v>505</v>
      </c>
      <c r="B15" s="59" t="s">
        <v>506</v>
      </c>
      <c r="C15" s="59" t="s">
        <v>30</v>
      </c>
      <c r="D15" s="60">
        <v>0.5</v>
      </c>
      <c r="E15" s="61">
        <v>0</v>
      </c>
      <c r="F15" s="61">
        <v>29500</v>
      </c>
      <c r="G15" s="61">
        <v>2500</v>
      </c>
      <c r="H15" s="61">
        <v>1500</v>
      </c>
      <c r="I15" s="61">
        <v>5000</v>
      </c>
      <c r="J15" s="61">
        <f t="shared" si="0"/>
        <v>0</v>
      </c>
      <c r="K15" s="61">
        <f t="shared" si="1"/>
        <v>14750</v>
      </c>
      <c r="L15" s="61">
        <f t="shared" si="2"/>
        <v>1250</v>
      </c>
      <c r="M15" s="61">
        <f t="shared" si="3"/>
        <v>750</v>
      </c>
      <c r="N15" s="61">
        <f t="shared" si="4"/>
        <v>2500</v>
      </c>
      <c r="O15" s="61">
        <v>0</v>
      </c>
      <c r="P15" s="61">
        <v>0</v>
      </c>
      <c r="Q15" s="61">
        <v>0</v>
      </c>
      <c r="R15" s="61">
        <v>0</v>
      </c>
      <c r="S15" s="61">
        <v>0</v>
      </c>
      <c r="T15" s="61">
        <v>6000</v>
      </c>
      <c r="U15" s="61">
        <v>0</v>
      </c>
      <c r="V15" s="61">
        <v>0</v>
      </c>
      <c r="W15" s="61">
        <v>0</v>
      </c>
      <c r="X15" s="61">
        <v>0</v>
      </c>
      <c r="Y15" s="61">
        <v>0</v>
      </c>
      <c r="Z15" s="61">
        <f t="shared" si="5"/>
        <v>25250</v>
      </c>
      <c r="AA15" s="61">
        <v>0</v>
      </c>
      <c r="AB15" s="61">
        <f t="shared" si="6"/>
        <v>25250</v>
      </c>
    </row>
    <row r="16" spans="1:28" x14ac:dyDescent="0.35">
      <c r="A16" s="59" t="s">
        <v>507</v>
      </c>
      <c r="B16" s="59" t="s">
        <v>508</v>
      </c>
      <c r="C16" s="59" t="s">
        <v>30</v>
      </c>
      <c r="D16" s="60">
        <v>0.5</v>
      </c>
      <c r="E16" s="61">
        <v>0</v>
      </c>
      <c r="F16" s="61">
        <v>29500</v>
      </c>
      <c r="G16" s="61">
        <v>2500</v>
      </c>
      <c r="H16" s="61">
        <v>1500</v>
      </c>
      <c r="I16" s="61">
        <v>5000</v>
      </c>
      <c r="J16" s="61">
        <f t="shared" si="0"/>
        <v>0</v>
      </c>
      <c r="K16" s="61">
        <f t="shared" si="1"/>
        <v>14750</v>
      </c>
      <c r="L16" s="61">
        <f t="shared" si="2"/>
        <v>1250</v>
      </c>
      <c r="M16" s="61">
        <f t="shared" si="3"/>
        <v>750</v>
      </c>
      <c r="N16" s="61">
        <f t="shared" si="4"/>
        <v>2500</v>
      </c>
      <c r="O16" s="61">
        <v>0</v>
      </c>
      <c r="P16" s="61">
        <v>0</v>
      </c>
      <c r="Q16" s="61">
        <v>0</v>
      </c>
      <c r="R16" s="61">
        <v>0</v>
      </c>
      <c r="S16" s="61">
        <v>0</v>
      </c>
      <c r="T16" s="61">
        <v>6000</v>
      </c>
      <c r="U16" s="61">
        <v>0</v>
      </c>
      <c r="V16" s="61">
        <v>0</v>
      </c>
      <c r="W16" s="61">
        <v>0</v>
      </c>
      <c r="X16" s="61">
        <v>0</v>
      </c>
      <c r="Y16" s="61">
        <v>0</v>
      </c>
      <c r="Z16" s="61">
        <f t="shared" si="5"/>
        <v>25250</v>
      </c>
      <c r="AA16" s="61">
        <v>0</v>
      </c>
      <c r="AB16" s="61">
        <f t="shared" si="6"/>
        <v>25250</v>
      </c>
    </row>
    <row r="17" spans="1:29" x14ac:dyDescent="0.35">
      <c r="A17" s="59" t="s">
        <v>60</v>
      </c>
      <c r="B17" s="59" t="s">
        <v>509</v>
      </c>
      <c r="C17" s="59" t="s">
        <v>30</v>
      </c>
      <c r="D17" s="60">
        <v>0.6</v>
      </c>
      <c r="E17" s="61">
        <v>0</v>
      </c>
      <c r="F17" s="61">
        <v>29500</v>
      </c>
      <c r="G17" s="61">
        <v>2500</v>
      </c>
      <c r="H17" s="61">
        <v>1500</v>
      </c>
      <c r="I17" s="61">
        <v>5000</v>
      </c>
      <c r="J17" s="61">
        <f t="shared" si="0"/>
        <v>0</v>
      </c>
      <c r="K17" s="61">
        <f t="shared" si="1"/>
        <v>11800</v>
      </c>
      <c r="L17" s="61">
        <f t="shared" si="2"/>
        <v>1000</v>
      </c>
      <c r="M17" s="61">
        <f t="shared" si="3"/>
        <v>600</v>
      </c>
      <c r="N17" s="61">
        <f t="shared" si="4"/>
        <v>2000</v>
      </c>
      <c r="O17" s="61">
        <v>0</v>
      </c>
      <c r="P17" s="61">
        <v>0</v>
      </c>
      <c r="Q17" s="61">
        <v>0</v>
      </c>
      <c r="R17" s="61">
        <v>0</v>
      </c>
      <c r="S17" s="61">
        <v>0</v>
      </c>
      <c r="T17" s="61">
        <v>6000</v>
      </c>
      <c r="U17" s="61">
        <v>0</v>
      </c>
      <c r="V17" s="61">
        <v>0</v>
      </c>
      <c r="W17" s="61">
        <v>0</v>
      </c>
      <c r="X17" s="61">
        <v>0</v>
      </c>
      <c r="Y17" s="61">
        <v>900</v>
      </c>
      <c r="Z17" s="61">
        <f t="shared" si="5"/>
        <v>22300</v>
      </c>
      <c r="AA17" s="61">
        <v>0</v>
      </c>
      <c r="AB17" s="61">
        <f t="shared" si="6"/>
        <v>22300</v>
      </c>
      <c r="AC17" s="43"/>
    </row>
    <row r="18" spans="1:29" x14ac:dyDescent="0.35">
      <c r="A18" s="59" t="s">
        <v>510</v>
      </c>
      <c r="B18" s="59" t="s">
        <v>511</v>
      </c>
      <c r="C18" s="59" t="s">
        <v>30</v>
      </c>
      <c r="D18" s="60">
        <v>0.5</v>
      </c>
      <c r="E18" s="61">
        <v>0</v>
      </c>
      <c r="F18" s="61">
        <v>29500</v>
      </c>
      <c r="G18" s="61">
        <v>2500</v>
      </c>
      <c r="H18" s="61">
        <v>1500</v>
      </c>
      <c r="I18" s="61">
        <v>5000</v>
      </c>
      <c r="J18" s="61">
        <f t="shared" si="0"/>
        <v>0</v>
      </c>
      <c r="K18" s="61">
        <f t="shared" si="1"/>
        <v>14750</v>
      </c>
      <c r="L18" s="61">
        <f t="shared" si="2"/>
        <v>1250</v>
      </c>
      <c r="M18" s="61">
        <f t="shared" si="3"/>
        <v>750</v>
      </c>
      <c r="N18" s="61">
        <f t="shared" si="4"/>
        <v>2500</v>
      </c>
      <c r="O18" s="61">
        <v>0</v>
      </c>
      <c r="P18" s="61">
        <v>0</v>
      </c>
      <c r="Q18" s="61">
        <v>0</v>
      </c>
      <c r="R18" s="61">
        <v>0</v>
      </c>
      <c r="S18" s="61">
        <v>0</v>
      </c>
      <c r="T18" s="61">
        <v>0</v>
      </c>
      <c r="U18" s="61">
        <v>0</v>
      </c>
      <c r="V18" s="61">
        <v>0</v>
      </c>
      <c r="W18" s="61">
        <v>0</v>
      </c>
      <c r="X18" s="61">
        <v>0</v>
      </c>
      <c r="Y18" s="61">
        <v>0</v>
      </c>
      <c r="Z18" s="61">
        <f t="shared" si="5"/>
        <v>19250</v>
      </c>
      <c r="AA18" s="61">
        <v>0</v>
      </c>
      <c r="AB18" s="61">
        <f t="shared" si="6"/>
        <v>19250</v>
      </c>
    </row>
    <row r="19" spans="1:29" x14ac:dyDescent="0.35">
      <c r="A19" s="59" t="s">
        <v>512</v>
      </c>
      <c r="B19" s="59" t="s">
        <v>513</v>
      </c>
      <c r="C19" s="59" t="s">
        <v>30</v>
      </c>
      <c r="D19" s="60">
        <v>0.3</v>
      </c>
      <c r="E19" s="61">
        <v>0</v>
      </c>
      <c r="F19" s="61">
        <v>29500</v>
      </c>
      <c r="G19" s="61">
        <v>2500</v>
      </c>
      <c r="H19" s="61">
        <v>1500</v>
      </c>
      <c r="I19" s="61">
        <v>5000</v>
      </c>
      <c r="J19" s="61">
        <f t="shared" si="0"/>
        <v>0</v>
      </c>
      <c r="K19" s="61">
        <f t="shared" si="1"/>
        <v>20650</v>
      </c>
      <c r="L19" s="61">
        <f t="shared" si="2"/>
        <v>1750</v>
      </c>
      <c r="M19" s="61">
        <f t="shared" si="3"/>
        <v>1050</v>
      </c>
      <c r="N19" s="61">
        <f t="shared" si="4"/>
        <v>3500</v>
      </c>
      <c r="O19" s="61">
        <v>0</v>
      </c>
      <c r="P19" s="61">
        <v>0</v>
      </c>
      <c r="Q19" s="61">
        <v>0</v>
      </c>
      <c r="R19" s="61">
        <v>0</v>
      </c>
      <c r="S19" s="61">
        <v>0</v>
      </c>
      <c r="T19" s="61">
        <v>0</v>
      </c>
      <c r="U19" s="61">
        <v>0</v>
      </c>
      <c r="V19" s="61">
        <v>0</v>
      </c>
      <c r="W19" s="61">
        <v>0</v>
      </c>
      <c r="X19" s="61">
        <v>0</v>
      </c>
      <c r="Y19" s="61">
        <v>200</v>
      </c>
      <c r="Z19" s="61">
        <f t="shared" si="5"/>
        <v>27150</v>
      </c>
      <c r="AA19" s="61">
        <v>0</v>
      </c>
      <c r="AB19" s="61">
        <f t="shared" si="6"/>
        <v>27150</v>
      </c>
    </row>
    <row r="20" spans="1:29" x14ac:dyDescent="0.35">
      <c r="A20" s="59" t="s">
        <v>125</v>
      </c>
      <c r="B20" s="59" t="s">
        <v>126</v>
      </c>
      <c r="C20" s="59" t="s">
        <v>30</v>
      </c>
      <c r="D20" s="60">
        <v>0.5</v>
      </c>
      <c r="E20" s="61">
        <v>0</v>
      </c>
      <c r="F20" s="61">
        <v>29500</v>
      </c>
      <c r="G20" s="61">
        <v>2500</v>
      </c>
      <c r="H20" s="61">
        <v>1500</v>
      </c>
      <c r="I20" s="61">
        <v>5000</v>
      </c>
      <c r="J20" s="61">
        <f t="shared" si="0"/>
        <v>0</v>
      </c>
      <c r="K20" s="61">
        <f t="shared" si="1"/>
        <v>14750</v>
      </c>
      <c r="L20" s="61">
        <f t="shared" si="2"/>
        <v>1250</v>
      </c>
      <c r="M20" s="61">
        <f t="shared" si="3"/>
        <v>750</v>
      </c>
      <c r="N20" s="61">
        <f t="shared" si="4"/>
        <v>2500</v>
      </c>
      <c r="O20" s="61">
        <v>0</v>
      </c>
      <c r="P20" s="61">
        <v>0</v>
      </c>
      <c r="Q20" s="61">
        <v>0</v>
      </c>
      <c r="R20" s="61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1">
        <v>0</v>
      </c>
      <c r="Y20" s="61">
        <v>19275</v>
      </c>
      <c r="Z20" s="61">
        <f t="shared" si="5"/>
        <v>38525</v>
      </c>
      <c r="AA20" s="61">
        <v>0</v>
      </c>
      <c r="AB20" s="61">
        <f t="shared" si="6"/>
        <v>38525</v>
      </c>
    </row>
    <row r="21" spans="1:29" x14ac:dyDescent="0.35">
      <c r="A21" s="59" t="s">
        <v>136</v>
      </c>
      <c r="B21" s="59" t="s">
        <v>408</v>
      </c>
      <c r="C21" s="59" t="s">
        <v>30</v>
      </c>
      <c r="D21" s="60">
        <v>0.5</v>
      </c>
      <c r="E21" s="61">
        <v>0</v>
      </c>
      <c r="F21" s="61">
        <v>29500</v>
      </c>
      <c r="G21" s="61">
        <v>2500</v>
      </c>
      <c r="H21" s="61">
        <v>1500</v>
      </c>
      <c r="I21" s="61">
        <v>5000</v>
      </c>
      <c r="J21" s="61">
        <f t="shared" si="0"/>
        <v>0</v>
      </c>
      <c r="K21" s="61">
        <f t="shared" si="1"/>
        <v>14750</v>
      </c>
      <c r="L21" s="61">
        <f t="shared" si="2"/>
        <v>1250</v>
      </c>
      <c r="M21" s="61">
        <f t="shared" si="3"/>
        <v>750</v>
      </c>
      <c r="N21" s="61">
        <f t="shared" si="4"/>
        <v>2500</v>
      </c>
      <c r="O21" s="61">
        <v>0</v>
      </c>
      <c r="P21" s="61">
        <v>0</v>
      </c>
      <c r="Q21" s="61">
        <v>0</v>
      </c>
      <c r="R21" s="61">
        <v>0</v>
      </c>
      <c r="S21" s="61">
        <v>0</v>
      </c>
      <c r="T21" s="61">
        <v>0</v>
      </c>
      <c r="U21" s="61">
        <v>0</v>
      </c>
      <c r="V21" s="61">
        <v>0</v>
      </c>
      <c r="W21" s="61">
        <v>0</v>
      </c>
      <c r="X21" s="61">
        <v>0</v>
      </c>
      <c r="Y21" s="61">
        <v>0</v>
      </c>
      <c r="Z21" s="61">
        <f t="shared" si="5"/>
        <v>19250</v>
      </c>
      <c r="AA21" s="61">
        <v>0</v>
      </c>
      <c r="AB21" s="61">
        <f t="shared" si="6"/>
        <v>19250</v>
      </c>
    </row>
    <row r="22" spans="1:29" x14ac:dyDescent="0.35">
      <c r="A22" s="59" t="s">
        <v>37</v>
      </c>
      <c r="B22" s="59" t="s">
        <v>386</v>
      </c>
      <c r="C22" s="59" t="s">
        <v>75</v>
      </c>
      <c r="D22" s="60">
        <v>0</v>
      </c>
      <c r="E22" s="61">
        <v>0</v>
      </c>
      <c r="F22" s="61">
        <v>29500</v>
      </c>
      <c r="G22" s="61">
        <v>2500</v>
      </c>
      <c r="H22" s="61">
        <v>1500</v>
      </c>
      <c r="I22" s="61">
        <v>5000</v>
      </c>
      <c r="J22" s="61">
        <f t="shared" si="0"/>
        <v>0</v>
      </c>
      <c r="K22" s="61">
        <f t="shared" si="1"/>
        <v>29500</v>
      </c>
      <c r="L22" s="61">
        <f t="shared" si="2"/>
        <v>2500</v>
      </c>
      <c r="M22" s="61">
        <f t="shared" si="3"/>
        <v>1500</v>
      </c>
      <c r="N22" s="61">
        <f t="shared" si="4"/>
        <v>5000</v>
      </c>
      <c r="O22" s="61">
        <v>0</v>
      </c>
      <c r="P22" s="61">
        <v>0</v>
      </c>
      <c r="Q22" s="61">
        <v>0</v>
      </c>
      <c r="R22" s="61">
        <v>0</v>
      </c>
      <c r="S22" s="61">
        <v>0</v>
      </c>
      <c r="T22" s="61">
        <v>0</v>
      </c>
      <c r="U22" s="61">
        <v>0</v>
      </c>
      <c r="V22" s="61">
        <v>0</v>
      </c>
      <c r="W22" s="61">
        <v>0</v>
      </c>
      <c r="X22" s="61">
        <v>0</v>
      </c>
      <c r="Y22" s="61">
        <v>200</v>
      </c>
      <c r="Z22" s="61">
        <f t="shared" si="5"/>
        <v>38700</v>
      </c>
      <c r="AA22" s="61">
        <v>0</v>
      </c>
      <c r="AB22" s="61">
        <f t="shared" si="6"/>
        <v>38700</v>
      </c>
    </row>
    <row r="23" spans="1:29" x14ac:dyDescent="0.35">
      <c r="A23" s="59" t="s">
        <v>73</v>
      </c>
      <c r="B23" s="59" t="s">
        <v>392</v>
      </c>
      <c r="C23" s="59" t="s">
        <v>107</v>
      </c>
      <c r="D23" s="60">
        <v>1</v>
      </c>
      <c r="E23" s="61">
        <v>0</v>
      </c>
      <c r="F23" s="61">
        <v>29500</v>
      </c>
      <c r="G23" s="61">
        <v>2500</v>
      </c>
      <c r="H23" s="61">
        <v>1500</v>
      </c>
      <c r="I23" s="61">
        <v>5000</v>
      </c>
      <c r="J23" s="61">
        <f t="shared" si="0"/>
        <v>0</v>
      </c>
      <c r="K23" s="61">
        <f t="shared" si="1"/>
        <v>0</v>
      </c>
      <c r="L23" s="61">
        <f t="shared" si="2"/>
        <v>0</v>
      </c>
      <c r="M23" s="61">
        <f t="shared" si="3"/>
        <v>0</v>
      </c>
      <c r="N23" s="61">
        <f t="shared" si="4"/>
        <v>0</v>
      </c>
      <c r="O23" s="61">
        <v>0</v>
      </c>
      <c r="P23" s="61">
        <v>0</v>
      </c>
      <c r="Q23" s="61">
        <v>0</v>
      </c>
      <c r="R23" s="61">
        <v>0</v>
      </c>
      <c r="S23" s="61">
        <v>0</v>
      </c>
      <c r="T23" s="61">
        <v>0</v>
      </c>
      <c r="U23" s="61">
        <v>0</v>
      </c>
      <c r="V23" s="61">
        <v>15000</v>
      </c>
      <c r="W23" s="61">
        <v>0</v>
      </c>
      <c r="X23" s="61">
        <v>0</v>
      </c>
      <c r="Y23" s="61">
        <v>-3500</v>
      </c>
      <c r="Z23" s="61">
        <f t="shared" si="5"/>
        <v>11500</v>
      </c>
      <c r="AA23" s="61">
        <v>0</v>
      </c>
      <c r="AB23" s="61">
        <f t="shared" si="6"/>
        <v>11500</v>
      </c>
    </row>
    <row r="24" spans="1:29" x14ac:dyDescent="0.35">
      <c r="A24" s="59" t="s">
        <v>81</v>
      </c>
      <c r="B24" s="59" t="s">
        <v>394</v>
      </c>
      <c r="C24" s="59" t="s">
        <v>107</v>
      </c>
      <c r="D24" s="60">
        <v>0</v>
      </c>
      <c r="E24" s="61">
        <v>0</v>
      </c>
      <c r="F24" s="61">
        <v>29500</v>
      </c>
      <c r="G24" s="61">
        <v>2500</v>
      </c>
      <c r="H24" s="61">
        <v>1500</v>
      </c>
      <c r="I24" s="61">
        <v>5000</v>
      </c>
      <c r="J24" s="61">
        <f t="shared" si="0"/>
        <v>0</v>
      </c>
      <c r="K24" s="61">
        <f t="shared" si="1"/>
        <v>29500</v>
      </c>
      <c r="L24" s="61">
        <f t="shared" si="2"/>
        <v>2500</v>
      </c>
      <c r="M24" s="61">
        <f t="shared" si="3"/>
        <v>1500</v>
      </c>
      <c r="N24" s="61">
        <f t="shared" si="4"/>
        <v>5000</v>
      </c>
      <c r="O24" s="61">
        <v>0</v>
      </c>
      <c r="P24" s="61">
        <v>0</v>
      </c>
      <c r="Q24" s="61">
        <v>0</v>
      </c>
      <c r="R24" s="61">
        <v>0</v>
      </c>
      <c r="S24" s="61">
        <v>0</v>
      </c>
      <c r="T24" s="61">
        <v>0</v>
      </c>
      <c r="U24" s="61">
        <v>0</v>
      </c>
      <c r="V24" s="61">
        <v>15000</v>
      </c>
      <c r="W24" s="61">
        <v>0</v>
      </c>
      <c r="X24" s="61">
        <v>0</v>
      </c>
      <c r="Y24" s="61">
        <v>1360</v>
      </c>
      <c r="Z24" s="61">
        <f t="shared" si="5"/>
        <v>54860</v>
      </c>
      <c r="AA24" s="61">
        <v>0</v>
      </c>
      <c r="AB24" s="61">
        <f t="shared" si="6"/>
        <v>54860</v>
      </c>
    </row>
    <row r="25" spans="1:29" x14ac:dyDescent="0.35">
      <c r="A25" s="59" t="s">
        <v>93</v>
      </c>
      <c r="B25" s="59" t="s">
        <v>396</v>
      </c>
      <c r="C25" s="59" t="s">
        <v>107</v>
      </c>
      <c r="D25" s="60">
        <v>1</v>
      </c>
      <c r="E25" s="61">
        <v>0</v>
      </c>
      <c r="F25" s="61">
        <v>29500</v>
      </c>
      <c r="G25" s="61">
        <v>2500</v>
      </c>
      <c r="H25" s="61">
        <v>1500</v>
      </c>
      <c r="I25" s="61">
        <v>5000</v>
      </c>
      <c r="J25" s="61">
        <f t="shared" si="0"/>
        <v>0</v>
      </c>
      <c r="K25" s="61">
        <f t="shared" si="1"/>
        <v>0</v>
      </c>
      <c r="L25" s="61">
        <f t="shared" si="2"/>
        <v>0</v>
      </c>
      <c r="M25" s="61">
        <f t="shared" si="3"/>
        <v>0</v>
      </c>
      <c r="N25" s="61">
        <f t="shared" si="4"/>
        <v>0</v>
      </c>
      <c r="O25" s="61">
        <v>0</v>
      </c>
      <c r="P25" s="61">
        <v>0</v>
      </c>
      <c r="Q25" s="61">
        <v>0</v>
      </c>
      <c r="R25" s="61">
        <v>0</v>
      </c>
      <c r="S25" s="61">
        <v>0</v>
      </c>
      <c r="T25" s="61">
        <v>0</v>
      </c>
      <c r="U25" s="61">
        <v>0</v>
      </c>
      <c r="V25" s="61">
        <v>15000</v>
      </c>
      <c r="W25" s="61">
        <v>0</v>
      </c>
      <c r="X25" s="61">
        <v>0</v>
      </c>
      <c r="Y25" s="61">
        <v>0</v>
      </c>
      <c r="Z25" s="61">
        <f t="shared" si="5"/>
        <v>15000</v>
      </c>
      <c r="AA25" s="61">
        <v>0</v>
      </c>
      <c r="AB25" s="61">
        <f t="shared" si="6"/>
        <v>15000</v>
      </c>
    </row>
    <row r="26" spans="1:29" x14ac:dyDescent="0.35">
      <c r="A26" s="59" t="s">
        <v>134</v>
      </c>
      <c r="B26" s="59" t="s">
        <v>406</v>
      </c>
      <c r="C26" s="59" t="s">
        <v>107</v>
      </c>
      <c r="D26" s="60">
        <v>0.25</v>
      </c>
      <c r="E26" s="61">
        <v>0</v>
      </c>
      <c r="F26" s="61">
        <v>29500</v>
      </c>
      <c r="G26" s="61">
        <v>2500</v>
      </c>
      <c r="H26" s="61">
        <v>1500</v>
      </c>
      <c r="I26" s="61">
        <v>5000</v>
      </c>
      <c r="J26" s="61">
        <f t="shared" si="0"/>
        <v>0</v>
      </c>
      <c r="K26" s="61">
        <f t="shared" si="1"/>
        <v>22125</v>
      </c>
      <c r="L26" s="61">
        <f t="shared" si="2"/>
        <v>1875</v>
      </c>
      <c r="M26" s="61">
        <f t="shared" si="3"/>
        <v>1125</v>
      </c>
      <c r="N26" s="61">
        <f t="shared" si="4"/>
        <v>3750</v>
      </c>
      <c r="O26" s="61">
        <v>0</v>
      </c>
      <c r="P26" s="61">
        <v>0</v>
      </c>
      <c r="Q26" s="61">
        <v>0</v>
      </c>
      <c r="R26" s="61">
        <v>0</v>
      </c>
      <c r="S26" s="61">
        <v>0</v>
      </c>
      <c r="T26" s="61">
        <v>6000</v>
      </c>
      <c r="U26" s="61">
        <v>0</v>
      </c>
      <c r="V26" s="61">
        <v>15000</v>
      </c>
      <c r="W26" s="61">
        <v>0</v>
      </c>
      <c r="X26" s="61">
        <v>0</v>
      </c>
      <c r="Y26" s="61">
        <v>2800</v>
      </c>
      <c r="Z26" s="61">
        <f t="shared" si="5"/>
        <v>52675</v>
      </c>
      <c r="AA26" s="61">
        <v>0</v>
      </c>
      <c r="AB26" s="61">
        <f t="shared" si="6"/>
        <v>52675</v>
      </c>
    </row>
    <row r="27" spans="1:29" x14ac:dyDescent="0.35">
      <c r="A27" s="59" t="s">
        <v>136</v>
      </c>
      <c r="B27" s="59" t="s">
        <v>407</v>
      </c>
      <c r="C27" s="59" t="s">
        <v>107</v>
      </c>
      <c r="D27" s="60">
        <v>0.25</v>
      </c>
      <c r="E27" s="61">
        <v>0</v>
      </c>
      <c r="F27" s="61">
        <v>29500</v>
      </c>
      <c r="G27" s="61">
        <v>2500</v>
      </c>
      <c r="H27" s="61">
        <v>1500</v>
      </c>
      <c r="I27" s="61">
        <v>5000</v>
      </c>
      <c r="J27" s="61">
        <f t="shared" si="0"/>
        <v>0</v>
      </c>
      <c r="K27" s="61">
        <f t="shared" si="1"/>
        <v>22125</v>
      </c>
      <c r="L27" s="61">
        <f t="shared" si="2"/>
        <v>1875</v>
      </c>
      <c r="M27" s="61">
        <f t="shared" si="3"/>
        <v>1125</v>
      </c>
      <c r="N27" s="61">
        <f t="shared" si="4"/>
        <v>3750</v>
      </c>
      <c r="O27" s="61">
        <v>0</v>
      </c>
      <c r="P27" s="61">
        <v>0</v>
      </c>
      <c r="Q27" s="61">
        <v>0</v>
      </c>
      <c r="R27" s="61">
        <v>0</v>
      </c>
      <c r="S27" s="61">
        <v>0</v>
      </c>
      <c r="T27" s="61">
        <v>0</v>
      </c>
      <c r="U27" s="61">
        <v>0</v>
      </c>
      <c r="V27" s="61">
        <v>15000</v>
      </c>
      <c r="W27" s="61">
        <v>0</v>
      </c>
      <c r="X27" s="61">
        <v>0</v>
      </c>
      <c r="Y27" s="61">
        <v>0</v>
      </c>
      <c r="Z27" s="61">
        <f t="shared" si="5"/>
        <v>43875</v>
      </c>
      <c r="AA27" s="61">
        <v>0</v>
      </c>
      <c r="AB27" s="61">
        <f t="shared" si="6"/>
        <v>43875</v>
      </c>
    </row>
    <row r="28" spans="1:29" x14ac:dyDescent="0.35">
      <c r="A28" s="59" t="s">
        <v>45</v>
      </c>
      <c r="B28" s="59" t="s">
        <v>46</v>
      </c>
      <c r="C28" s="59" t="s">
        <v>54</v>
      </c>
      <c r="D28" s="60">
        <v>0.25</v>
      </c>
      <c r="E28" s="61">
        <v>0</v>
      </c>
      <c r="F28" s="61">
        <v>23000</v>
      </c>
      <c r="G28" s="61">
        <v>1500</v>
      </c>
      <c r="H28" s="61">
        <v>0</v>
      </c>
      <c r="I28" s="61">
        <v>2000</v>
      </c>
      <c r="J28" s="61">
        <f t="shared" si="0"/>
        <v>0</v>
      </c>
      <c r="K28" s="61">
        <f t="shared" si="1"/>
        <v>17250</v>
      </c>
      <c r="L28" s="61">
        <f t="shared" si="2"/>
        <v>1125</v>
      </c>
      <c r="M28" s="61">
        <f t="shared" si="3"/>
        <v>0</v>
      </c>
      <c r="N28" s="61">
        <f t="shared" si="4"/>
        <v>1500</v>
      </c>
      <c r="O28" s="61">
        <v>0</v>
      </c>
      <c r="P28" s="61">
        <v>0</v>
      </c>
      <c r="Q28" s="61">
        <v>0</v>
      </c>
      <c r="R28" s="61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1">
        <v>0</v>
      </c>
      <c r="Y28" s="61">
        <v>-1125</v>
      </c>
      <c r="Z28" s="61">
        <f t="shared" si="5"/>
        <v>18750</v>
      </c>
      <c r="AA28" s="61">
        <v>0</v>
      </c>
      <c r="AB28" s="61">
        <f t="shared" si="6"/>
        <v>18750</v>
      </c>
    </row>
    <row r="29" spans="1:29" x14ac:dyDescent="0.35">
      <c r="A29" s="59" t="s">
        <v>514</v>
      </c>
      <c r="B29" s="59" t="s">
        <v>515</v>
      </c>
      <c r="C29" s="59" t="s">
        <v>54</v>
      </c>
      <c r="D29" s="60">
        <v>0.25</v>
      </c>
      <c r="E29" s="61">
        <v>0</v>
      </c>
      <c r="F29" s="61">
        <v>23000</v>
      </c>
      <c r="G29" s="61">
        <v>1500</v>
      </c>
      <c r="H29" s="61">
        <v>0</v>
      </c>
      <c r="I29" s="61">
        <v>2000</v>
      </c>
      <c r="J29" s="61">
        <f t="shared" si="0"/>
        <v>0</v>
      </c>
      <c r="K29" s="61">
        <f t="shared" si="1"/>
        <v>17250</v>
      </c>
      <c r="L29" s="61">
        <f t="shared" si="2"/>
        <v>1125</v>
      </c>
      <c r="M29" s="61">
        <f t="shared" si="3"/>
        <v>0</v>
      </c>
      <c r="N29" s="61">
        <f t="shared" si="4"/>
        <v>1500</v>
      </c>
      <c r="O29" s="61">
        <v>0</v>
      </c>
      <c r="P29" s="61">
        <v>0</v>
      </c>
      <c r="Q29" s="61">
        <v>0</v>
      </c>
      <c r="R29" s="61">
        <v>0</v>
      </c>
      <c r="S29" s="61">
        <v>0</v>
      </c>
      <c r="T29" s="61">
        <v>5000</v>
      </c>
      <c r="U29" s="61">
        <v>0</v>
      </c>
      <c r="V29" s="61">
        <v>0</v>
      </c>
      <c r="W29" s="61">
        <v>0</v>
      </c>
      <c r="X29" s="61">
        <v>0</v>
      </c>
      <c r="Y29" s="61">
        <v>0</v>
      </c>
      <c r="Z29" s="61">
        <f t="shared" si="5"/>
        <v>24875</v>
      </c>
      <c r="AA29" s="61">
        <v>0</v>
      </c>
      <c r="AB29" s="61">
        <f t="shared" si="6"/>
        <v>24875</v>
      </c>
    </row>
    <row r="30" spans="1:29" x14ac:dyDescent="0.35">
      <c r="A30" s="59" t="s">
        <v>86</v>
      </c>
      <c r="B30" s="59" t="s">
        <v>87</v>
      </c>
      <c r="C30" s="59" t="s">
        <v>54</v>
      </c>
      <c r="D30" s="60">
        <v>0</v>
      </c>
      <c r="E30" s="61">
        <v>0</v>
      </c>
      <c r="F30" s="61">
        <v>23000</v>
      </c>
      <c r="G30" s="61">
        <v>1500</v>
      </c>
      <c r="H30" s="61">
        <v>0</v>
      </c>
      <c r="I30" s="61">
        <v>2000</v>
      </c>
      <c r="J30" s="61">
        <f t="shared" si="0"/>
        <v>0</v>
      </c>
      <c r="K30" s="61">
        <f t="shared" si="1"/>
        <v>23000</v>
      </c>
      <c r="L30" s="61">
        <f t="shared" si="2"/>
        <v>1500</v>
      </c>
      <c r="M30" s="61">
        <f t="shared" si="3"/>
        <v>0</v>
      </c>
      <c r="N30" s="61">
        <f t="shared" si="4"/>
        <v>2000</v>
      </c>
      <c r="O30" s="61">
        <v>0</v>
      </c>
      <c r="P30" s="61">
        <v>0</v>
      </c>
      <c r="Q30" s="61">
        <v>0</v>
      </c>
      <c r="R30" s="61">
        <v>0</v>
      </c>
      <c r="S30" s="61">
        <v>0</v>
      </c>
      <c r="T30" s="61">
        <v>5000</v>
      </c>
      <c r="U30" s="61">
        <v>0</v>
      </c>
      <c r="V30" s="61">
        <v>0</v>
      </c>
      <c r="W30" s="61">
        <v>0</v>
      </c>
      <c r="X30" s="61">
        <v>0</v>
      </c>
      <c r="Y30" s="61">
        <v>7000</v>
      </c>
      <c r="Z30" s="61">
        <f t="shared" si="5"/>
        <v>38500</v>
      </c>
      <c r="AA30" s="61">
        <v>0</v>
      </c>
      <c r="AB30" s="61">
        <f t="shared" si="6"/>
        <v>38500</v>
      </c>
    </row>
    <row r="31" spans="1:29" x14ac:dyDescent="0.35">
      <c r="A31" s="59" t="s">
        <v>516</v>
      </c>
      <c r="B31" s="59" t="s">
        <v>517</v>
      </c>
      <c r="C31" s="59" t="s">
        <v>54</v>
      </c>
      <c r="D31" s="60">
        <v>0</v>
      </c>
      <c r="E31" s="61">
        <v>0</v>
      </c>
      <c r="F31" s="61">
        <v>23000</v>
      </c>
      <c r="G31" s="61">
        <v>1500</v>
      </c>
      <c r="H31" s="61">
        <v>0</v>
      </c>
      <c r="I31" s="61">
        <v>2000</v>
      </c>
      <c r="J31" s="61">
        <f t="shared" si="0"/>
        <v>0</v>
      </c>
      <c r="K31" s="61">
        <f t="shared" si="1"/>
        <v>23000</v>
      </c>
      <c r="L31" s="61">
        <f t="shared" si="2"/>
        <v>1500</v>
      </c>
      <c r="M31" s="61">
        <f t="shared" si="3"/>
        <v>0</v>
      </c>
      <c r="N31" s="61">
        <f t="shared" si="4"/>
        <v>2000</v>
      </c>
      <c r="O31" s="61">
        <v>0</v>
      </c>
      <c r="P31" s="61">
        <v>0</v>
      </c>
      <c r="Q31" s="61">
        <v>0</v>
      </c>
      <c r="R31" s="61">
        <v>0</v>
      </c>
      <c r="S31" s="61">
        <v>0</v>
      </c>
      <c r="T31" s="61">
        <v>0</v>
      </c>
      <c r="U31" s="61">
        <v>0</v>
      </c>
      <c r="V31" s="61">
        <v>0</v>
      </c>
      <c r="W31" s="61">
        <v>0</v>
      </c>
      <c r="X31" s="61">
        <v>0</v>
      </c>
      <c r="Y31" s="61">
        <v>7700</v>
      </c>
      <c r="Z31" s="61">
        <f t="shared" si="5"/>
        <v>34200</v>
      </c>
      <c r="AA31" s="61">
        <v>0</v>
      </c>
      <c r="AB31" s="61">
        <f t="shared" si="6"/>
        <v>34200</v>
      </c>
    </row>
    <row r="32" spans="1:29" x14ac:dyDescent="0.35">
      <c r="A32" s="59" t="s">
        <v>88</v>
      </c>
      <c r="B32" s="59" t="s">
        <v>89</v>
      </c>
      <c r="C32" s="59" t="s">
        <v>54</v>
      </c>
      <c r="D32" s="60">
        <v>0.25</v>
      </c>
      <c r="E32" s="61">
        <v>0</v>
      </c>
      <c r="F32" s="61">
        <v>23000</v>
      </c>
      <c r="G32" s="61">
        <v>1500</v>
      </c>
      <c r="H32" s="61">
        <v>0</v>
      </c>
      <c r="I32" s="61">
        <v>2000</v>
      </c>
      <c r="J32" s="61">
        <f t="shared" si="0"/>
        <v>0</v>
      </c>
      <c r="K32" s="61">
        <f t="shared" si="1"/>
        <v>17250</v>
      </c>
      <c r="L32" s="61">
        <f t="shared" si="2"/>
        <v>1125</v>
      </c>
      <c r="M32" s="61">
        <f t="shared" si="3"/>
        <v>0</v>
      </c>
      <c r="N32" s="61">
        <f t="shared" si="4"/>
        <v>1500</v>
      </c>
      <c r="O32" s="61">
        <v>0</v>
      </c>
      <c r="P32" s="61">
        <v>0</v>
      </c>
      <c r="Q32" s="61">
        <v>0</v>
      </c>
      <c r="R32" s="61">
        <v>0</v>
      </c>
      <c r="S32" s="61">
        <v>0</v>
      </c>
      <c r="T32" s="61">
        <v>5000</v>
      </c>
      <c r="U32" s="61">
        <v>0</v>
      </c>
      <c r="V32" s="61">
        <v>0</v>
      </c>
      <c r="W32" s="61">
        <v>0</v>
      </c>
      <c r="X32" s="61">
        <v>0</v>
      </c>
      <c r="Y32" s="61">
        <v>-75</v>
      </c>
      <c r="Z32" s="61">
        <f t="shared" si="5"/>
        <v>24800</v>
      </c>
      <c r="AA32" s="61">
        <v>0</v>
      </c>
      <c r="AB32" s="61">
        <f t="shared" si="6"/>
        <v>24800</v>
      </c>
    </row>
    <row r="33" spans="1:29" x14ac:dyDescent="0.35">
      <c r="A33" s="59" t="s">
        <v>108</v>
      </c>
      <c r="B33" s="59" t="s">
        <v>109</v>
      </c>
      <c r="C33" s="59" t="s">
        <v>54</v>
      </c>
      <c r="D33" s="60">
        <v>0</v>
      </c>
      <c r="E33" s="61">
        <v>0</v>
      </c>
      <c r="F33" s="61">
        <v>23000</v>
      </c>
      <c r="G33" s="61">
        <v>1500</v>
      </c>
      <c r="H33" s="61">
        <v>0</v>
      </c>
      <c r="I33" s="61">
        <v>2000</v>
      </c>
      <c r="J33" s="61">
        <f t="shared" si="0"/>
        <v>0</v>
      </c>
      <c r="K33" s="61">
        <f t="shared" si="1"/>
        <v>23000</v>
      </c>
      <c r="L33" s="61">
        <f t="shared" si="2"/>
        <v>1500</v>
      </c>
      <c r="M33" s="61">
        <f t="shared" si="3"/>
        <v>0</v>
      </c>
      <c r="N33" s="61">
        <f t="shared" si="4"/>
        <v>2000</v>
      </c>
      <c r="O33" s="61">
        <v>0</v>
      </c>
      <c r="P33" s="61">
        <v>0</v>
      </c>
      <c r="Q33" s="61">
        <v>0</v>
      </c>
      <c r="R33" s="61">
        <v>0</v>
      </c>
      <c r="S33" s="61">
        <v>0</v>
      </c>
      <c r="T33" s="61">
        <v>0</v>
      </c>
      <c r="U33" s="61">
        <v>0</v>
      </c>
      <c r="V33" s="61">
        <v>0</v>
      </c>
      <c r="W33" s="61">
        <v>0</v>
      </c>
      <c r="X33" s="61">
        <v>0</v>
      </c>
      <c r="Y33" s="61">
        <v>0</v>
      </c>
      <c r="Z33" s="61">
        <f t="shared" si="5"/>
        <v>26500</v>
      </c>
      <c r="AA33" s="61">
        <v>0</v>
      </c>
      <c r="AB33" s="61">
        <f t="shared" si="6"/>
        <v>26500</v>
      </c>
    </row>
    <row r="34" spans="1:29" x14ac:dyDescent="0.35">
      <c r="A34" s="59" t="s">
        <v>115</v>
      </c>
      <c r="B34" s="59" t="s">
        <v>117</v>
      </c>
      <c r="C34" s="59" t="s">
        <v>54</v>
      </c>
      <c r="D34" s="60">
        <v>0.25</v>
      </c>
      <c r="E34" s="61">
        <v>0</v>
      </c>
      <c r="F34" s="61">
        <v>23000</v>
      </c>
      <c r="G34" s="61">
        <v>1500</v>
      </c>
      <c r="H34" s="61">
        <v>0</v>
      </c>
      <c r="I34" s="61">
        <v>2000</v>
      </c>
      <c r="J34" s="61">
        <f t="shared" ref="J34:J65" si="7">(1-$D34)*E34</f>
        <v>0</v>
      </c>
      <c r="K34" s="61">
        <f t="shared" ref="K34:K65" si="8">(1-$D34)*F34</f>
        <v>17250</v>
      </c>
      <c r="L34" s="61">
        <f t="shared" ref="L34:L65" si="9">(1-$D34)*G34</f>
        <v>1125</v>
      </c>
      <c r="M34" s="61">
        <f t="shared" ref="M34:M65" si="10">(1-$D34)*H34</f>
        <v>0</v>
      </c>
      <c r="N34" s="61">
        <f t="shared" ref="N34:N65" si="11">(1-$D34)*I34</f>
        <v>1500</v>
      </c>
      <c r="O34" s="61">
        <v>0</v>
      </c>
      <c r="P34" s="61">
        <v>0</v>
      </c>
      <c r="Q34" s="61">
        <v>0</v>
      </c>
      <c r="R34" s="61">
        <v>0</v>
      </c>
      <c r="S34" s="61">
        <v>0</v>
      </c>
      <c r="T34" s="61">
        <v>5000</v>
      </c>
      <c r="U34" s="61">
        <v>0</v>
      </c>
      <c r="V34" s="61">
        <v>0</v>
      </c>
      <c r="W34" s="61">
        <v>0</v>
      </c>
      <c r="X34" s="61">
        <v>0</v>
      </c>
      <c r="Y34" s="61">
        <v>4875</v>
      </c>
      <c r="Z34" s="61">
        <f t="shared" ref="Z34:Z65" si="12">SUM(J34:Y34)</f>
        <v>29750</v>
      </c>
      <c r="AA34" s="61">
        <v>0</v>
      </c>
      <c r="AB34" s="61">
        <f t="shared" ref="AB34:AB65" si="13">Z34-AA34</f>
        <v>29750</v>
      </c>
    </row>
    <row r="35" spans="1:29" x14ac:dyDescent="0.35">
      <c r="A35" s="59" t="s">
        <v>518</v>
      </c>
      <c r="B35" s="59" t="s">
        <v>47</v>
      </c>
      <c r="C35" s="59" t="s">
        <v>54</v>
      </c>
      <c r="D35" s="60">
        <v>0</v>
      </c>
      <c r="E35" s="61">
        <v>0</v>
      </c>
      <c r="F35" s="61">
        <v>23000</v>
      </c>
      <c r="G35" s="61">
        <v>1500</v>
      </c>
      <c r="H35" s="61">
        <v>0</v>
      </c>
      <c r="I35" s="61">
        <v>2000</v>
      </c>
      <c r="J35" s="61">
        <f t="shared" si="7"/>
        <v>0</v>
      </c>
      <c r="K35" s="61">
        <f t="shared" si="8"/>
        <v>23000</v>
      </c>
      <c r="L35" s="61">
        <f t="shared" si="9"/>
        <v>1500</v>
      </c>
      <c r="M35" s="61">
        <f t="shared" si="10"/>
        <v>0</v>
      </c>
      <c r="N35" s="61">
        <f t="shared" si="11"/>
        <v>2000</v>
      </c>
      <c r="O35" s="61">
        <v>0</v>
      </c>
      <c r="P35" s="61">
        <v>0</v>
      </c>
      <c r="Q35" s="61">
        <v>0</v>
      </c>
      <c r="R35" s="61">
        <v>0</v>
      </c>
      <c r="S35" s="61">
        <v>0</v>
      </c>
      <c r="T35" s="61">
        <v>5000</v>
      </c>
      <c r="U35" s="61">
        <v>0</v>
      </c>
      <c r="V35" s="61">
        <v>0</v>
      </c>
      <c r="W35" s="61">
        <v>0</v>
      </c>
      <c r="X35" s="61">
        <v>0</v>
      </c>
      <c r="Y35" s="61">
        <v>0</v>
      </c>
      <c r="Z35" s="61">
        <f t="shared" si="12"/>
        <v>31500</v>
      </c>
      <c r="AA35" s="61">
        <v>0</v>
      </c>
      <c r="AB35" s="61">
        <f t="shared" si="13"/>
        <v>31500</v>
      </c>
    </row>
    <row r="36" spans="1:29" x14ac:dyDescent="0.35">
      <c r="A36" s="59" t="s">
        <v>124</v>
      </c>
      <c r="B36" s="59" t="s">
        <v>304</v>
      </c>
      <c r="C36" s="59" t="s">
        <v>54</v>
      </c>
      <c r="D36" s="60">
        <v>0</v>
      </c>
      <c r="E36" s="61">
        <v>0</v>
      </c>
      <c r="F36" s="61">
        <v>23000</v>
      </c>
      <c r="G36" s="61">
        <v>1500</v>
      </c>
      <c r="H36" s="61">
        <v>0</v>
      </c>
      <c r="I36" s="61">
        <v>2000</v>
      </c>
      <c r="J36" s="61">
        <f t="shared" si="7"/>
        <v>0</v>
      </c>
      <c r="K36" s="61">
        <f t="shared" si="8"/>
        <v>23000</v>
      </c>
      <c r="L36" s="61">
        <f t="shared" si="9"/>
        <v>1500</v>
      </c>
      <c r="M36" s="61">
        <f t="shared" si="10"/>
        <v>0</v>
      </c>
      <c r="N36" s="61">
        <f t="shared" si="11"/>
        <v>2000</v>
      </c>
      <c r="O36" s="61">
        <v>0</v>
      </c>
      <c r="P36" s="61">
        <v>0</v>
      </c>
      <c r="Q36" s="61">
        <v>0</v>
      </c>
      <c r="R36" s="61">
        <v>0</v>
      </c>
      <c r="S36" s="61">
        <v>0</v>
      </c>
      <c r="T36" s="61">
        <v>5000</v>
      </c>
      <c r="U36" s="61">
        <v>0</v>
      </c>
      <c r="V36" s="61">
        <v>0</v>
      </c>
      <c r="W36" s="61">
        <v>0</v>
      </c>
      <c r="X36" s="61">
        <v>0</v>
      </c>
      <c r="Y36" s="61">
        <v>4000</v>
      </c>
      <c r="Z36" s="61">
        <f t="shared" si="12"/>
        <v>35500</v>
      </c>
      <c r="AA36" s="61">
        <v>0</v>
      </c>
      <c r="AB36" s="61">
        <f t="shared" si="13"/>
        <v>35500</v>
      </c>
    </row>
    <row r="37" spans="1:29" x14ac:dyDescent="0.35">
      <c r="A37" s="59" t="s">
        <v>50</v>
      </c>
      <c r="B37" s="59" t="s">
        <v>53</v>
      </c>
      <c r="C37" s="59" t="s">
        <v>34</v>
      </c>
      <c r="D37" s="60">
        <v>0.25</v>
      </c>
      <c r="E37" s="61">
        <v>0</v>
      </c>
      <c r="F37" s="61">
        <v>23000</v>
      </c>
      <c r="G37" s="61">
        <v>1500</v>
      </c>
      <c r="H37" s="61">
        <v>0</v>
      </c>
      <c r="I37" s="61">
        <v>2000</v>
      </c>
      <c r="J37" s="61">
        <f t="shared" si="7"/>
        <v>0</v>
      </c>
      <c r="K37" s="61">
        <f t="shared" si="8"/>
        <v>17250</v>
      </c>
      <c r="L37" s="61">
        <f t="shared" si="9"/>
        <v>1125</v>
      </c>
      <c r="M37" s="61">
        <f t="shared" si="10"/>
        <v>0</v>
      </c>
      <c r="N37" s="61">
        <f t="shared" si="11"/>
        <v>1500</v>
      </c>
      <c r="O37" s="61">
        <v>0</v>
      </c>
      <c r="P37" s="61">
        <v>0</v>
      </c>
      <c r="Q37" s="61">
        <v>0</v>
      </c>
      <c r="R37" s="61">
        <v>0</v>
      </c>
      <c r="S37" s="61">
        <v>0</v>
      </c>
      <c r="T37" s="61">
        <v>5000</v>
      </c>
      <c r="U37" s="61">
        <v>0</v>
      </c>
      <c r="V37" s="61">
        <v>0</v>
      </c>
      <c r="W37" s="61">
        <v>0</v>
      </c>
      <c r="X37" s="61">
        <v>0</v>
      </c>
      <c r="Y37" s="61">
        <v>-10000</v>
      </c>
      <c r="Z37" s="61">
        <f t="shared" si="12"/>
        <v>14875</v>
      </c>
      <c r="AA37" s="61">
        <v>0</v>
      </c>
      <c r="AB37" s="61">
        <f t="shared" si="13"/>
        <v>14875</v>
      </c>
    </row>
    <row r="38" spans="1:29" x14ac:dyDescent="0.35">
      <c r="A38" s="59" t="s">
        <v>58</v>
      </c>
      <c r="B38" s="59" t="s">
        <v>59</v>
      </c>
      <c r="C38" s="59" t="s">
        <v>34</v>
      </c>
      <c r="D38" s="60">
        <v>0.25</v>
      </c>
      <c r="E38" s="61">
        <v>0</v>
      </c>
      <c r="F38" s="61">
        <v>23000</v>
      </c>
      <c r="G38" s="61">
        <v>1500</v>
      </c>
      <c r="H38" s="61">
        <v>0</v>
      </c>
      <c r="I38" s="61">
        <v>2000</v>
      </c>
      <c r="J38" s="61">
        <f t="shared" si="7"/>
        <v>0</v>
      </c>
      <c r="K38" s="61">
        <f t="shared" si="8"/>
        <v>17250</v>
      </c>
      <c r="L38" s="61">
        <f t="shared" si="9"/>
        <v>1125</v>
      </c>
      <c r="M38" s="61">
        <f t="shared" si="10"/>
        <v>0</v>
      </c>
      <c r="N38" s="61">
        <f t="shared" si="11"/>
        <v>1500</v>
      </c>
      <c r="O38" s="61">
        <v>0</v>
      </c>
      <c r="P38" s="61">
        <v>0</v>
      </c>
      <c r="Q38" s="61">
        <v>0</v>
      </c>
      <c r="R38" s="61">
        <v>0</v>
      </c>
      <c r="S38" s="61">
        <v>0</v>
      </c>
      <c r="T38" s="61">
        <v>0</v>
      </c>
      <c r="U38" s="61">
        <v>0</v>
      </c>
      <c r="V38" s="61">
        <v>0</v>
      </c>
      <c r="W38" s="61">
        <v>0</v>
      </c>
      <c r="X38" s="61">
        <v>0</v>
      </c>
      <c r="Y38" s="61">
        <v>0</v>
      </c>
      <c r="Z38" s="61">
        <f t="shared" si="12"/>
        <v>19875</v>
      </c>
      <c r="AA38" s="61">
        <v>0</v>
      </c>
      <c r="AB38" s="61">
        <f t="shared" si="13"/>
        <v>19875</v>
      </c>
    </row>
    <row r="39" spans="1:29" x14ac:dyDescent="0.35">
      <c r="A39" s="59" t="s">
        <v>58</v>
      </c>
      <c r="B39" s="59" t="s">
        <v>60</v>
      </c>
      <c r="C39" s="59" t="s">
        <v>34</v>
      </c>
      <c r="D39" s="60">
        <v>0.25</v>
      </c>
      <c r="E39" s="61">
        <v>0</v>
      </c>
      <c r="F39" s="61">
        <v>23000</v>
      </c>
      <c r="G39" s="61">
        <v>1500</v>
      </c>
      <c r="H39" s="61">
        <v>0</v>
      </c>
      <c r="I39" s="61">
        <v>2000</v>
      </c>
      <c r="J39" s="61">
        <f t="shared" si="7"/>
        <v>0</v>
      </c>
      <c r="K39" s="61">
        <f t="shared" si="8"/>
        <v>17250</v>
      </c>
      <c r="L39" s="61">
        <f t="shared" si="9"/>
        <v>1125</v>
      </c>
      <c r="M39" s="61">
        <f t="shared" si="10"/>
        <v>0</v>
      </c>
      <c r="N39" s="61">
        <f t="shared" si="11"/>
        <v>1500</v>
      </c>
      <c r="O39" s="61">
        <v>0</v>
      </c>
      <c r="P39" s="61">
        <v>0</v>
      </c>
      <c r="Q39" s="61">
        <v>0</v>
      </c>
      <c r="R39" s="61">
        <v>0</v>
      </c>
      <c r="S39" s="61">
        <v>0</v>
      </c>
      <c r="T39" s="61">
        <v>0</v>
      </c>
      <c r="U39" s="61">
        <v>0</v>
      </c>
      <c r="V39" s="61">
        <v>0</v>
      </c>
      <c r="W39" s="61">
        <v>0</v>
      </c>
      <c r="X39" s="61">
        <v>0</v>
      </c>
      <c r="Y39" s="61">
        <v>0</v>
      </c>
      <c r="Z39" s="61">
        <f t="shared" si="12"/>
        <v>19875</v>
      </c>
      <c r="AA39" s="61">
        <v>0</v>
      </c>
      <c r="AB39" s="61">
        <f t="shared" si="13"/>
        <v>19875</v>
      </c>
    </row>
    <row r="40" spans="1:29" x14ac:dyDescent="0.35">
      <c r="A40" s="59" t="s">
        <v>519</v>
      </c>
      <c r="B40" s="59" t="s">
        <v>520</v>
      </c>
      <c r="C40" s="59" t="s">
        <v>34</v>
      </c>
      <c r="D40" s="60">
        <v>0.25</v>
      </c>
      <c r="E40" s="61">
        <v>0</v>
      </c>
      <c r="F40" s="61">
        <v>23000</v>
      </c>
      <c r="G40" s="61">
        <v>1500</v>
      </c>
      <c r="H40" s="61">
        <v>0</v>
      </c>
      <c r="I40" s="61">
        <v>2000</v>
      </c>
      <c r="J40" s="61">
        <f t="shared" si="7"/>
        <v>0</v>
      </c>
      <c r="K40" s="61">
        <f t="shared" si="8"/>
        <v>17250</v>
      </c>
      <c r="L40" s="61">
        <f t="shared" si="9"/>
        <v>1125</v>
      </c>
      <c r="M40" s="61">
        <f t="shared" si="10"/>
        <v>0</v>
      </c>
      <c r="N40" s="61">
        <f t="shared" si="11"/>
        <v>1500</v>
      </c>
      <c r="O40" s="61">
        <v>0</v>
      </c>
      <c r="P40" s="61">
        <v>0</v>
      </c>
      <c r="Q40" s="61">
        <v>0</v>
      </c>
      <c r="R40" s="61">
        <v>0</v>
      </c>
      <c r="S40" s="61">
        <v>0</v>
      </c>
      <c r="T40" s="61">
        <v>5000</v>
      </c>
      <c r="U40" s="61">
        <v>0</v>
      </c>
      <c r="V40" s="61">
        <v>0</v>
      </c>
      <c r="W40" s="61">
        <v>0</v>
      </c>
      <c r="X40" s="61">
        <v>0</v>
      </c>
      <c r="Y40" s="61">
        <v>-100</v>
      </c>
      <c r="Z40" s="61">
        <f t="shared" si="12"/>
        <v>24775</v>
      </c>
      <c r="AA40" s="61">
        <v>0</v>
      </c>
      <c r="AB40" s="61">
        <f t="shared" si="13"/>
        <v>24775</v>
      </c>
    </row>
    <row r="41" spans="1:29" x14ac:dyDescent="0.35">
      <c r="A41" s="59" t="s">
        <v>102</v>
      </c>
      <c r="B41" s="59" t="s">
        <v>103</v>
      </c>
      <c r="C41" s="59" t="s">
        <v>34</v>
      </c>
      <c r="D41" s="60">
        <v>0.25</v>
      </c>
      <c r="E41" s="61">
        <v>0</v>
      </c>
      <c r="F41" s="61">
        <v>23000</v>
      </c>
      <c r="G41" s="61">
        <v>1500</v>
      </c>
      <c r="H41" s="61">
        <v>0</v>
      </c>
      <c r="I41" s="61">
        <v>2000</v>
      </c>
      <c r="J41" s="61">
        <f t="shared" si="7"/>
        <v>0</v>
      </c>
      <c r="K41" s="61">
        <f t="shared" si="8"/>
        <v>17250</v>
      </c>
      <c r="L41" s="61">
        <f t="shared" si="9"/>
        <v>1125</v>
      </c>
      <c r="M41" s="61">
        <f t="shared" si="10"/>
        <v>0</v>
      </c>
      <c r="N41" s="61">
        <f t="shared" si="11"/>
        <v>1500</v>
      </c>
      <c r="O41" s="61">
        <v>0</v>
      </c>
      <c r="P41" s="61">
        <v>0</v>
      </c>
      <c r="Q41" s="61">
        <v>0</v>
      </c>
      <c r="R41" s="61">
        <v>0</v>
      </c>
      <c r="S41" s="61">
        <v>0</v>
      </c>
      <c r="T41" s="61">
        <v>0</v>
      </c>
      <c r="U41" s="61">
        <v>0</v>
      </c>
      <c r="V41" s="61">
        <v>0</v>
      </c>
      <c r="W41" s="61">
        <v>0</v>
      </c>
      <c r="X41" s="61">
        <v>0</v>
      </c>
      <c r="Y41" s="61">
        <v>49040</v>
      </c>
      <c r="Z41" s="61">
        <f t="shared" si="12"/>
        <v>68915</v>
      </c>
      <c r="AA41" s="61">
        <v>0</v>
      </c>
      <c r="AB41" s="61">
        <f t="shared" si="13"/>
        <v>68915</v>
      </c>
    </row>
    <row r="42" spans="1:29" x14ac:dyDescent="0.35">
      <c r="A42" s="59" t="s">
        <v>521</v>
      </c>
      <c r="B42" s="59" t="s">
        <v>522</v>
      </c>
      <c r="C42" s="59" t="s">
        <v>34</v>
      </c>
      <c r="D42" s="60">
        <v>0.5</v>
      </c>
      <c r="E42" s="61">
        <v>0</v>
      </c>
      <c r="F42" s="61">
        <v>23000</v>
      </c>
      <c r="G42" s="61">
        <v>1500</v>
      </c>
      <c r="H42" s="61">
        <v>0</v>
      </c>
      <c r="I42" s="61">
        <v>2000</v>
      </c>
      <c r="J42" s="61">
        <f t="shared" si="7"/>
        <v>0</v>
      </c>
      <c r="K42" s="61">
        <f t="shared" si="8"/>
        <v>11500</v>
      </c>
      <c r="L42" s="61">
        <f t="shared" si="9"/>
        <v>750</v>
      </c>
      <c r="M42" s="61">
        <f t="shared" si="10"/>
        <v>0</v>
      </c>
      <c r="N42" s="61">
        <f t="shared" si="11"/>
        <v>1000</v>
      </c>
      <c r="O42" s="61">
        <v>0</v>
      </c>
      <c r="P42" s="61">
        <v>0</v>
      </c>
      <c r="Q42" s="61">
        <v>0</v>
      </c>
      <c r="R42" s="61">
        <v>0</v>
      </c>
      <c r="S42" s="61">
        <v>0</v>
      </c>
      <c r="T42" s="61">
        <v>0</v>
      </c>
      <c r="U42" s="61">
        <v>0</v>
      </c>
      <c r="V42" s="61">
        <v>0</v>
      </c>
      <c r="W42" s="61">
        <v>0</v>
      </c>
      <c r="X42" s="61">
        <v>0</v>
      </c>
      <c r="Y42" s="61">
        <v>0</v>
      </c>
      <c r="Z42" s="61">
        <f t="shared" si="12"/>
        <v>13250</v>
      </c>
      <c r="AA42" s="61">
        <v>0</v>
      </c>
      <c r="AB42" s="61">
        <f t="shared" si="13"/>
        <v>13250</v>
      </c>
    </row>
    <row r="43" spans="1:29" x14ac:dyDescent="0.35">
      <c r="A43" s="59" t="s">
        <v>134</v>
      </c>
      <c r="B43" s="59" t="s">
        <v>523</v>
      </c>
      <c r="C43" s="59" t="s">
        <v>34</v>
      </c>
      <c r="D43" s="60">
        <v>0.25</v>
      </c>
      <c r="E43" s="61">
        <v>0</v>
      </c>
      <c r="F43" s="61">
        <v>23000</v>
      </c>
      <c r="G43" s="61">
        <v>1500</v>
      </c>
      <c r="H43" s="61">
        <v>0</v>
      </c>
      <c r="I43" s="61">
        <v>2000</v>
      </c>
      <c r="J43" s="61">
        <f t="shared" si="7"/>
        <v>0</v>
      </c>
      <c r="K43" s="61">
        <f t="shared" si="8"/>
        <v>17250</v>
      </c>
      <c r="L43" s="61">
        <f t="shared" si="9"/>
        <v>1125</v>
      </c>
      <c r="M43" s="61">
        <f t="shared" si="10"/>
        <v>0</v>
      </c>
      <c r="N43" s="61">
        <f t="shared" si="11"/>
        <v>1500</v>
      </c>
      <c r="O43" s="61">
        <v>0</v>
      </c>
      <c r="P43" s="61">
        <v>0</v>
      </c>
      <c r="Q43" s="61">
        <v>0</v>
      </c>
      <c r="R43" s="61">
        <v>0</v>
      </c>
      <c r="S43" s="61">
        <v>0</v>
      </c>
      <c r="T43" s="61">
        <v>5000</v>
      </c>
      <c r="U43" s="61">
        <v>0</v>
      </c>
      <c r="V43" s="61">
        <v>0</v>
      </c>
      <c r="W43" s="61">
        <v>0</v>
      </c>
      <c r="X43" s="61">
        <v>0</v>
      </c>
      <c r="Y43" s="61">
        <v>0</v>
      </c>
      <c r="Z43" s="61">
        <f t="shared" si="12"/>
        <v>24875</v>
      </c>
      <c r="AA43" s="61">
        <v>0</v>
      </c>
      <c r="AB43" s="61">
        <f t="shared" si="13"/>
        <v>24875</v>
      </c>
    </row>
    <row r="44" spans="1:29" x14ac:dyDescent="0.35">
      <c r="A44" s="59" t="s">
        <v>524</v>
      </c>
      <c r="B44" s="59" t="s">
        <v>525</v>
      </c>
      <c r="C44" s="59" t="s">
        <v>34</v>
      </c>
      <c r="D44" s="60">
        <v>0</v>
      </c>
      <c r="E44" s="61">
        <v>0</v>
      </c>
      <c r="F44" s="61">
        <v>23000</v>
      </c>
      <c r="G44" s="61">
        <v>1500</v>
      </c>
      <c r="H44" s="61">
        <v>0</v>
      </c>
      <c r="I44" s="61">
        <v>2000</v>
      </c>
      <c r="J44" s="61">
        <f t="shared" si="7"/>
        <v>0</v>
      </c>
      <c r="K44" s="61">
        <f t="shared" si="8"/>
        <v>23000</v>
      </c>
      <c r="L44" s="61">
        <f t="shared" si="9"/>
        <v>1500</v>
      </c>
      <c r="M44" s="61">
        <f t="shared" si="10"/>
        <v>0</v>
      </c>
      <c r="N44" s="61">
        <f t="shared" si="11"/>
        <v>2000</v>
      </c>
      <c r="O44" s="61">
        <v>0</v>
      </c>
      <c r="P44" s="61">
        <v>0</v>
      </c>
      <c r="Q44" s="61">
        <v>0</v>
      </c>
      <c r="R44" s="61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1">
        <v>0</v>
      </c>
      <c r="Y44" s="61">
        <v>0</v>
      </c>
      <c r="Z44" s="61">
        <f t="shared" si="12"/>
        <v>26500</v>
      </c>
      <c r="AA44" s="61">
        <v>0</v>
      </c>
      <c r="AB44" s="61">
        <f t="shared" si="13"/>
        <v>26500</v>
      </c>
      <c r="AC44" s="43"/>
    </row>
    <row r="45" spans="1:29" x14ac:dyDescent="0.35">
      <c r="A45" s="59" t="s">
        <v>526</v>
      </c>
      <c r="B45" s="59" t="s">
        <v>527</v>
      </c>
      <c r="C45" s="59" t="s">
        <v>36</v>
      </c>
      <c r="D45" s="60">
        <v>0.25</v>
      </c>
      <c r="E45" s="61">
        <v>0</v>
      </c>
      <c r="F45" s="61">
        <v>23000</v>
      </c>
      <c r="G45" s="61">
        <v>1500</v>
      </c>
      <c r="H45" s="61">
        <v>0</v>
      </c>
      <c r="I45" s="61">
        <v>0</v>
      </c>
      <c r="J45" s="61">
        <f t="shared" si="7"/>
        <v>0</v>
      </c>
      <c r="K45" s="61">
        <f t="shared" si="8"/>
        <v>17250</v>
      </c>
      <c r="L45" s="61">
        <f t="shared" si="9"/>
        <v>1125</v>
      </c>
      <c r="M45" s="61">
        <f t="shared" si="10"/>
        <v>0</v>
      </c>
      <c r="N45" s="61">
        <f t="shared" si="11"/>
        <v>0</v>
      </c>
      <c r="O45" s="61">
        <v>0</v>
      </c>
      <c r="P45" s="61">
        <v>0</v>
      </c>
      <c r="Q45" s="61">
        <v>0</v>
      </c>
      <c r="R45" s="61">
        <v>0</v>
      </c>
      <c r="S45" s="61">
        <v>0</v>
      </c>
      <c r="T45" s="61">
        <v>5000</v>
      </c>
      <c r="U45" s="61">
        <v>0</v>
      </c>
      <c r="V45" s="61">
        <v>0</v>
      </c>
      <c r="W45" s="61">
        <v>0</v>
      </c>
      <c r="X45" s="61">
        <v>0</v>
      </c>
      <c r="Y45" s="61">
        <v>0</v>
      </c>
      <c r="Z45" s="61">
        <f t="shared" si="12"/>
        <v>23375</v>
      </c>
      <c r="AA45" s="61">
        <v>0</v>
      </c>
      <c r="AB45" s="61">
        <f t="shared" si="13"/>
        <v>23375</v>
      </c>
    </row>
    <row r="46" spans="1:29" x14ac:dyDescent="0.35">
      <c r="A46" s="59" t="s">
        <v>69</v>
      </c>
      <c r="B46" s="59" t="s">
        <v>59</v>
      </c>
      <c r="C46" s="59" t="s">
        <v>36</v>
      </c>
      <c r="D46" s="60">
        <v>0.25</v>
      </c>
      <c r="E46" s="61">
        <v>0</v>
      </c>
      <c r="F46" s="61">
        <v>23000</v>
      </c>
      <c r="G46" s="61">
        <v>1500</v>
      </c>
      <c r="H46" s="61">
        <v>0</v>
      </c>
      <c r="I46" s="61">
        <v>0</v>
      </c>
      <c r="J46" s="61">
        <f t="shared" si="7"/>
        <v>0</v>
      </c>
      <c r="K46" s="61">
        <f t="shared" si="8"/>
        <v>17250</v>
      </c>
      <c r="L46" s="61">
        <f t="shared" si="9"/>
        <v>1125</v>
      </c>
      <c r="M46" s="61">
        <f t="shared" si="10"/>
        <v>0</v>
      </c>
      <c r="N46" s="61">
        <f t="shared" si="11"/>
        <v>0</v>
      </c>
      <c r="O46" s="61">
        <v>0</v>
      </c>
      <c r="P46" s="61">
        <v>0</v>
      </c>
      <c r="Q46" s="61">
        <v>0</v>
      </c>
      <c r="R46" s="61">
        <v>0</v>
      </c>
      <c r="S46" s="61">
        <v>0</v>
      </c>
      <c r="T46" s="61">
        <v>5000</v>
      </c>
      <c r="U46" s="61">
        <v>0</v>
      </c>
      <c r="V46" s="61">
        <v>0</v>
      </c>
      <c r="W46" s="61">
        <v>0</v>
      </c>
      <c r="X46" s="61">
        <v>0</v>
      </c>
      <c r="Y46" s="61">
        <v>0</v>
      </c>
      <c r="Z46" s="61">
        <f t="shared" si="12"/>
        <v>23375</v>
      </c>
      <c r="AA46" s="61">
        <v>0</v>
      </c>
      <c r="AB46" s="61">
        <f t="shared" si="13"/>
        <v>23375</v>
      </c>
    </row>
    <row r="47" spans="1:29" x14ac:dyDescent="0.35">
      <c r="A47" s="59" t="s">
        <v>528</v>
      </c>
      <c r="B47" s="59" t="s">
        <v>529</v>
      </c>
      <c r="C47" s="59" t="s">
        <v>36</v>
      </c>
      <c r="D47" s="60">
        <v>0</v>
      </c>
      <c r="E47" s="61">
        <v>0</v>
      </c>
      <c r="F47" s="61">
        <v>23000</v>
      </c>
      <c r="G47" s="61">
        <v>1500</v>
      </c>
      <c r="H47" s="61">
        <v>0</v>
      </c>
      <c r="I47" s="61">
        <v>0</v>
      </c>
      <c r="J47" s="61">
        <f t="shared" si="7"/>
        <v>0</v>
      </c>
      <c r="K47" s="61">
        <f t="shared" si="8"/>
        <v>23000</v>
      </c>
      <c r="L47" s="61">
        <f t="shared" si="9"/>
        <v>1500</v>
      </c>
      <c r="M47" s="61">
        <f t="shared" si="10"/>
        <v>0</v>
      </c>
      <c r="N47" s="61">
        <f t="shared" si="11"/>
        <v>0</v>
      </c>
      <c r="O47" s="61">
        <v>0</v>
      </c>
      <c r="P47" s="61">
        <v>0</v>
      </c>
      <c r="Q47" s="61">
        <v>0</v>
      </c>
      <c r="R47" s="61">
        <v>0</v>
      </c>
      <c r="S47" s="61">
        <v>0</v>
      </c>
      <c r="T47" s="61">
        <v>0</v>
      </c>
      <c r="U47" s="61">
        <v>0</v>
      </c>
      <c r="V47" s="61">
        <v>0</v>
      </c>
      <c r="W47" s="61">
        <v>0</v>
      </c>
      <c r="X47" s="61">
        <v>0</v>
      </c>
      <c r="Y47" s="61">
        <v>0</v>
      </c>
      <c r="Z47" s="61">
        <f t="shared" si="12"/>
        <v>24500</v>
      </c>
      <c r="AA47" s="61">
        <v>0</v>
      </c>
      <c r="AB47" s="61">
        <f t="shared" si="13"/>
        <v>24500</v>
      </c>
    </row>
    <row r="48" spans="1:29" x14ac:dyDescent="0.35">
      <c r="A48" s="59" t="s">
        <v>100</v>
      </c>
      <c r="B48" s="59" t="s">
        <v>101</v>
      </c>
      <c r="C48" s="59" t="s">
        <v>36</v>
      </c>
      <c r="D48" s="60">
        <v>0</v>
      </c>
      <c r="E48" s="61">
        <v>0</v>
      </c>
      <c r="F48" s="61">
        <v>23000</v>
      </c>
      <c r="G48" s="61">
        <v>1500</v>
      </c>
      <c r="H48" s="61">
        <v>0</v>
      </c>
      <c r="I48" s="61">
        <v>0</v>
      </c>
      <c r="J48" s="61">
        <f t="shared" si="7"/>
        <v>0</v>
      </c>
      <c r="K48" s="61">
        <f t="shared" si="8"/>
        <v>23000</v>
      </c>
      <c r="L48" s="61">
        <f t="shared" si="9"/>
        <v>1500</v>
      </c>
      <c r="M48" s="61">
        <f t="shared" si="10"/>
        <v>0</v>
      </c>
      <c r="N48" s="61">
        <f t="shared" si="11"/>
        <v>0</v>
      </c>
      <c r="O48" s="61">
        <v>0</v>
      </c>
      <c r="P48" s="61">
        <v>0</v>
      </c>
      <c r="Q48" s="61">
        <v>0</v>
      </c>
      <c r="R48" s="61">
        <v>0</v>
      </c>
      <c r="S48" s="61">
        <v>0</v>
      </c>
      <c r="T48" s="61">
        <v>0</v>
      </c>
      <c r="U48" s="61">
        <v>0</v>
      </c>
      <c r="V48" s="61">
        <v>0</v>
      </c>
      <c r="W48" s="61">
        <v>0</v>
      </c>
      <c r="X48" s="61">
        <v>0</v>
      </c>
      <c r="Y48" s="61">
        <v>4420</v>
      </c>
      <c r="Z48" s="61">
        <f t="shared" si="12"/>
        <v>28920</v>
      </c>
      <c r="AA48" s="61">
        <v>0</v>
      </c>
      <c r="AB48" s="61">
        <f t="shared" si="13"/>
        <v>28920</v>
      </c>
    </row>
    <row r="49" spans="1:29" x14ac:dyDescent="0.35">
      <c r="A49" s="59" t="s">
        <v>302</v>
      </c>
      <c r="B49" s="59" t="s">
        <v>303</v>
      </c>
      <c r="C49" s="59" t="s">
        <v>36</v>
      </c>
      <c r="D49" s="60">
        <v>0</v>
      </c>
      <c r="E49" s="61">
        <v>0</v>
      </c>
      <c r="F49" s="61">
        <v>23000</v>
      </c>
      <c r="G49" s="61">
        <v>1500</v>
      </c>
      <c r="H49" s="61">
        <v>0</v>
      </c>
      <c r="I49" s="61">
        <v>0</v>
      </c>
      <c r="J49" s="61">
        <f t="shared" si="7"/>
        <v>0</v>
      </c>
      <c r="K49" s="61">
        <f t="shared" si="8"/>
        <v>23000</v>
      </c>
      <c r="L49" s="61">
        <f t="shared" si="9"/>
        <v>1500</v>
      </c>
      <c r="M49" s="61">
        <f t="shared" si="10"/>
        <v>0</v>
      </c>
      <c r="N49" s="61">
        <f t="shared" si="11"/>
        <v>0</v>
      </c>
      <c r="O49" s="61">
        <v>0</v>
      </c>
      <c r="P49" s="61">
        <v>0</v>
      </c>
      <c r="Q49" s="61">
        <v>0</v>
      </c>
      <c r="R49" s="61">
        <v>0</v>
      </c>
      <c r="S49" s="61">
        <v>0</v>
      </c>
      <c r="T49" s="61">
        <v>0</v>
      </c>
      <c r="U49" s="61">
        <v>0</v>
      </c>
      <c r="V49" s="61">
        <v>0</v>
      </c>
      <c r="W49" s="61">
        <v>0</v>
      </c>
      <c r="X49" s="61">
        <v>0</v>
      </c>
      <c r="Y49" s="61">
        <v>-40</v>
      </c>
      <c r="Z49" s="61">
        <f t="shared" si="12"/>
        <v>24460</v>
      </c>
      <c r="AA49" s="61">
        <v>0</v>
      </c>
      <c r="AB49" s="61">
        <f t="shared" si="13"/>
        <v>24460</v>
      </c>
    </row>
    <row r="50" spans="1:29" x14ac:dyDescent="0.35">
      <c r="A50" s="59" t="s">
        <v>402</v>
      </c>
      <c r="B50" s="59" t="s">
        <v>403</v>
      </c>
      <c r="C50" s="59" t="s">
        <v>36</v>
      </c>
      <c r="D50" s="60">
        <v>0</v>
      </c>
      <c r="E50" s="61">
        <v>0</v>
      </c>
      <c r="F50" s="61">
        <v>23000</v>
      </c>
      <c r="G50" s="61">
        <v>1500</v>
      </c>
      <c r="H50" s="61">
        <v>0</v>
      </c>
      <c r="I50" s="61">
        <v>0</v>
      </c>
      <c r="J50" s="61">
        <f t="shared" si="7"/>
        <v>0</v>
      </c>
      <c r="K50" s="61">
        <f t="shared" si="8"/>
        <v>23000</v>
      </c>
      <c r="L50" s="61">
        <f t="shared" si="9"/>
        <v>1500</v>
      </c>
      <c r="M50" s="61">
        <f t="shared" si="10"/>
        <v>0</v>
      </c>
      <c r="N50" s="61">
        <f t="shared" si="11"/>
        <v>0</v>
      </c>
      <c r="O50" s="61">
        <v>0</v>
      </c>
      <c r="P50" s="61">
        <v>0</v>
      </c>
      <c r="Q50" s="61">
        <v>0</v>
      </c>
      <c r="R50" s="61">
        <v>0</v>
      </c>
      <c r="S50" s="61">
        <v>0</v>
      </c>
      <c r="T50" s="61">
        <v>0</v>
      </c>
      <c r="U50" s="61">
        <v>0</v>
      </c>
      <c r="V50" s="61">
        <v>0</v>
      </c>
      <c r="W50" s="61">
        <v>0</v>
      </c>
      <c r="X50" s="61">
        <v>0</v>
      </c>
      <c r="Y50" s="61">
        <v>0</v>
      </c>
      <c r="Z50" s="61">
        <f t="shared" si="12"/>
        <v>24500</v>
      </c>
      <c r="AA50" s="61">
        <v>0</v>
      </c>
      <c r="AB50" s="61">
        <f t="shared" si="13"/>
        <v>24500</v>
      </c>
      <c r="AC50" s="39"/>
    </row>
    <row r="51" spans="1:29" x14ac:dyDescent="0.35">
      <c r="A51" s="59" t="s">
        <v>112</v>
      </c>
      <c r="B51" s="59" t="s">
        <v>530</v>
      </c>
      <c r="C51" s="59" t="s">
        <v>36</v>
      </c>
      <c r="D51" s="60">
        <v>0.25</v>
      </c>
      <c r="E51" s="61">
        <v>0</v>
      </c>
      <c r="F51" s="61">
        <v>23000</v>
      </c>
      <c r="G51" s="61">
        <v>1500</v>
      </c>
      <c r="H51" s="61">
        <v>0</v>
      </c>
      <c r="I51" s="61">
        <v>0</v>
      </c>
      <c r="J51" s="61">
        <f t="shared" si="7"/>
        <v>0</v>
      </c>
      <c r="K51" s="61">
        <f t="shared" si="8"/>
        <v>17250</v>
      </c>
      <c r="L51" s="61">
        <f t="shared" si="9"/>
        <v>1125</v>
      </c>
      <c r="M51" s="61">
        <f t="shared" si="10"/>
        <v>0</v>
      </c>
      <c r="N51" s="61">
        <f t="shared" si="11"/>
        <v>0</v>
      </c>
      <c r="O51" s="61">
        <v>0</v>
      </c>
      <c r="P51" s="61">
        <v>0</v>
      </c>
      <c r="Q51" s="61">
        <v>0</v>
      </c>
      <c r="R51" s="61">
        <v>0</v>
      </c>
      <c r="S51" s="61">
        <v>0</v>
      </c>
      <c r="T51" s="61">
        <v>0</v>
      </c>
      <c r="U51" s="61">
        <v>0</v>
      </c>
      <c r="V51" s="61">
        <v>0</v>
      </c>
      <c r="W51" s="61">
        <v>0</v>
      </c>
      <c r="X51" s="61">
        <v>0</v>
      </c>
      <c r="Y51" s="61">
        <v>8550</v>
      </c>
      <c r="Z51" s="61">
        <f t="shared" si="12"/>
        <v>26925</v>
      </c>
      <c r="AA51" s="61">
        <v>0</v>
      </c>
      <c r="AB51" s="61">
        <f t="shared" si="13"/>
        <v>26925</v>
      </c>
    </row>
    <row r="52" spans="1:29" x14ac:dyDescent="0.35">
      <c r="A52" s="59" t="s">
        <v>490</v>
      </c>
      <c r="B52" s="59" t="s">
        <v>531</v>
      </c>
      <c r="C52" s="59" t="s">
        <v>36</v>
      </c>
      <c r="D52" s="60">
        <v>0.25</v>
      </c>
      <c r="E52" s="61">
        <v>0</v>
      </c>
      <c r="F52" s="61">
        <v>23000</v>
      </c>
      <c r="G52" s="61">
        <v>1500</v>
      </c>
      <c r="H52" s="61">
        <v>0</v>
      </c>
      <c r="I52" s="61">
        <v>0</v>
      </c>
      <c r="J52" s="61">
        <f t="shared" si="7"/>
        <v>0</v>
      </c>
      <c r="K52" s="61">
        <f t="shared" si="8"/>
        <v>17250</v>
      </c>
      <c r="L52" s="61">
        <f t="shared" si="9"/>
        <v>1125</v>
      </c>
      <c r="M52" s="61">
        <f t="shared" si="10"/>
        <v>0</v>
      </c>
      <c r="N52" s="61">
        <f t="shared" si="11"/>
        <v>0</v>
      </c>
      <c r="O52" s="61">
        <v>0</v>
      </c>
      <c r="P52" s="61">
        <v>0</v>
      </c>
      <c r="Q52" s="61">
        <v>0</v>
      </c>
      <c r="R52" s="61">
        <v>0</v>
      </c>
      <c r="S52" s="61">
        <v>0</v>
      </c>
      <c r="T52" s="61">
        <v>5000</v>
      </c>
      <c r="U52" s="61">
        <v>0</v>
      </c>
      <c r="V52" s="61">
        <v>0</v>
      </c>
      <c r="W52" s="61">
        <v>0</v>
      </c>
      <c r="X52" s="61">
        <v>0</v>
      </c>
      <c r="Y52" s="61">
        <v>0</v>
      </c>
      <c r="Z52" s="61">
        <f t="shared" si="12"/>
        <v>23375</v>
      </c>
      <c r="AA52" s="61">
        <v>0</v>
      </c>
      <c r="AB52" s="61">
        <f t="shared" si="13"/>
        <v>23375</v>
      </c>
    </row>
    <row r="53" spans="1:29" x14ac:dyDescent="0.35">
      <c r="A53" s="59" t="s">
        <v>115</v>
      </c>
      <c r="B53" s="59" t="s">
        <v>118</v>
      </c>
      <c r="C53" s="59" t="s">
        <v>36</v>
      </c>
      <c r="D53" s="60">
        <v>0.25</v>
      </c>
      <c r="E53" s="61">
        <v>0</v>
      </c>
      <c r="F53" s="61">
        <v>23000</v>
      </c>
      <c r="G53" s="61">
        <v>1500</v>
      </c>
      <c r="H53" s="61">
        <v>0</v>
      </c>
      <c r="I53" s="61">
        <v>0</v>
      </c>
      <c r="J53" s="61">
        <f t="shared" si="7"/>
        <v>0</v>
      </c>
      <c r="K53" s="61">
        <f t="shared" si="8"/>
        <v>17250</v>
      </c>
      <c r="L53" s="61">
        <f t="shared" si="9"/>
        <v>1125</v>
      </c>
      <c r="M53" s="61">
        <f t="shared" si="10"/>
        <v>0</v>
      </c>
      <c r="N53" s="61">
        <f t="shared" si="11"/>
        <v>0</v>
      </c>
      <c r="O53" s="61">
        <v>0</v>
      </c>
      <c r="P53" s="61">
        <v>0</v>
      </c>
      <c r="Q53" s="61">
        <v>0</v>
      </c>
      <c r="R53" s="61">
        <v>0</v>
      </c>
      <c r="S53" s="61">
        <v>0</v>
      </c>
      <c r="T53" s="61">
        <v>0</v>
      </c>
      <c r="U53" s="61">
        <v>0</v>
      </c>
      <c r="V53" s="61">
        <v>0</v>
      </c>
      <c r="W53" s="61">
        <v>0</v>
      </c>
      <c r="X53" s="61">
        <v>0</v>
      </c>
      <c r="Y53" s="61">
        <v>-1005</v>
      </c>
      <c r="Z53" s="61">
        <f t="shared" si="12"/>
        <v>17370</v>
      </c>
      <c r="AA53" s="61">
        <v>0</v>
      </c>
      <c r="AB53" s="61">
        <f t="shared" si="13"/>
        <v>17370</v>
      </c>
    </row>
    <row r="54" spans="1:29" x14ac:dyDescent="0.35">
      <c r="A54" s="59" t="s">
        <v>521</v>
      </c>
      <c r="B54" s="59" t="s">
        <v>532</v>
      </c>
      <c r="C54" s="59" t="s">
        <v>36</v>
      </c>
      <c r="D54" s="60">
        <v>0.5</v>
      </c>
      <c r="E54" s="61">
        <v>0</v>
      </c>
      <c r="F54" s="61">
        <v>23000</v>
      </c>
      <c r="G54" s="61">
        <v>1500</v>
      </c>
      <c r="H54" s="61">
        <v>0</v>
      </c>
      <c r="I54" s="61">
        <v>0</v>
      </c>
      <c r="J54" s="61">
        <f t="shared" si="7"/>
        <v>0</v>
      </c>
      <c r="K54" s="61">
        <f t="shared" si="8"/>
        <v>11500</v>
      </c>
      <c r="L54" s="61">
        <f t="shared" si="9"/>
        <v>750</v>
      </c>
      <c r="M54" s="61">
        <f t="shared" si="10"/>
        <v>0</v>
      </c>
      <c r="N54" s="61">
        <f t="shared" si="11"/>
        <v>0</v>
      </c>
      <c r="O54" s="61">
        <v>0</v>
      </c>
      <c r="P54" s="61">
        <v>0</v>
      </c>
      <c r="Q54" s="61">
        <v>0</v>
      </c>
      <c r="R54" s="61">
        <v>0</v>
      </c>
      <c r="S54" s="61">
        <v>0</v>
      </c>
      <c r="T54" s="61">
        <v>0</v>
      </c>
      <c r="U54" s="61">
        <v>0</v>
      </c>
      <c r="V54" s="61">
        <v>0</v>
      </c>
      <c r="W54" s="61">
        <v>0</v>
      </c>
      <c r="X54" s="61">
        <v>0</v>
      </c>
      <c r="Y54" s="61">
        <v>0</v>
      </c>
      <c r="Z54" s="61">
        <f t="shared" si="12"/>
        <v>12250</v>
      </c>
      <c r="AA54" s="61">
        <v>0</v>
      </c>
      <c r="AB54" s="61">
        <f t="shared" si="13"/>
        <v>12250</v>
      </c>
    </row>
    <row r="55" spans="1:29" x14ac:dyDescent="0.35">
      <c r="A55" s="59" t="s">
        <v>533</v>
      </c>
      <c r="B55" s="59" t="s">
        <v>534</v>
      </c>
      <c r="C55" s="59" t="s">
        <v>36</v>
      </c>
      <c r="D55" s="60">
        <v>0.25</v>
      </c>
      <c r="E55" s="61">
        <v>0</v>
      </c>
      <c r="F55" s="61">
        <v>23000</v>
      </c>
      <c r="G55" s="61">
        <v>1500</v>
      </c>
      <c r="H55" s="61">
        <v>0</v>
      </c>
      <c r="I55" s="61">
        <v>0</v>
      </c>
      <c r="J55" s="61">
        <f t="shared" si="7"/>
        <v>0</v>
      </c>
      <c r="K55" s="61">
        <f t="shared" si="8"/>
        <v>17250</v>
      </c>
      <c r="L55" s="61">
        <f t="shared" si="9"/>
        <v>1125</v>
      </c>
      <c r="M55" s="61">
        <f t="shared" si="10"/>
        <v>0</v>
      </c>
      <c r="N55" s="61">
        <f t="shared" si="11"/>
        <v>0</v>
      </c>
      <c r="O55" s="61">
        <v>0</v>
      </c>
      <c r="P55" s="61">
        <v>0</v>
      </c>
      <c r="Q55" s="61">
        <v>0</v>
      </c>
      <c r="R55" s="61">
        <v>0</v>
      </c>
      <c r="S55" s="61">
        <v>0</v>
      </c>
      <c r="T55" s="61">
        <v>0</v>
      </c>
      <c r="U55" s="61">
        <v>0</v>
      </c>
      <c r="V55" s="61">
        <v>0</v>
      </c>
      <c r="W55" s="61">
        <v>0</v>
      </c>
      <c r="X55" s="61">
        <v>0</v>
      </c>
      <c r="Y55" s="61">
        <v>0</v>
      </c>
      <c r="Z55" s="61">
        <f t="shared" si="12"/>
        <v>18375</v>
      </c>
      <c r="AA55" s="61">
        <v>0</v>
      </c>
      <c r="AB55" s="61">
        <f t="shared" si="13"/>
        <v>18375</v>
      </c>
    </row>
    <row r="56" spans="1:29" x14ac:dyDescent="0.35">
      <c r="A56" s="59" t="s">
        <v>535</v>
      </c>
      <c r="B56" s="59" t="s">
        <v>536</v>
      </c>
      <c r="C56" s="59" t="s">
        <v>36</v>
      </c>
      <c r="D56" s="60">
        <v>0</v>
      </c>
      <c r="E56" s="61">
        <v>0</v>
      </c>
      <c r="F56" s="61">
        <v>23000</v>
      </c>
      <c r="G56" s="61">
        <v>1500</v>
      </c>
      <c r="H56" s="61">
        <v>0</v>
      </c>
      <c r="I56" s="61">
        <v>0</v>
      </c>
      <c r="J56" s="61">
        <f t="shared" si="7"/>
        <v>0</v>
      </c>
      <c r="K56" s="61">
        <f t="shared" si="8"/>
        <v>23000</v>
      </c>
      <c r="L56" s="61">
        <f t="shared" si="9"/>
        <v>1500</v>
      </c>
      <c r="M56" s="61">
        <f t="shared" si="10"/>
        <v>0</v>
      </c>
      <c r="N56" s="61">
        <f t="shared" si="11"/>
        <v>0</v>
      </c>
      <c r="O56" s="61">
        <v>0</v>
      </c>
      <c r="P56" s="61">
        <v>0</v>
      </c>
      <c r="Q56" s="61">
        <v>0</v>
      </c>
      <c r="R56" s="61">
        <v>0</v>
      </c>
      <c r="S56" s="61">
        <v>0</v>
      </c>
      <c r="T56" s="61">
        <v>0</v>
      </c>
      <c r="U56" s="61">
        <v>0</v>
      </c>
      <c r="V56" s="61">
        <v>0</v>
      </c>
      <c r="W56" s="61">
        <v>0</v>
      </c>
      <c r="X56" s="61">
        <v>0</v>
      </c>
      <c r="Y56" s="61">
        <v>0</v>
      </c>
      <c r="Z56" s="61">
        <f t="shared" si="12"/>
        <v>24500</v>
      </c>
      <c r="AA56" s="61">
        <v>0</v>
      </c>
      <c r="AB56" s="61">
        <f t="shared" si="13"/>
        <v>24500</v>
      </c>
    </row>
    <row r="57" spans="1:29" x14ac:dyDescent="0.35">
      <c r="A57" s="59" t="s">
        <v>134</v>
      </c>
      <c r="B57" s="59" t="s">
        <v>537</v>
      </c>
      <c r="C57" s="59" t="s">
        <v>36</v>
      </c>
      <c r="D57" s="60">
        <v>0.25</v>
      </c>
      <c r="E57" s="61">
        <v>0</v>
      </c>
      <c r="F57" s="61">
        <v>23000</v>
      </c>
      <c r="G57" s="61">
        <v>1500</v>
      </c>
      <c r="H57" s="61">
        <v>0</v>
      </c>
      <c r="I57" s="61">
        <v>0</v>
      </c>
      <c r="J57" s="61">
        <f t="shared" si="7"/>
        <v>0</v>
      </c>
      <c r="K57" s="61">
        <f t="shared" si="8"/>
        <v>17250</v>
      </c>
      <c r="L57" s="61">
        <f t="shared" si="9"/>
        <v>1125</v>
      </c>
      <c r="M57" s="61">
        <f t="shared" si="10"/>
        <v>0</v>
      </c>
      <c r="N57" s="61">
        <f t="shared" si="11"/>
        <v>0</v>
      </c>
      <c r="O57" s="61">
        <v>0</v>
      </c>
      <c r="P57" s="61">
        <v>0</v>
      </c>
      <c r="Q57" s="61">
        <v>0</v>
      </c>
      <c r="R57" s="61">
        <v>0</v>
      </c>
      <c r="S57" s="61">
        <v>0</v>
      </c>
      <c r="T57" s="61">
        <v>5000</v>
      </c>
      <c r="U57" s="61">
        <v>0</v>
      </c>
      <c r="V57" s="61">
        <v>0</v>
      </c>
      <c r="W57" s="61">
        <v>0</v>
      </c>
      <c r="X57" s="61">
        <v>0</v>
      </c>
      <c r="Y57" s="61">
        <v>0</v>
      </c>
      <c r="Z57" s="61">
        <f t="shared" si="12"/>
        <v>23375</v>
      </c>
      <c r="AA57" s="61">
        <v>0</v>
      </c>
      <c r="AB57" s="61">
        <f t="shared" si="13"/>
        <v>23375</v>
      </c>
    </row>
    <row r="58" spans="1:29" x14ac:dyDescent="0.35">
      <c r="A58" s="59" t="s">
        <v>23</v>
      </c>
      <c r="B58" s="59" t="s">
        <v>24</v>
      </c>
      <c r="C58" s="59" t="s">
        <v>25</v>
      </c>
      <c r="D58" s="60">
        <v>0.25</v>
      </c>
      <c r="E58" s="61">
        <v>0</v>
      </c>
      <c r="F58" s="61">
        <v>23000</v>
      </c>
      <c r="G58" s="61">
        <v>1500</v>
      </c>
      <c r="H58" s="61">
        <v>0</v>
      </c>
      <c r="I58" s="61">
        <v>0</v>
      </c>
      <c r="J58" s="61">
        <f t="shared" si="7"/>
        <v>0</v>
      </c>
      <c r="K58" s="61">
        <f t="shared" si="8"/>
        <v>17250</v>
      </c>
      <c r="L58" s="61">
        <f t="shared" si="9"/>
        <v>1125</v>
      </c>
      <c r="M58" s="61">
        <f t="shared" si="10"/>
        <v>0</v>
      </c>
      <c r="N58" s="61">
        <f t="shared" si="11"/>
        <v>0</v>
      </c>
      <c r="O58" s="61">
        <v>0</v>
      </c>
      <c r="P58" s="61">
        <v>0</v>
      </c>
      <c r="Q58" s="61">
        <v>0</v>
      </c>
      <c r="R58" s="61">
        <v>0</v>
      </c>
      <c r="S58" s="61">
        <v>0</v>
      </c>
      <c r="T58" s="61">
        <v>5000</v>
      </c>
      <c r="U58" s="61">
        <v>0</v>
      </c>
      <c r="V58" s="61">
        <v>0</v>
      </c>
      <c r="W58" s="61">
        <v>0</v>
      </c>
      <c r="X58" s="61">
        <v>0</v>
      </c>
      <c r="Y58" s="61">
        <v>-29875</v>
      </c>
      <c r="Z58" s="61">
        <f t="shared" si="12"/>
        <v>-6500</v>
      </c>
      <c r="AA58" s="61">
        <v>0</v>
      </c>
      <c r="AB58" s="61">
        <f t="shared" si="13"/>
        <v>-6500</v>
      </c>
    </row>
    <row r="59" spans="1:29" x14ac:dyDescent="0.35">
      <c r="A59" s="59" t="s">
        <v>26</v>
      </c>
      <c r="B59" s="59" t="s">
        <v>35</v>
      </c>
      <c r="C59" s="59" t="s">
        <v>25</v>
      </c>
      <c r="D59" s="60">
        <v>0.25</v>
      </c>
      <c r="E59" s="61">
        <v>0</v>
      </c>
      <c r="F59" s="61">
        <v>23000</v>
      </c>
      <c r="G59" s="61">
        <v>1500</v>
      </c>
      <c r="H59" s="61">
        <v>0</v>
      </c>
      <c r="I59" s="61">
        <v>0</v>
      </c>
      <c r="J59" s="61">
        <f t="shared" si="7"/>
        <v>0</v>
      </c>
      <c r="K59" s="61">
        <f t="shared" si="8"/>
        <v>17250</v>
      </c>
      <c r="L59" s="61">
        <f t="shared" si="9"/>
        <v>1125</v>
      </c>
      <c r="M59" s="61">
        <f t="shared" si="10"/>
        <v>0</v>
      </c>
      <c r="N59" s="61">
        <f t="shared" si="11"/>
        <v>0</v>
      </c>
      <c r="O59" s="61">
        <v>0</v>
      </c>
      <c r="P59" s="61">
        <v>0</v>
      </c>
      <c r="Q59" s="61">
        <v>0</v>
      </c>
      <c r="R59" s="61">
        <v>0</v>
      </c>
      <c r="S59" s="61">
        <v>0</v>
      </c>
      <c r="T59" s="61">
        <v>5000</v>
      </c>
      <c r="U59" s="61">
        <v>0</v>
      </c>
      <c r="V59" s="61">
        <v>0</v>
      </c>
      <c r="W59" s="61">
        <v>0</v>
      </c>
      <c r="X59" s="61">
        <v>0</v>
      </c>
      <c r="Y59" s="61">
        <v>7000</v>
      </c>
      <c r="Z59" s="61">
        <f t="shared" si="12"/>
        <v>30375</v>
      </c>
      <c r="AA59" s="61">
        <v>0</v>
      </c>
      <c r="AB59" s="61">
        <f t="shared" si="13"/>
        <v>30375</v>
      </c>
    </row>
    <row r="60" spans="1:29" x14ac:dyDescent="0.35">
      <c r="A60" s="59" t="s">
        <v>39</v>
      </c>
      <c r="B60" s="59" t="s">
        <v>40</v>
      </c>
      <c r="C60" s="59" t="s">
        <v>25</v>
      </c>
      <c r="D60" s="60">
        <v>0.5</v>
      </c>
      <c r="E60" s="61">
        <v>0</v>
      </c>
      <c r="F60" s="61">
        <v>23000</v>
      </c>
      <c r="G60" s="61">
        <v>1500</v>
      </c>
      <c r="H60" s="61">
        <v>0</v>
      </c>
      <c r="I60" s="61">
        <v>0</v>
      </c>
      <c r="J60" s="61">
        <f t="shared" si="7"/>
        <v>0</v>
      </c>
      <c r="K60" s="61">
        <f t="shared" si="8"/>
        <v>11500</v>
      </c>
      <c r="L60" s="61">
        <f t="shared" si="9"/>
        <v>750</v>
      </c>
      <c r="M60" s="61">
        <f t="shared" si="10"/>
        <v>0</v>
      </c>
      <c r="N60" s="61">
        <f t="shared" si="11"/>
        <v>0</v>
      </c>
      <c r="O60" s="61">
        <v>0</v>
      </c>
      <c r="P60" s="61">
        <v>0</v>
      </c>
      <c r="Q60" s="61">
        <v>0</v>
      </c>
      <c r="R60" s="61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1">
        <v>0</v>
      </c>
      <c r="Y60" s="61">
        <v>500</v>
      </c>
      <c r="Z60" s="61">
        <f t="shared" si="12"/>
        <v>12750</v>
      </c>
      <c r="AA60" s="61">
        <v>0</v>
      </c>
      <c r="AB60" s="61">
        <f t="shared" si="13"/>
        <v>12750</v>
      </c>
    </row>
    <row r="61" spans="1:29" x14ac:dyDescent="0.35">
      <c r="A61" s="59" t="s">
        <v>42</v>
      </c>
      <c r="B61" s="59" t="s">
        <v>44</v>
      </c>
      <c r="C61" s="59" t="s">
        <v>25</v>
      </c>
      <c r="D61" s="60">
        <v>0.25</v>
      </c>
      <c r="E61" s="61">
        <v>0</v>
      </c>
      <c r="F61" s="61">
        <v>23000</v>
      </c>
      <c r="G61" s="61">
        <v>1500</v>
      </c>
      <c r="H61" s="61">
        <v>0</v>
      </c>
      <c r="I61" s="61">
        <v>0</v>
      </c>
      <c r="J61" s="61">
        <f t="shared" si="7"/>
        <v>0</v>
      </c>
      <c r="K61" s="61">
        <f t="shared" si="8"/>
        <v>17250</v>
      </c>
      <c r="L61" s="61">
        <f t="shared" si="9"/>
        <v>1125</v>
      </c>
      <c r="M61" s="61">
        <f t="shared" si="10"/>
        <v>0</v>
      </c>
      <c r="N61" s="61">
        <f t="shared" si="11"/>
        <v>0</v>
      </c>
      <c r="O61" s="61">
        <v>0</v>
      </c>
      <c r="P61" s="61">
        <v>0</v>
      </c>
      <c r="Q61" s="61">
        <v>0</v>
      </c>
      <c r="R61" s="61">
        <v>0</v>
      </c>
      <c r="S61" s="61">
        <v>0</v>
      </c>
      <c r="T61" s="61">
        <v>0</v>
      </c>
      <c r="U61" s="61">
        <v>0</v>
      </c>
      <c r="V61" s="61">
        <v>0</v>
      </c>
      <c r="W61" s="61">
        <v>0</v>
      </c>
      <c r="X61" s="61">
        <v>0</v>
      </c>
      <c r="Y61" s="61">
        <v>-25</v>
      </c>
      <c r="Z61" s="61">
        <f t="shared" si="12"/>
        <v>18350</v>
      </c>
      <c r="AA61" s="61">
        <v>0</v>
      </c>
      <c r="AB61" s="61">
        <f t="shared" si="13"/>
        <v>18350</v>
      </c>
    </row>
    <row r="62" spans="1:29" x14ac:dyDescent="0.35">
      <c r="A62" s="59" t="s">
        <v>388</v>
      </c>
      <c r="B62" s="59" t="s">
        <v>389</v>
      </c>
      <c r="C62" s="59" t="s">
        <v>25</v>
      </c>
      <c r="D62" s="60">
        <v>0.25</v>
      </c>
      <c r="E62" s="61">
        <v>0</v>
      </c>
      <c r="F62" s="61">
        <v>23000</v>
      </c>
      <c r="G62" s="61">
        <v>1500</v>
      </c>
      <c r="H62" s="61">
        <v>0</v>
      </c>
      <c r="I62" s="61">
        <v>0</v>
      </c>
      <c r="J62" s="61">
        <f t="shared" si="7"/>
        <v>0</v>
      </c>
      <c r="K62" s="61">
        <f t="shared" si="8"/>
        <v>17250</v>
      </c>
      <c r="L62" s="61">
        <f t="shared" si="9"/>
        <v>1125</v>
      </c>
      <c r="M62" s="61">
        <f t="shared" si="10"/>
        <v>0</v>
      </c>
      <c r="N62" s="61">
        <f t="shared" si="11"/>
        <v>0</v>
      </c>
      <c r="O62" s="61">
        <v>0</v>
      </c>
      <c r="P62" s="61">
        <v>0</v>
      </c>
      <c r="Q62" s="61">
        <v>0</v>
      </c>
      <c r="R62" s="61">
        <v>0</v>
      </c>
      <c r="S62" s="61">
        <v>0</v>
      </c>
      <c r="T62" s="61">
        <v>5000</v>
      </c>
      <c r="U62" s="61">
        <v>0</v>
      </c>
      <c r="V62" s="61">
        <v>0</v>
      </c>
      <c r="W62" s="61">
        <v>0</v>
      </c>
      <c r="X62" s="61">
        <v>0</v>
      </c>
      <c r="Y62" s="61">
        <v>38325</v>
      </c>
      <c r="Z62" s="61">
        <f t="shared" si="12"/>
        <v>61700</v>
      </c>
      <c r="AA62" s="61">
        <v>0</v>
      </c>
      <c r="AB62" s="61">
        <f t="shared" si="13"/>
        <v>61700</v>
      </c>
    </row>
    <row r="63" spans="1:29" x14ac:dyDescent="0.35">
      <c r="A63" s="59" t="s">
        <v>519</v>
      </c>
      <c r="B63" s="59" t="s">
        <v>538</v>
      </c>
      <c r="C63" s="59" t="s">
        <v>25</v>
      </c>
      <c r="D63" s="60">
        <v>0.25</v>
      </c>
      <c r="E63" s="61">
        <v>0</v>
      </c>
      <c r="F63" s="61">
        <v>23000</v>
      </c>
      <c r="G63" s="61">
        <v>1500</v>
      </c>
      <c r="H63" s="61">
        <v>0</v>
      </c>
      <c r="I63" s="61">
        <v>0</v>
      </c>
      <c r="J63" s="61">
        <f t="shared" si="7"/>
        <v>0</v>
      </c>
      <c r="K63" s="61">
        <f t="shared" si="8"/>
        <v>17250</v>
      </c>
      <c r="L63" s="61">
        <f t="shared" si="9"/>
        <v>1125</v>
      </c>
      <c r="M63" s="61">
        <f t="shared" si="10"/>
        <v>0</v>
      </c>
      <c r="N63" s="61">
        <f t="shared" si="11"/>
        <v>0</v>
      </c>
      <c r="O63" s="61">
        <v>0</v>
      </c>
      <c r="P63" s="61">
        <v>0</v>
      </c>
      <c r="Q63" s="61">
        <v>0</v>
      </c>
      <c r="R63" s="61">
        <v>0</v>
      </c>
      <c r="S63" s="61">
        <v>0</v>
      </c>
      <c r="T63" s="61">
        <v>5000</v>
      </c>
      <c r="U63" s="61">
        <v>0</v>
      </c>
      <c r="V63" s="61">
        <v>0</v>
      </c>
      <c r="W63" s="61">
        <v>0</v>
      </c>
      <c r="X63" s="61">
        <v>0</v>
      </c>
      <c r="Y63" s="61">
        <v>0</v>
      </c>
      <c r="Z63" s="61">
        <f t="shared" si="12"/>
        <v>23375</v>
      </c>
      <c r="AA63" s="61">
        <v>0</v>
      </c>
      <c r="AB63" s="61">
        <f t="shared" si="13"/>
        <v>23375</v>
      </c>
    </row>
    <row r="64" spans="1:29" x14ac:dyDescent="0.35">
      <c r="A64" s="59" t="s">
        <v>81</v>
      </c>
      <c r="B64" s="59" t="s">
        <v>82</v>
      </c>
      <c r="C64" s="59" t="s">
        <v>25</v>
      </c>
      <c r="D64" s="60">
        <v>0</v>
      </c>
      <c r="E64" s="61">
        <v>0</v>
      </c>
      <c r="F64" s="61">
        <v>23000</v>
      </c>
      <c r="G64" s="61">
        <v>1500</v>
      </c>
      <c r="H64" s="61">
        <v>0</v>
      </c>
      <c r="I64" s="61">
        <v>0</v>
      </c>
      <c r="J64" s="61">
        <f t="shared" si="7"/>
        <v>0</v>
      </c>
      <c r="K64" s="61">
        <f t="shared" si="8"/>
        <v>23000</v>
      </c>
      <c r="L64" s="61">
        <f t="shared" si="9"/>
        <v>1500</v>
      </c>
      <c r="M64" s="61">
        <f t="shared" si="10"/>
        <v>0</v>
      </c>
      <c r="N64" s="61">
        <f t="shared" si="11"/>
        <v>0</v>
      </c>
      <c r="O64" s="61">
        <v>0</v>
      </c>
      <c r="P64" s="61">
        <v>0</v>
      </c>
      <c r="Q64" s="61">
        <v>0</v>
      </c>
      <c r="R64" s="61">
        <v>0</v>
      </c>
      <c r="S64" s="61">
        <v>0</v>
      </c>
      <c r="T64" s="61">
        <v>5000</v>
      </c>
      <c r="U64" s="61">
        <v>0</v>
      </c>
      <c r="V64" s="61">
        <v>0</v>
      </c>
      <c r="W64" s="61">
        <v>0</v>
      </c>
      <c r="X64" s="61">
        <v>0</v>
      </c>
      <c r="Y64" s="61">
        <v>8755</v>
      </c>
      <c r="Z64" s="61">
        <f t="shared" si="12"/>
        <v>38255</v>
      </c>
      <c r="AA64" s="61">
        <v>0</v>
      </c>
      <c r="AB64" s="61">
        <f t="shared" si="13"/>
        <v>38255</v>
      </c>
    </row>
    <row r="65" spans="1:28" x14ac:dyDescent="0.35">
      <c r="A65" s="59" t="s">
        <v>72</v>
      </c>
      <c r="B65" s="59" t="s">
        <v>99</v>
      </c>
      <c r="C65" s="59" t="s">
        <v>25</v>
      </c>
      <c r="D65" s="60">
        <v>0</v>
      </c>
      <c r="E65" s="61">
        <v>0</v>
      </c>
      <c r="F65" s="61">
        <v>23000</v>
      </c>
      <c r="G65" s="61">
        <v>1500</v>
      </c>
      <c r="H65" s="61">
        <v>0</v>
      </c>
      <c r="I65" s="61">
        <v>0</v>
      </c>
      <c r="J65" s="61">
        <f t="shared" si="7"/>
        <v>0</v>
      </c>
      <c r="K65" s="61">
        <f t="shared" si="8"/>
        <v>23000</v>
      </c>
      <c r="L65" s="61">
        <f t="shared" si="9"/>
        <v>1500</v>
      </c>
      <c r="M65" s="61">
        <f t="shared" si="10"/>
        <v>0</v>
      </c>
      <c r="N65" s="61">
        <f t="shared" si="11"/>
        <v>0</v>
      </c>
      <c r="O65" s="61">
        <v>0</v>
      </c>
      <c r="P65" s="61">
        <v>0</v>
      </c>
      <c r="Q65" s="61">
        <v>0</v>
      </c>
      <c r="R65" s="61">
        <v>0</v>
      </c>
      <c r="S65" s="61">
        <v>0</v>
      </c>
      <c r="T65" s="61">
        <v>5000</v>
      </c>
      <c r="U65" s="61">
        <v>0</v>
      </c>
      <c r="V65" s="61">
        <v>0</v>
      </c>
      <c r="W65" s="61">
        <v>0</v>
      </c>
      <c r="X65" s="61">
        <v>0</v>
      </c>
      <c r="Y65" s="61">
        <v>0</v>
      </c>
      <c r="Z65" s="61">
        <f t="shared" si="12"/>
        <v>29500</v>
      </c>
      <c r="AA65" s="61">
        <v>0</v>
      </c>
      <c r="AB65" s="61">
        <f t="shared" si="13"/>
        <v>29500</v>
      </c>
    </row>
    <row r="66" spans="1:28" x14ac:dyDescent="0.35">
      <c r="A66" s="59" t="s">
        <v>539</v>
      </c>
      <c r="B66" s="59" t="s">
        <v>540</v>
      </c>
      <c r="C66" s="59" t="s">
        <v>25</v>
      </c>
      <c r="D66" s="60">
        <v>0</v>
      </c>
      <c r="E66" s="61">
        <v>0</v>
      </c>
      <c r="F66" s="61">
        <v>23000</v>
      </c>
      <c r="G66" s="61">
        <v>1500</v>
      </c>
      <c r="H66" s="61">
        <v>0</v>
      </c>
      <c r="I66" s="61">
        <v>0</v>
      </c>
      <c r="J66" s="61">
        <f t="shared" ref="J66:J97" si="14">(1-$D66)*E66</f>
        <v>0</v>
      </c>
      <c r="K66" s="61">
        <f t="shared" ref="K66:K97" si="15">(1-$D66)*F66</f>
        <v>23000</v>
      </c>
      <c r="L66" s="61">
        <f t="shared" ref="L66:L97" si="16">(1-$D66)*G66</f>
        <v>1500</v>
      </c>
      <c r="M66" s="61">
        <f t="shared" ref="M66:M97" si="17">(1-$D66)*H66</f>
        <v>0</v>
      </c>
      <c r="N66" s="61">
        <f t="shared" ref="N66:N97" si="18">(1-$D66)*I66</f>
        <v>0</v>
      </c>
      <c r="O66" s="61">
        <v>0</v>
      </c>
      <c r="P66" s="61">
        <v>0</v>
      </c>
      <c r="Q66" s="61">
        <v>0</v>
      </c>
      <c r="R66" s="61">
        <v>0</v>
      </c>
      <c r="S66" s="61">
        <v>0</v>
      </c>
      <c r="T66" s="61">
        <v>0</v>
      </c>
      <c r="U66" s="61">
        <v>0</v>
      </c>
      <c r="V66" s="61">
        <v>0</v>
      </c>
      <c r="W66" s="61">
        <v>0</v>
      </c>
      <c r="X66" s="61">
        <v>0</v>
      </c>
      <c r="Y66" s="61">
        <v>0</v>
      </c>
      <c r="Z66" s="61">
        <f t="shared" ref="Z66:Z97" si="19">SUM(J66:Y66)</f>
        <v>24500</v>
      </c>
      <c r="AA66" s="61">
        <v>0</v>
      </c>
      <c r="AB66" s="61">
        <f t="shared" ref="AB66:AB97" si="20">Z66-AA66</f>
        <v>24500</v>
      </c>
    </row>
    <row r="67" spans="1:28" x14ac:dyDescent="0.35">
      <c r="A67" s="59" t="s">
        <v>102</v>
      </c>
      <c r="B67" s="59" t="s">
        <v>104</v>
      </c>
      <c r="C67" s="59" t="s">
        <v>25</v>
      </c>
      <c r="D67" s="60">
        <v>0.25</v>
      </c>
      <c r="E67" s="61">
        <v>0</v>
      </c>
      <c r="F67" s="61">
        <v>23000</v>
      </c>
      <c r="G67" s="61">
        <v>1500</v>
      </c>
      <c r="H67" s="61">
        <v>0</v>
      </c>
      <c r="I67" s="61">
        <v>0</v>
      </c>
      <c r="J67" s="61">
        <f t="shared" si="14"/>
        <v>0</v>
      </c>
      <c r="K67" s="61">
        <f t="shared" si="15"/>
        <v>17250</v>
      </c>
      <c r="L67" s="61">
        <f t="shared" si="16"/>
        <v>1125</v>
      </c>
      <c r="M67" s="61">
        <f t="shared" si="17"/>
        <v>0</v>
      </c>
      <c r="N67" s="61">
        <f t="shared" si="18"/>
        <v>0</v>
      </c>
      <c r="O67" s="61">
        <v>0</v>
      </c>
      <c r="P67" s="61">
        <v>0</v>
      </c>
      <c r="Q67" s="61">
        <v>0</v>
      </c>
      <c r="R67" s="61">
        <v>0</v>
      </c>
      <c r="S67" s="61">
        <v>0</v>
      </c>
      <c r="T67" s="61">
        <v>0</v>
      </c>
      <c r="U67" s="61">
        <v>0</v>
      </c>
      <c r="V67" s="61">
        <v>0</v>
      </c>
      <c r="W67" s="61">
        <v>0</v>
      </c>
      <c r="X67" s="61">
        <v>0</v>
      </c>
      <c r="Y67" s="61">
        <v>27575</v>
      </c>
      <c r="Z67" s="61">
        <f t="shared" si="19"/>
        <v>45950</v>
      </c>
      <c r="AA67" s="61">
        <v>0</v>
      </c>
      <c r="AB67" s="61">
        <f t="shared" si="20"/>
        <v>45950</v>
      </c>
    </row>
    <row r="68" spans="1:28" x14ac:dyDescent="0.35">
      <c r="A68" s="59" t="s">
        <v>305</v>
      </c>
      <c r="B68" s="59" t="s">
        <v>306</v>
      </c>
      <c r="C68" s="59" t="s">
        <v>25</v>
      </c>
      <c r="D68" s="60">
        <v>0</v>
      </c>
      <c r="E68" s="61">
        <v>0</v>
      </c>
      <c r="F68" s="61">
        <v>23000</v>
      </c>
      <c r="G68" s="61">
        <v>1500</v>
      </c>
      <c r="H68" s="61">
        <v>0</v>
      </c>
      <c r="I68" s="61">
        <v>0</v>
      </c>
      <c r="J68" s="61">
        <f t="shared" si="14"/>
        <v>0</v>
      </c>
      <c r="K68" s="61">
        <f t="shared" si="15"/>
        <v>23000</v>
      </c>
      <c r="L68" s="61">
        <f t="shared" si="16"/>
        <v>1500</v>
      </c>
      <c r="M68" s="61">
        <f t="shared" si="17"/>
        <v>0</v>
      </c>
      <c r="N68" s="61">
        <f t="shared" si="18"/>
        <v>0</v>
      </c>
      <c r="O68" s="61">
        <v>0</v>
      </c>
      <c r="P68" s="61">
        <v>0</v>
      </c>
      <c r="Q68" s="61">
        <v>0</v>
      </c>
      <c r="R68" s="61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1">
        <v>0</v>
      </c>
      <c r="Y68" s="61">
        <v>11600</v>
      </c>
      <c r="Z68" s="61">
        <f t="shared" si="19"/>
        <v>36100</v>
      </c>
      <c r="AA68" s="61">
        <v>0</v>
      </c>
      <c r="AB68" s="61">
        <f t="shared" si="20"/>
        <v>36100</v>
      </c>
    </row>
    <row r="69" spans="1:28" x14ac:dyDescent="0.35">
      <c r="A69" s="59" t="s">
        <v>307</v>
      </c>
      <c r="B69" s="59" t="s">
        <v>308</v>
      </c>
      <c r="C69" s="59" t="s">
        <v>25</v>
      </c>
      <c r="D69" s="60">
        <v>0.25</v>
      </c>
      <c r="E69" s="61">
        <v>0</v>
      </c>
      <c r="F69" s="61">
        <v>23000</v>
      </c>
      <c r="G69" s="61">
        <v>1500</v>
      </c>
      <c r="H69" s="61">
        <v>0</v>
      </c>
      <c r="I69" s="61">
        <v>0</v>
      </c>
      <c r="J69" s="61">
        <f t="shared" si="14"/>
        <v>0</v>
      </c>
      <c r="K69" s="61">
        <f t="shared" si="15"/>
        <v>17250</v>
      </c>
      <c r="L69" s="61">
        <f t="shared" si="16"/>
        <v>1125</v>
      </c>
      <c r="M69" s="61">
        <f t="shared" si="17"/>
        <v>0</v>
      </c>
      <c r="N69" s="61">
        <f t="shared" si="18"/>
        <v>0</v>
      </c>
      <c r="O69" s="61">
        <v>0</v>
      </c>
      <c r="P69" s="61">
        <v>0</v>
      </c>
      <c r="Q69" s="61">
        <v>0</v>
      </c>
      <c r="R69" s="61">
        <v>0</v>
      </c>
      <c r="S69" s="61">
        <v>0</v>
      </c>
      <c r="T69" s="61">
        <v>5000</v>
      </c>
      <c r="U69" s="61">
        <v>0</v>
      </c>
      <c r="V69" s="61">
        <v>0</v>
      </c>
      <c r="W69" s="61">
        <v>0</v>
      </c>
      <c r="X69" s="61">
        <v>0</v>
      </c>
      <c r="Y69" s="61">
        <v>-625</v>
      </c>
      <c r="Z69" s="61">
        <f t="shared" si="19"/>
        <v>22750</v>
      </c>
      <c r="AA69" s="61">
        <v>0</v>
      </c>
      <c r="AB69" s="61">
        <f t="shared" si="20"/>
        <v>22750</v>
      </c>
    </row>
    <row r="70" spans="1:28" x14ac:dyDescent="0.35">
      <c r="A70" s="59" t="s">
        <v>26</v>
      </c>
      <c r="B70" s="59" t="s">
        <v>33</v>
      </c>
      <c r="C70" s="59" t="s">
        <v>52</v>
      </c>
      <c r="D70" s="60">
        <v>0.25</v>
      </c>
      <c r="E70" s="61">
        <v>0</v>
      </c>
      <c r="F70" s="61">
        <v>25000</v>
      </c>
      <c r="G70" s="61">
        <v>2000</v>
      </c>
      <c r="H70" s="61">
        <v>0</v>
      </c>
      <c r="I70" s="61">
        <v>4000</v>
      </c>
      <c r="J70" s="61">
        <f t="shared" si="14"/>
        <v>0</v>
      </c>
      <c r="K70" s="61">
        <f t="shared" si="15"/>
        <v>18750</v>
      </c>
      <c r="L70" s="61">
        <f t="shared" si="16"/>
        <v>1500</v>
      </c>
      <c r="M70" s="61">
        <f t="shared" si="17"/>
        <v>0</v>
      </c>
      <c r="N70" s="61">
        <f t="shared" si="18"/>
        <v>3000</v>
      </c>
      <c r="O70" s="61">
        <v>0</v>
      </c>
      <c r="P70" s="61">
        <v>0</v>
      </c>
      <c r="Q70" s="61">
        <v>0</v>
      </c>
      <c r="R70" s="61">
        <v>0</v>
      </c>
      <c r="S70" s="61">
        <v>0</v>
      </c>
      <c r="T70" s="61">
        <v>5000</v>
      </c>
      <c r="U70" s="61">
        <v>0</v>
      </c>
      <c r="V70" s="61">
        <v>0</v>
      </c>
      <c r="W70" s="61">
        <v>0</v>
      </c>
      <c r="X70" s="61">
        <v>0</v>
      </c>
      <c r="Y70" s="61">
        <v>12000</v>
      </c>
      <c r="Z70" s="61">
        <f t="shared" si="19"/>
        <v>40250</v>
      </c>
      <c r="AA70" s="61">
        <v>0</v>
      </c>
      <c r="AB70" s="61">
        <f t="shared" si="20"/>
        <v>40250</v>
      </c>
    </row>
    <row r="71" spans="1:28" x14ac:dyDescent="0.35">
      <c r="A71" s="59" t="s">
        <v>39</v>
      </c>
      <c r="B71" s="59" t="s">
        <v>41</v>
      </c>
      <c r="C71" s="59" t="s">
        <v>52</v>
      </c>
      <c r="D71" s="60">
        <v>0.5</v>
      </c>
      <c r="E71" s="61">
        <v>0</v>
      </c>
      <c r="F71" s="61">
        <v>25000</v>
      </c>
      <c r="G71" s="61">
        <v>2000</v>
      </c>
      <c r="H71" s="61">
        <v>0</v>
      </c>
      <c r="I71" s="61">
        <v>4000</v>
      </c>
      <c r="J71" s="61">
        <f t="shared" si="14"/>
        <v>0</v>
      </c>
      <c r="K71" s="61">
        <f t="shared" si="15"/>
        <v>12500</v>
      </c>
      <c r="L71" s="61">
        <f t="shared" si="16"/>
        <v>1000</v>
      </c>
      <c r="M71" s="61">
        <f t="shared" si="17"/>
        <v>0</v>
      </c>
      <c r="N71" s="61">
        <f t="shared" si="18"/>
        <v>2000</v>
      </c>
      <c r="O71" s="61">
        <v>0</v>
      </c>
      <c r="P71" s="61">
        <v>0</v>
      </c>
      <c r="Q71" s="61">
        <v>0</v>
      </c>
      <c r="R71" s="61">
        <v>0</v>
      </c>
      <c r="S71" s="61">
        <v>0</v>
      </c>
      <c r="T71" s="61">
        <v>0</v>
      </c>
      <c r="U71" s="61">
        <v>0</v>
      </c>
      <c r="V71" s="61">
        <v>0</v>
      </c>
      <c r="W71" s="61">
        <v>0</v>
      </c>
      <c r="X71" s="61">
        <v>0</v>
      </c>
      <c r="Y71" s="61">
        <v>6250</v>
      </c>
      <c r="Z71" s="61">
        <f t="shared" si="19"/>
        <v>21750</v>
      </c>
      <c r="AA71" s="61">
        <v>0</v>
      </c>
      <c r="AB71" s="61">
        <f t="shared" si="20"/>
        <v>21750</v>
      </c>
    </row>
    <row r="72" spans="1:28" x14ac:dyDescent="0.35">
      <c r="A72" s="59" t="s">
        <v>42</v>
      </c>
      <c r="B72" s="59" t="s">
        <v>43</v>
      </c>
      <c r="C72" s="59" t="s">
        <v>52</v>
      </c>
      <c r="D72" s="60">
        <v>0.25</v>
      </c>
      <c r="E72" s="61">
        <v>0</v>
      </c>
      <c r="F72" s="61">
        <v>25000</v>
      </c>
      <c r="G72" s="61">
        <v>2000</v>
      </c>
      <c r="H72" s="61">
        <v>0</v>
      </c>
      <c r="I72" s="61">
        <v>4000</v>
      </c>
      <c r="J72" s="61">
        <f t="shared" si="14"/>
        <v>0</v>
      </c>
      <c r="K72" s="61">
        <f t="shared" si="15"/>
        <v>18750</v>
      </c>
      <c r="L72" s="61">
        <f t="shared" si="16"/>
        <v>1500</v>
      </c>
      <c r="M72" s="61">
        <f t="shared" si="17"/>
        <v>0</v>
      </c>
      <c r="N72" s="61">
        <f t="shared" si="18"/>
        <v>3000</v>
      </c>
      <c r="O72" s="61">
        <v>0</v>
      </c>
      <c r="P72" s="61">
        <v>0</v>
      </c>
      <c r="Q72" s="61">
        <v>0</v>
      </c>
      <c r="R72" s="61">
        <v>0</v>
      </c>
      <c r="S72" s="61">
        <v>0</v>
      </c>
      <c r="T72" s="61">
        <v>0</v>
      </c>
      <c r="U72" s="61">
        <v>0</v>
      </c>
      <c r="V72" s="61">
        <v>0</v>
      </c>
      <c r="W72" s="61">
        <v>0</v>
      </c>
      <c r="X72" s="61">
        <v>0</v>
      </c>
      <c r="Y72" s="61">
        <v>0</v>
      </c>
      <c r="Z72" s="61">
        <f t="shared" si="19"/>
        <v>23250</v>
      </c>
      <c r="AA72" s="61">
        <v>0</v>
      </c>
      <c r="AB72" s="61">
        <f t="shared" si="20"/>
        <v>23250</v>
      </c>
    </row>
    <row r="73" spans="1:28" x14ac:dyDescent="0.35">
      <c r="A73" s="59" t="s">
        <v>514</v>
      </c>
      <c r="B73" s="59" t="s">
        <v>541</v>
      </c>
      <c r="C73" s="59" t="s">
        <v>52</v>
      </c>
      <c r="D73" s="60">
        <v>0.25</v>
      </c>
      <c r="E73" s="61">
        <v>0</v>
      </c>
      <c r="F73" s="61">
        <v>25000</v>
      </c>
      <c r="G73" s="61">
        <v>2000</v>
      </c>
      <c r="H73" s="61">
        <v>0</v>
      </c>
      <c r="I73" s="61">
        <v>4000</v>
      </c>
      <c r="J73" s="61">
        <f t="shared" si="14"/>
        <v>0</v>
      </c>
      <c r="K73" s="61">
        <f t="shared" si="15"/>
        <v>18750</v>
      </c>
      <c r="L73" s="61">
        <f t="shared" si="16"/>
        <v>1500</v>
      </c>
      <c r="M73" s="61">
        <f t="shared" si="17"/>
        <v>0</v>
      </c>
      <c r="N73" s="61">
        <f t="shared" si="18"/>
        <v>3000</v>
      </c>
      <c r="O73" s="61">
        <v>0</v>
      </c>
      <c r="P73" s="61">
        <v>0</v>
      </c>
      <c r="Q73" s="61">
        <v>0</v>
      </c>
      <c r="R73" s="61">
        <v>0</v>
      </c>
      <c r="S73" s="61">
        <v>0</v>
      </c>
      <c r="T73" s="61">
        <v>5000</v>
      </c>
      <c r="U73" s="61">
        <v>0</v>
      </c>
      <c r="V73" s="61">
        <v>0</v>
      </c>
      <c r="W73" s="61">
        <v>0</v>
      </c>
      <c r="X73" s="61">
        <v>0</v>
      </c>
      <c r="Y73" s="61">
        <v>4665</v>
      </c>
      <c r="Z73" s="61">
        <f t="shared" si="19"/>
        <v>32915</v>
      </c>
      <c r="AA73" s="61">
        <v>0</v>
      </c>
      <c r="AB73" s="61">
        <f t="shared" si="20"/>
        <v>32915</v>
      </c>
    </row>
    <row r="74" spans="1:28" x14ac:dyDescent="0.35">
      <c r="A74" s="59" t="s">
        <v>542</v>
      </c>
      <c r="B74" s="59" t="s">
        <v>543</v>
      </c>
      <c r="C74" s="59" t="s">
        <v>52</v>
      </c>
      <c r="D74" s="60">
        <v>0</v>
      </c>
      <c r="E74" s="61">
        <v>0</v>
      </c>
      <c r="F74" s="61">
        <v>25000</v>
      </c>
      <c r="G74" s="61">
        <v>2000</v>
      </c>
      <c r="H74" s="61">
        <v>0</v>
      </c>
      <c r="I74" s="61">
        <v>4000</v>
      </c>
      <c r="J74" s="61">
        <f t="shared" si="14"/>
        <v>0</v>
      </c>
      <c r="K74" s="61">
        <f t="shared" si="15"/>
        <v>25000</v>
      </c>
      <c r="L74" s="61">
        <f t="shared" si="16"/>
        <v>2000</v>
      </c>
      <c r="M74" s="61">
        <f t="shared" si="17"/>
        <v>0</v>
      </c>
      <c r="N74" s="61">
        <f t="shared" si="18"/>
        <v>4000</v>
      </c>
      <c r="O74" s="61">
        <v>0</v>
      </c>
      <c r="P74" s="61">
        <v>0</v>
      </c>
      <c r="Q74" s="61">
        <v>0</v>
      </c>
      <c r="R74" s="61">
        <v>0</v>
      </c>
      <c r="S74" s="61">
        <v>0</v>
      </c>
      <c r="T74" s="61">
        <v>5000</v>
      </c>
      <c r="U74" s="61">
        <v>0</v>
      </c>
      <c r="V74" s="61">
        <v>0</v>
      </c>
      <c r="W74" s="61">
        <v>0</v>
      </c>
      <c r="X74" s="61">
        <v>0</v>
      </c>
      <c r="Y74" s="61">
        <v>18800</v>
      </c>
      <c r="Z74" s="61">
        <f t="shared" si="19"/>
        <v>54800</v>
      </c>
      <c r="AA74" s="61">
        <v>0</v>
      </c>
      <c r="AB74" s="61">
        <f t="shared" si="20"/>
        <v>54800</v>
      </c>
    </row>
    <row r="75" spans="1:28" x14ac:dyDescent="0.35">
      <c r="A75" s="59" t="s">
        <v>93</v>
      </c>
      <c r="B75" s="59" t="s">
        <v>397</v>
      </c>
      <c r="C75" s="59" t="s">
        <v>52</v>
      </c>
      <c r="D75" s="60">
        <v>0.25</v>
      </c>
      <c r="E75" s="61">
        <v>0</v>
      </c>
      <c r="F75" s="61">
        <v>25000</v>
      </c>
      <c r="G75" s="61">
        <v>2000</v>
      </c>
      <c r="H75" s="61">
        <v>0</v>
      </c>
      <c r="I75" s="61">
        <v>4000</v>
      </c>
      <c r="J75" s="61">
        <f t="shared" si="14"/>
        <v>0</v>
      </c>
      <c r="K75" s="61">
        <f t="shared" si="15"/>
        <v>18750</v>
      </c>
      <c r="L75" s="61">
        <f t="shared" si="16"/>
        <v>1500</v>
      </c>
      <c r="M75" s="61">
        <f t="shared" si="17"/>
        <v>0</v>
      </c>
      <c r="N75" s="61">
        <f t="shared" si="18"/>
        <v>3000</v>
      </c>
      <c r="O75" s="61">
        <v>0</v>
      </c>
      <c r="P75" s="61">
        <v>0</v>
      </c>
      <c r="Q75" s="61">
        <v>0</v>
      </c>
      <c r="R75" s="61">
        <v>0</v>
      </c>
      <c r="S75" s="61">
        <v>0</v>
      </c>
      <c r="T75" s="61">
        <v>0</v>
      </c>
      <c r="U75" s="61">
        <v>0</v>
      </c>
      <c r="V75" s="61">
        <v>0</v>
      </c>
      <c r="W75" s="61">
        <v>0</v>
      </c>
      <c r="X75" s="61">
        <v>0</v>
      </c>
      <c r="Y75" s="61">
        <v>0</v>
      </c>
      <c r="Z75" s="61">
        <f t="shared" si="19"/>
        <v>23250</v>
      </c>
      <c r="AA75" s="61">
        <v>0</v>
      </c>
      <c r="AB75" s="61">
        <f t="shared" si="20"/>
        <v>23250</v>
      </c>
    </row>
    <row r="76" spans="1:28" x14ac:dyDescent="0.35">
      <c r="A76" s="59" t="s">
        <v>112</v>
      </c>
      <c r="B76" s="59" t="s">
        <v>114</v>
      </c>
      <c r="C76" s="59" t="s">
        <v>52</v>
      </c>
      <c r="D76" s="60">
        <v>0.25</v>
      </c>
      <c r="E76" s="61">
        <v>0</v>
      </c>
      <c r="F76" s="61">
        <v>25000</v>
      </c>
      <c r="G76" s="61">
        <v>2000</v>
      </c>
      <c r="H76" s="61">
        <v>0</v>
      </c>
      <c r="I76" s="61">
        <v>4000</v>
      </c>
      <c r="J76" s="61">
        <f t="shared" si="14"/>
        <v>0</v>
      </c>
      <c r="K76" s="61">
        <f t="shared" si="15"/>
        <v>18750</v>
      </c>
      <c r="L76" s="61">
        <f t="shared" si="16"/>
        <v>1500</v>
      </c>
      <c r="M76" s="61">
        <f t="shared" si="17"/>
        <v>0</v>
      </c>
      <c r="N76" s="61">
        <f t="shared" si="18"/>
        <v>3000</v>
      </c>
      <c r="O76" s="61">
        <v>0</v>
      </c>
      <c r="P76" s="61">
        <v>0</v>
      </c>
      <c r="Q76" s="61">
        <v>0</v>
      </c>
      <c r="R76" s="61">
        <v>0</v>
      </c>
      <c r="S76" s="61">
        <v>0</v>
      </c>
      <c r="T76" s="61">
        <v>0</v>
      </c>
      <c r="U76" s="61">
        <v>0</v>
      </c>
      <c r="V76" s="61">
        <v>0</v>
      </c>
      <c r="W76" s="61">
        <v>0</v>
      </c>
      <c r="X76" s="61">
        <v>0</v>
      </c>
      <c r="Y76" s="61">
        <v>5065</v>
      </c>
      <c r="Z76" s="61">
        <f t="shared" si="19"/>
        <v>28315</v>
      </c>
      <c r="AA76" s="61">
        <v>0</v>
      </c>
      <c r="AB76" s="61">
        <f t="shared" si="20"/>
        <v>28315</v>
      </c>
    </row>
    <row r="77" spans="1:28" x14ac:dyDescent="0.35">
      <c r="A77" s="59" t="s">
        <v>115</v>
      </c>
      <c r="B77" s="59" t="s">
        <v>116</v>
      </c>
      <c r="C77" s="59" t="s">
        <v>52</v>
      </c>
      <c r="D77" s="60">
        <v>0.25</v>
      </c>
      <c r="E77" s="61">
        <v>0</v>
      </c>
      <c r="F77" s="61">
        <v>25000</v>
      </c>
      <c r="G77" s="61">
        <v>2000</v>
      </c>
      <c r="H77" s="61">
        <v>0</v>
      </c>
      <c r="I77" s="61">
        <v>4000</v>
      </c>
      <c r="J77" s="61">
        <f t="shared" si="14"/>
        <v>0</v>
      </c>
      <c r="K77" s="61">
        <f t="shared" si="15"/>
        <v>18750</v>
      </c>
      <c r="L77" s="61">
        <f t="shared" si="16"/>
        <v>1500</v>
      </c>
      <c r="M77" s="61">
        <f t="shared" si="17"/>
        <v>0</v>
      </c>
      <c r="N77" s="61">
        <f t="shared" si="18"/>
        <v>3000</v>
      </c>
      <c r="O77" s="61">
        <v>0</v>
      </c>
      <c r="P77" s="61">
        <v>0</v>
      </c>
      <c r="Q77" s="61">
        <v>0</v>
      </c>
      <c r="R77" s="61">
        <v>0</v>
      </c>
      <c r="S77" s="61">
        <v>0</v>
      </c>
      <c r="T77" s="61">
        <v>5000</v>
      </c>
      <c r="U77" s="61">
        <v>0</v>
      </c>
      <c r="V77" s="61">
        <v>0</v>
      </c>
      <c r="W77" s="61">
        <v>0</v>
      </c>
      <c r="X77" s="61">
        <v>0</v>
      </c>
      <c r="Y77" s="61">
        <v>-4625</v>
      </c>
      <c r="Z77" s="61">
        <f t="shared" si="19"/>
        <v>23625</v>
      </c>
      <c r="AA77" s="61">
        <v>0</v>
      </c>
      <c r="AB77" s="61">
        <f t="shared" si="20"/>
        <v>23625</v>
      </c>
    </row>
    <row r="78" spans="1:28" x14ac:dyDescent="0.35">
      <c r="A78" s="59" t="s">
        <v>533</v>
      </c>
      <c r="B78" s="59" t="s">
        <v>544</v>
      </c>
      <c r="C78" s="59" t="s">
        <v>52</v>
      </c>
      <c r="D78" s="60">
        <v>0.25</v>
      </c>
      <c r="E78" s="61">
        <v>0</v>
      </c>
      <c r="F78" s="61">
        <v>25000</v>
      </c>
      <c r="G78" s="61">
        <v>2000</v>
      </c>
      <c r="H78" s="61">
        <v>0</v>
      </c>
      <c r="I78" s="61">
        <v>4000</v>
      </c>
      <c r="J78" s="61">
        <f t="shared" si="14"/>
        <v>0</v>
      </c>
      <c r="K78" s="61">
        <f t="shared" si="15"/>
        <v>18750</v>
      </c>
      <c r="L78" s="61">
        <f t="shared" si="16"/>
        <v>1500</v>
      </c>
      <c r="M78" s="61">
        <f t="shared" si="17"/>
        <v>0</v>
      </c>
      <c r="N78" s="61">
        <f t="shared" si="18"/>
        <v>3000</v>
      </c>
      <c r="O78" s="61">
        <v>0</v>
      </c>
      <c r="P78" s="61">
        <v>0</v>
      </c>
      <c r="Q78" s="61">
        <v>0</v>
      </c>
      <c r="R78" s="61">
        <v>0</v>
      </c>
      <c r="S78" s="61">
        <v>0</v>
      </c>
      <c r="T78" s="61">
        <v>5000</v>
      </c>
      <c r="U78" s="61">
        <v>0</v>
      </c>
      <c r="V78" s="61">
        <v>0</v>
      </c>
      <c r="W78" s="61">
        <v>0</v>
      </c>
      <c r="X78" s="61">
        <v>0</v>
      </c>
      <c r="Y78" s="61">
        <v>0</v>
      </c>
      <c r="Z78" s="61">
        <f t="shared" si="19"/>
        <v>28250</v>
      </c>
      <c r="AA78" s="61">
        <v>0</v>
      </c>
      <c r="AB78" s="61">
        <f t="shared" si="20"/>
        <v>28250</v>
      </c>
    </row>
    <row r="79" spans="1:28" x14ac:dyDescent="0.35">
      <c r="A79" s="59" t="s">
        <v>50</v>
      </c>
      <c r="B79" s="59" t="s">
        <v>545</v>
      </c>
      <c r="C79" s="59" t="s">
        <v>28</v>
      </c>
      <c r="D79" s="60">
        <v>0.25</v>
      </c>
      <c r="E79" s="61">
        <v>0</v>
      </c>
      <c r="F79" s="61">
        <v>25000</v>
      </c>
      <c r="G79" s="61">
        <v>2000</v>
      </c>
      <c r="H79" s="61">
        <v>0</v>
      </c>
      <c r="I79" s="61">
        <v>4000</v>
      </c>
      <c r="J79" s="61">
        <f t="shared" si="14"/>
        <v>0</v>
      </c>
      <c r="K79" s="61">
        <f t="shared" si="15"/>
        <v>18750</v>
      </c>
      <c r="L79" s="61">
        <f t="shared" si="16"/>
        <v>1500</v>
      </c>
      <c r="M79" s="61">
        <f t="shared" si="17"/>
        <v>0</v>
      </c>
      <c r="N79" s="61">
        <f t="shared" si="18"/>
        <v>3000</v>
      </c>
      <c r="O79" s="61">
        <v>0</v>
      </c>
      <c r="P79" s="61">
        <v>0</v>
      </c>
      <c r="Q79" s="61">
        <v>0</v>
      </c>
      <c r="R79" s="61">
        <v>0</v>
      </c>
      <c r="S79" s="61">
        <v>0</v>
      </c>
      <c r="T79" s="61">
        <v>5000</v>
      </c>
      <c r="U79" s="61">
        <v>0</v>
      </c>
      <c r="V79" s="61">
        <v>0</v>
      </c>
      <c r="W79" s="61">
        <v>0</v>
      </c>
      <c r="X79" s="61">
        <v>0</v>
      </c>
      <c r="Y79" s="61">
        <v>-10000</v>
      </c>
      <c r="Z79" s="61">
        <f t="shared" si="19"/>
        <v>18250</v>
      </c>
      <c r="AA79" s="61">
        <v>0</v>
      </c>
      <c r="AB79" s="61">
        <f t="shared" si="20"/>
        <v>18250</v>
      </c>
    </row>
    <row r="80" spans="1:28" x14ac:dyDescent="0.35">
      <c r="A80" s="59" t="s">
        <v>388</v>
      </c>
      <c r="B80" s="59" t="s">
        <v>390</v>
      </c>
      <c r="C80" s="59" t="s">
        <v>28</v>
      </c>
      <c r="D80" s="60">
        <v>0.25</v>
      </c>
      <c r="E80" s="61">
        <v>0</v>
      </c>
      <c r="F80" s="61">
        <v>25000</v>
      </c>
      <c r="G80" s="61">
        <v>2000</v>
      </c>
      <c r="H80" s="61">
        <v>0</v>
      </c>
      <c r="I80" s="61">
        <v>4000</v>
      </c>
      <c r="J80" s="61">
        <f t="shared" si="14"/>
        <v>0</v>
      </c>
      <c r="K80" s="61">
        <f t="shared" si="15"/>
        <v>18750</v>
      </c>
      <c r="L80" s="61">
        <f t="shared" si="16"/>
        <v>1500</v>
      </c>
      <c r="M80" s="61">
        <f t="shared" si="17"/>
        <v>0</v>
      </c>
      <c r="N80" s="61">
        <f t="shared" si="18"/>
        <v>3000</v>
      </c>
      <c r="O80" s="61">
        <v>0</v>
      </c>
      <c r="P80" s="61">
        <v>0</v>
      </c>
      <c r="Q80" s="61">
        <v>0</v>
      </c>
      <c r="R80" s="61">
        <v>0</v>
      </c>
      <c r="S80" s="61">
        <v>0</v>
      </c>
      <c r="T80" s="61">
        <v>5000</v>
      </c>
      <c r="U80" s="61">
        <v>0</v>
      </c>
      <c r="V80" s="61">
        <v>0</v>
      </c>
      <c r="W80" s="61">
        <v>0</v>
      </c>
      <c r="X80" s="61">
        <v>0</v>
      </c>
      <c r="Y80" s="61">
        <v>55750</v>
      </c>
      <c r="Z80" s="61">
        <f t="shared" si="19"/>
        <v>84000</v>
      </c>
      <c r="AA80" s="61">
        <v>0</v>
      </c>
      <c r="AB80" s="61">
        <f t="shared" si="20"/>
        <v>84000</v>
      </c>
    </row>
    <row r="81" spans="1:28" x14ac:dyDescent="0.35">
      <c r="A81" s="59" t="s">
        <v>69</v>
      </c>
      <c r="B81" s="59" t="s">
        <v>72</v>
      </c>
      <c r="C81" s="59" t="s">
        <v>28</v>
      </c>
      <c r="D81" s="60">
        <v>0.25</v>
      </c>
      <c r="E81" s="61">
        <v>0</v>
      </c>
      <c r="F81" s="61">
        <v>25000</v>
      </c>
      <c r="G81" s="61">
        <v>2000</v>
      </c>
      <c r="H81" s="61">
        <v>0</v>
      </c>
      <c r="I81" s="61">
        <v>4000</v>
      </c>
      <c r="J81" s="61">
        <f t="shared" si="14"/>
        <v>0</v>
      </c>
      <c r="K81" s="61">
        <f t="shared" si="15"/>
        <v>18750</v>
      </c>
      <c r="L81" s="61">
        <f t="shared" si="16"/>
        <v>1500</v>
      </c>
      <c r="M81" s="61">
        <f t="shared" si="17"/>
        <v>0</v>
      </c>
      <c r="N81" s="61">
        <f t="shared" si="18"/>
        <v>3000</v>
      </c>
      <c r="O81" s="61">
        <v>0</v>
      </c>
      <c r="P81" s="61">
        <v>0</v>
      </c>
      <c r="Q81" s="61">
        <v>0</v>
      </c>
      <c r="R81" s="61">
        <v>0</v>
      </c>
      <c r="S81" s="61">
        <v>0</v>
      </c>
      <c r="T81" s="61">
        <v>5000</v>
      </c>
      <c r="U81" s="61">
        <v>0</v>
      </c>
      <c r="V81" s="61">
        <v>0</v>
      </c>
      <c r="W81" s="61">
        <v>0</v>
      </c>
      <c r="X81" s="61">
        <v>0</v>
      </c>
      <c r="Y81" s="61">
        <v>0</v>
      </c>
      <c r="Z81" s="61">
        <f t="shared" si="19"/>
        <v>28250</v>
      </c>
      <c r="AA81" s="61">
        <v>0</v>
      </c>
      <c r="AB81" s="61">
        <f t="shared" si="20"/>
        <v>28250</v>
      </c>
    </row>
    <row r="82" spans="1:28" x14ac:dyDescent="0.35">
      <c r="A82" s="59" t="s">
        <v>510</v>
      </c>
      <c r="B82" s="59" t="s">
        <v>546</v>
      </c>
      <c r="C82" s="59" t="s">
        <v>28</v>
      </c>
      <c r="D82" s="60">
        <v>0.25</v>
      </c>
      <c r="E82" s="61">
        <v>0</v>
      </c>
      <c r="F82" s="61">
        <v>25000</v>
      </c>
      <c r="G82" s="61">
        <v>2000</v>
      </c>
      <c r="H82" s="61">
        <v>0</v>
      </c>
      <c r="I82" s="61">
        <v>4000</v>
      </c>
      <c r="J82" s="61">
        <f t="shared" si="14"/>
        <v>0</v>
      </c>
      <c r="K82" s="61">
        <f t="shared" si="15"/>
        <v>18750</v>
      </c>
      <c r="L82" s="61">
        <f t="shared" si="16"/>
        <v>1500</v>
      </c>
      <c r="M82" s="61">
        <f t="shared" si="17"/>
        <v>0</v>
      </c>
      <c r="N82" s="61">
        <f t="shared" si="18"/>
        <v>3000</v>
      </c>
      <c r="O82" s="61">
        <v>0</v>
      </c>
      <c r="P82" s="61">
        <v>0</v>
      </c>
      <c r="Q82" s="61">
        <v>0</v>
      </c>
      <c r="R82" s="61">
        <v>0</v>
      </c>
      <c r="S82" s="61">
        <v>0</v>
      </c>
      <c r="T82" s="61">
        <v>0</v>
      </c>
      <c r="U82" s="61">
        <v>0</v>
      </c>
      <c r="V82" s="61">
        <v>0</v>
      </c>
      <c r="W82" s="61">
        <v>0</v>
      </c>
      <c r="X82" s="61">
        <v>0</v>
      </c>
      <c r="Y82" s="61">
        <v>0</v>
      </c>
      <c r="Z82" s="61">
        <f t="shared" si="19"/>
        <v>23250</v>
      </c>
      <c r="AA82" s="61">
        <v>0</v>
      </c>
      <c r="AB82" s="61">
        <f t="shared" si="20"/>
        <v>23250</v>
      </c>
    </row>
    <row r="83" spans="1:28" x14ac:dyDescent="0.35">
      <c r="A83" s="59" t="s">
        <v>547</v>
      </c>
      <c r="B83" s="59" t="s">
        <v>548</v>
      </c>
      <c r="C83" s="59" t="s">
        <v>28</v>
      </c>
      <c r="D83" s="60">
        <v>0.25</v>
      </c>
      <c r="E83" s="61">
        <v>0</v>
      </c>
      <c r="F83" s="61">
        <v>25000</v>
      </c>
      <c r="G83" s="61">
        <v>2000</v>
      </c>
      <c r="H83" s="61">
        <v>0</v>
      </c>
      <c r="I83" s="61">
        <v>4000</v>
      </c>
      <c r="J83" s="61">
        <f t="shared" si="14"/>
        <v>0</v>
      </c>
      <c r="K83" s="61">
        <f t="shared" si="15"/>
        <v>18750</v>
      </c>
      <c r="L83" s="61">
        <f t="shared" si="16"/>
        <v>1500</v>
      </c>
      <c r="M83" s="61">
        <f t="shared" si="17"/>
        <v>0</v>
      </c>
      <c r="N83" s="61">
        <f t="shared" si="18"/>
        <v>3000</v>
      </c>
      <c r="O83" s="61">
        <v>0</v>
      </c>
      <c r="P83" s="61">
        <v>0</v>
      </c>
      <c r="Q83" s="61">
        <v>0</v>
      </c>
      <c r="R83" s="61">
        <v>0</v>
      </c>
      <c r="S83" s="61">
        <v>0</v>
      </c>
      <c r="T83" s="61">
        <v>5000</v>
      </c>
      <c r="U83" s="61">
        <v>0</v>
      </c>
      <c r="V83" s="61">
        <v>0</v>
      </c>
      <c r="W83" s="61">
        <v>0</v>
      </c>
      <c r="X83" s="61">
        <v>0</v>
      </c>
      <c r="Y83" s="61">
        <v>-2125</v>
      </c>
      <c r="Z83" s="61">
        <f t="shared" si="19"/>
        <v>26125</v>
      </c>
      <c r="AA83" s="61">
        <v>0</v>
      </c>
      <c r="AB83" s="61">
        <f t="shared" si="20"/>
        <v>26125</v>
      </c>
    </row>
    <row r="84" spans="1:28" x14ac:dyDescent="0.35">
      <c r="A84" s="59" t="s">
        <v>119</v>
      </c>
      <c r="B84" s="59" t="s">
        <v>121</v>
      </c>
      <c r="C84" s="59" t="s">
        <v>28</v>
      </c>
      <c r="D84" s="60">
        <v>0.25</v>
      </c>
      <c r="E84" s="61">
        <v>0</v>
      </c>
      <c r="F84" s="61">
        <v>25000</v>
      </c>
      <c r="G84" s="61">
        <v>2000</v>
      </c>
      <c r="H84" s="61">
        <v>0</v>
      </c>
      <c r="I84" s="61">
        <v>4000</v>
      </c>
      <c r="J84" s="61">
        <f t="shared" si="14"/>
        <v>0</v>
      </c>
      <c r="K84" s="61">
        <f t="shared" si="15"/>
        <v>18750</v>
      </c>
      <c r="L84" s="61">
        <f t="shared" si="16"/>
        <v>1500</v>
      </c>
      <c r="M84" s="61">
        <f t="shared" si="17"/>
        <v>0</v>
      </c>
      <c r="N84" s="61">
        <f t="shared" si="18"/>
        <v>3000</v>
      </c>
      <c r="O84" s="61">
        <v>0</v>
      </c>
      <c r="P84" s="61">
        <v>0</v>
      </c>
      <c r="Q84" s="61">
        <v>0</v>
      </c>
      <c r="R84" s="61">
        <v>0</v>
      </c>
      <c r="S84" s="61">
        <v>0</v>
      </c>
      <c r="T84" s="61">
        <v>5000</v>
      </c>
      <c r="U84" s="61">
        <v>0</v>
      </c>
      <c r="V84" s="61">
        <v>0</v>
      </c>
      <c r="W84" s="61">
        <v>0</v>
      </c>
      <c r="X84" s="61">
        <v>0</v>
      </c>
      <c r="Y84" s="61">
        <v>-5025</v>
      </c>
      <c r="Z84" s="61">
        <f t="shared" si="19"/>
        <v>23225</v>
      </c>
      <c r="AA84" s="61">
        <v>0</v>
      </c>
      <c r="AB84" s="61">
        <f t="shared" si="20"/>
        <v>23225</v>
      </c>
    </row>
    <row r="85" spans="1:28" x14ac:dyDescent="0.35">
      <c r="A85" s="59" t="s">
        <v>122</v>
      </c>
      <c r="B85" s="59" t="s">
        <v>549</v>
      </c>
      <c r="C85" s="59" t="s">
        <v>28</v>
      </c>
      <c r="D85" s="60">
        <v>1</v>
      </c>
      <c r="E85" s="61">
        <v>0</v>
      </c>
      <c r="F85" s="61">
        <v>25000</v>
      </c>
      <c r="G85" s="61">
        <v>2000</v>
      </c>
      <c r="H85" s="61">
        <v>0</v>
      </c>
      <c r="I85" s="61">
        <v>4000</v>
      </c>
      <c r="J85" s="61">
        <f t="shared" si="14"/>
        <v>0</v>
      </c>
      <c r="K85" s="61">
        <f t="shared" si="15"/>
        <v>0</v>
      </c>
      <c r="L85" s="61">
        <f t="shared" si="16"/>
        <v>0</v>
      </c>
      <c r="M85" s="61">
        <f t="shared" si="17"/>
        <v>0</v>
      </c>
      <c r="N85" s="61">
        <f t="shared" si="18"/>
        <v>0</v>
      </c>
      <c r="O85" s="61">
        <v>0</v>
      </c>
      <c r="P85" s="61">
        <v>0</v>
      </c>
      <c r="Q85" s="61">
        <v>0</v>
      </c>
      <c r="R85" s="61">
        <v>0</v>
      </c>
      <c r="S85" s="61">
        <v>0</v>
      </c>
      <c r="T85" s="61">
        <v>5000</v>
      </c>
      <c r="U85" s="61">
        <v>0</v>
      </c>
      <c r="V85" s="61">
        <v>0</v>
      </c>
      <c r="W85" s="61">
        <v>0</v>
      </c>
      <c r="X85" s="61">
        <v>0</v>
      </c>
      <c r="Y85" s="61">
        <v>8200</v>
      </c>
      <c r="Z85" s="61">
        <f t="shared" si="19"/>
        <v>13200</v>
      </c>
      <c r="AA85" s="61">
        <v>0</v>
      </c>
      <c r="AB85" s="61">
        <f t="shared" si="20"/>
        <v>13200</v>
      </c>
    </row>
    <row r="86" spans="1:28" x14ac:dyDescent="0.35">
      <c r="A86" s="59" t="s">
        <v>45</v>
      </c>
      <c r="B86" s="59" t="s">
        <v>47</v>
      </c>
      <c r="C86" s="59" t="s">
        <v>66</v>
      </c>
      <c r="D86" s="60">
        <v>0.25</v>
      </c>
      <c r="E86" s="61">
        <v>0</v>
      </c>
      <c r="F86" s="61">
        <v>25000</v>
      </c>
      <c r="G86" s="61">
        <v>2000</v>
      </c>
      <c r="H86" s="61">
        <v>0</v>
      </c>
      <c r="I86" s="61">
        <v>4000</v>
      </c>
      <c r="J86" s="61">
        <f t="shared" si="14"/>
        <v>0</v>
      </c>
      <c r="K86" s="61">
        <f t="shared" si="15"/>
        <v>18750</v>
      </c>
      <c r="L86" s="61">
        <f t="shared" si="16"/>
        <v>1500</v>
      </c>
      <c r="M86" s="61">
        <f t="shared" si="17"/>
        <v>0</v>
      </c>
      <c r="N86" s="61">
        <f t="shared" si="18"/>
        <v>3000</v>
      </c>
      <c r="O86" s="61">
        <v>0</v>
      </c>
      <c r="P86" s="61">
        <v>0</v>
      </c>
      <c r="Q86" s="61">
        <v>0</v>
      </c>
      <c r="R86" s="61">
        <v>0</v>
      </c>
      <c r="S86" s="61">
        <v>0</v>
      </c>
      <c r="T86" s="61">
        <v>0</v>
      </c>
      <c r="U86" s="61">
        <v>0</v>
      </c>
      <c r="V86" s="61">
        <v>0</v>
      </c>
      <c r="W86" s="61">
        <v>0</v>
      </c>
      <c r="X86" s="61">
        <v>0</v>
      </c>
      <c r="Y86" s="61">
        <v>-1900</v>
      </c>
      <c r="Z86" s="61">
        <f t="shared" si="19"/>
        <v>21350</v>
      </c>
      <c r="AA86" s="61">
        <v>0</v>
      </c>
      <c r="AB86" s="61">
        <f t="shared" si="20"/>
        <v>21350</v>
      </c>
    </row>
    <row r="87" spans="1:28" x14ac:dyDescent="0.35">
      <c r="A87" s="59" t="s">
        <v>48</v>
      </c>
      <c r="B87" s="59" t="s">
        <v>49</v>
      </c>
      <c r="C87" s="59" t="s">
        <v>66</v>
      </c>
      <c r="D87" s="60">
        <v>0</v>
      </c>
      <c r="E87" s="61">
        <v>0</v>
      </c>
      <c r="F87" s="61">
        <v>25000</v>
      </c>
      <c r="G87" s="61">
        <v>2000</v>
      </c>
      <c r="H87" s="61">
        <v>0</v>
      </c>
      <c r="I87" s="61">
        <v>4000</v>
      </c>
      <c r="J87" s="61">
        <f t="shared" si="14"/>
        <v>0</v>
      </c>
      <c r="K87" s="61">
        <f t="shared" si="15"/>
        <v>25000</v>
      </c>
      <c r="L87" s="61">
        <f t="shared" si="16"/>
        <v>2000</v>
      </c>
      <c r="M87" s="61">
        <f t="shared" si="17"/>
        <v>0</v>
      </c>
      <c r="N87" s="61">
        <f t="shared" si="18"/>
        <v>4000</v>
      </c>
      <c r="O87" s="61">
        <v>0</v>
      </c>
      <c r="P87" s="61">
        <v>0</v>
      </c>
      <c r="Q87" s="61">
        <v>0</v>
      </c>
      <c r="R87" s="61">
        <v>0</v>
      </c>
      <c r="S87" s="61">
        <v>0</v>
      </c>
      <c r="T87" s="61">
        <v>5000</v>
      </c>
      <c r="U87" s="61">
        <v>0</v>
      </c>
      <c r="V87" s="61">
        <v>0</v>
      </c>
      <c r="W87" s="61">
        <v>0</v>
      </c>
      <c r="X87" s="61">
        <v>0</v>
      </c>
      <c r="Y87" s="61">
        <v>3900</v>
      </c>
      <c r="Z87" s="61">
        <f t="shared" si="19"/>
        <v>39900</v>
      </c>
      <c r="AA87" s="61">
        <v>0</v>
      </c>
      <c r="AB87" s="61">
        <f t="shared" si="20"/>
        <v>39900</v>
      </c>
    </row>
    <row r="88" spans="1:28" x14ac:dyDescent="0.35">
      <c r="A88" s="59" t="s">
        <v>69</v>
      </c>
      <c r="B88" s="59" t="s">
        <v>70</v>
      </c>
      <c r="C88" s="59" t="s">
        <v>66</v>
      </c>
      <c r="D88" s="60">
        <v>0.25</v>
      </c>
      <c r="E88" s="61">
        <v>0</v>
      </c>
      <c r="F88" s="61">
        <v>25000</v>
      </c>
      <c r="G88" s="61">
        <v>2000</v>
      </c>
      <c r="H88" s="61">
        <v>0</v>
      </c>
      <c r="I88" s="61">
        <v>4000</v>
      </c>
      <c r="J88" s="61">
        <f t="shared" si="14"/>
        <v>0</v>
      </c>
      <c r="K88" s="61">
        <f t="shared" si="15"/>
        <v>18750</v>
      </c>
      <c r="L88" s="61">
        <f t="shared" si="16"/>
        <v>1500</v>
      </c>
      <c r="M88" s="61">
        <f t="shared" si="17"/>
        <v>0</v>
      </c>
      <c r="N88" s="61">
        <f t="shared" si="18"/>
        <v>3000</v>
      </c>
      <c r="O88" s="61">
        <v>0</v>
      </c>
      <c r="P88" s="61">
        <v>0</v>
      </c>
      <c r="Q88" s="61">
        <v>0</v>
      </c>
      <c r="R88" s="61">
        <v>0</v>
      </c>
      <c r="S88" s="61">
        <v>0</v>
      </c>
      <c r="T88" s="61">
        <v>5000</v>
      </c>
      <c r="U88" s="61">
        <v>0</v>
      </c>
      <c r="V88" s="61">
        <v>0</v>
      </c>
      <c r="W88" s="61">
        <v>0</v>
      </c>
      <c r="X88" s="61">
        <v>0</v>
      </c>
      <c r="Y88" s="61">
        <v>-1335</v>
      </c>
      <c r="Z88" s="61">
        <f t="shared" si="19"/>
        <v>26915</v>
      </c>
      <c r="AA88" s="61">
        <v>0</v>
      </c>
      <c r="AB88" s="61">
        <f t="shared" si="20"/>
        <v>26915</v>
      </c>
    </row>
    <row r="89" spans="1:28" x14ac:dyDescent="0.35">
      <c r="A89" s="59" t="s">
        <v>72</v>
      </c>
      <c r="B89" s="59" t="s">
        <v>85</v>
      </c>
      <c r="C89" s="59" t="s">
        <v>66</v>
      </c>
      <c r="D89" s="60">
        <v>0</v>
      </c>
      <c r="E89" s="61">
        <v>0</v>
      </c>
      <c r="F89" s="61">
        <v>25000</v>
      </c>
      <c r="G89" s="61">
        <v>2000</v>
      </c>
      <c r="H89" s="61">
        <v>0</v>
      </c>
      <c r="I89" s="61">
        <v>4000</v>
      </c>
      <c r="J89" s="61">
        <f t="shared" si="14"/>
        <v>0</v>
      </c>
      <c r="K89" s="61">
        <f t="shared" si="15"/>
        <v>25000</v>
      </c>
      <c r="L89" s="61">
        <f t="shared" si="16"/>
        <v>2000</v>
      </c>
      <c r="M89" s="61">
        <f t="shared" si="17"/>
        <v>0</v>
      </c>
      <c r="N89" s="61">
        <f t="shared" si="18"/>
        <v>4000</v>
      </c>
      <c r="O89" s="61">
        <v>0</v>
      </c>
      <c r="P89" s="61">
        <v>0</v>
      </c>
      <c r="Q89" s="61">
        <v>0</v>
      </c>
      <c r="R89" s="61">
        <v>0</v>
      </c>
      <c r="S89" s="61">
        <v>0</v>
      </c>
      <c r="T89" s="61">
        <v>0</v>
      </c>
      <c r="U89" s="61">
        <v>0</v>
      </c>
      <c r="V89" s="61">
        <v>0</v>
      </c>
      <c r="W89" s="61">
        <v>0</v>
      </c>
      <c r="X89" s="61">
        <v>0</v>
      </c>
      <c r="Y89" s="61">
        <v>0</v>
      </c>
      <c r="Z89" s="61">
        <f t="shared" si="19"/>
        <v>31000</v>
      </c>
      <c r="AA89" s="61">
        <v>0</v>
      </c>
      <c r="AB89" s="61">
        <f t="shared" si="20"/>
        <v>31000</v>
      </c>
    </row>
    <row r="90" spans="1:28" x14ac:dyDescent="0.35">
      <c r="A90" s="59" t="s">
        <v>91</v>
      </c>
      <c r="B90" s="59" t="s">
        <v>92</v>
      </c>
      <c r="C90" s="59" t="s">
        <v>66</v>
      </c>
      <c r="D90" s="60">
        <v>0.25</v>
      </c>
      <c r="E90" s="61">
        <v>0</v>
      </c>
      <c r="F90" s="61">
        <v>25000</v>
      </c>
      <c r="G90" s="61">
        <v>2000</v>
      </c>
      <c r="H90" s="61">
        <v>0</v>
      </c>
      <c r="I90" s="61">
        <v>4000</v>
      </c>
      <c r="J90" s="61">
        <f t="shared" si="14"/>
        <v>0</v>
      </c>
      <c r="K90" s="61">
        <f t="shared" si="15"/>
        <v>18750</v>
      </c>
      <c r="L90" s="61">
        <f t="shared" si="16"/>
        <v>1500</v>
      </c>
      <c r="M90" s="61">
        <f t="shared" si="17"/>
        <v>0</v>
      </c>
      <c r="N90" s="61">
        <f t="shared" si="18"/>
        <v>3000</v>
      </c>
      <c r="O90" s="61">
        <v>0</v>
      </c>
      <c r="P90" s="61">
        <v>0</v>
      </c>
      <c r="Q90" s="61">
        <v>0</v>
      </c>
      <c r="R90" s="61">
        <v>0</v>
      </c>
      <c r="S90" s="61">
        <v>0</v>
      </c>
      <c r="T90" s="61">
        <v>5000</v>
      </c>
      <c r="U90" s="61">
        <v>0</v>
      </c>
      <c r="V90" s="61">
        <v>0</v>
      </c>
      <c r="W90" s="61">
        <v>0</v>
      </c>
      <c r="X90" s="61">
        <v>0</v>
      </c>
      <c r="Y90" s="61">
        <v>15660</v>
      </c>
      <c r="Z90" s="61">
        <f t="shared" si="19"/>
        <v>43910</v>
      </c>
      <c r="AA90" s="61">
        <v>0</v>
      </c>
      <c r="AB90" s="61">
        <f t="shared" si="20"/>
        <v>43910</v>
      </c>
    </row>
    <row r="91" spans="1:28" x14ac:dyDescent="0.35">
      <c r="A91" s="59" t="s">
        <v>112</v>
      </c>
      <c r="B91" s="59" t="s">
        <v>113</v>
      </c>
      <c r="C91" s="59" t="s">
        <v>66</v>
      </c>
      <c r="D91" s="60">
        <v>0.25</v>
      </c>
      <c r="E91" s="61">
        <v>0</v>
      </c>
      <c r="F91" s="61">
        <v>25000</v>
      </c>
      <c r="G91" s="61">
        <v>2000</v>
      </c>
      <c r="H91" s="61">
        <v>0</v>
      </c>
      <c r="I91" s="61">
        <v>4000</v>
      </c>
      <c r="J91" s="61">
        <f t="shared" si="14"/>
        <v>0</v>
      </c>
      <c r="K91" s="61">
        <f t="shared" si="15"/>
        <v>18750</v>
      </c>
      <c r="L91" s="61">
        <f t="shared" si="16"/>
        <v>1500</v>
      </c>
      <c r="M91" s="61">
        <f t="shared" si="17"/>
        <v>0</v>
      </c>
      <c r="N91" s="61">
        <f t="shared" si="18"/>
        <v>3000</v>
      </c>
      <c r="O91" s="61">
        <v>0</v>
      </c>
      <c r="P91" s="61">
        <v>0</v>
      </c>
      <c r="Q91" s="61">
        <v>0</v>
      </c>
      <c r="R91" s="61">
        <v>0</v>
      </c>
      <c r="S91" s="61">
        <v>0</v>
      </c>
      <c r="T91" s="61">
        <v>0</v>
      </c>
      <c r="U91" s="61">
        <v>0</v>
      </c>
      <c r="V91" s="61">
        <v>0</v>
      </c>
      <c r="W91" s="61">
        <v>0</v>
      </c>
      <c r="X91" s="61">
        <v>0</v>
      </c>
      <c r="Y91" s="61">
        <v>6500</v>
      </c>
      <c r="Z91" s="61">
        <f t="shared" si="19"/>
        <v>29750</v>
      </c>
      <c r="AA91" s="61">
        <v>0</v>
      </c>
      <c r="AB91" s="61">
        <f t="shared" si="20"/>
        <v>29750</v>
      </c>
    </row>
    <row r="92" spans="1:28" x14ac:dyDescent="0.35">
      <c r="A92" s="59" t="s">
        <v>134</v>
      </c>
      <c r="B92" s="59" t="s">
        <v>97</v>
      </c>
      <c r="C92" s="59" t="s">
        <v>66</v>
      </c>
      <c r="D92" s="60">
        <v>0.25</v>
      </c>
      <c r="E92" s="61">
        <v>0</v>
      </c>
      <c r="F92" s="61">
        <v>25000</v>
      </c>
      <c r="G92" s="61">
        <v>2000</v>
      </c>
      <c r="H92" s="61">
        <v>0</v>
      </c>
      <c r="I92" s="61">
        <v>4000</v>
      </c>
      <c r="J92" s="61">
        <f t="shared" si="14"/>
        <v>0</v>
      </c>
      <c r="K92" s="61">
        <f t="shared" si="15"/>
        <v>18750</v>
      </c>
      <c r="L92" s="61">
        <f t="shared" si="16"/>
        <v>1500</v>
      </c>
      <c r="M92" s="61">
        <f t="shared" si="17"/>
        <v>0</v>
      </c>
      <c r="N92" s="61">
        <f t="shared" si="18"/>
        <v>3000</v>
      </c>
      <c r="O92" s="61">
        <v>0</v>
      </c>
      <c r="P92" s="61">
        <v>0</v>
      </c>
      <c r="Q92" s="61">
        <v>0</v>
      </c>
      <c r="R92" s="61">
        <v>0</v>
      </c>
      <c r="S92" s="61">
        <v>0</v>
      </c>
      <c r="T92" s="61">
        <v>5000</v>
      </c>
      <c r="U92" s="61">
        <v>0</v>
      </c>
      <c r="V92" s="61">
        <v>0</v>
      </c>
      <c r="W92" s="61">
        <v>0</v>
      </c>
      <c r="X92" s="61">
        <v>0</v>
      </c>
      <c r="Y92" s="61">
        <v>4700</v>
      </c>
      <c r="Z92" s="61">
        <f t="shared" si="19"/>
        <v>32950</v>
      </c>
      <c r="AA92" s="61">
        <v>0</v>
      </c>
      <c r="AB92" s="61">
        <f t="shared" si="20"/>
        <v>32950</v>
      </c>
    </row>
    <row r="93" spans="1:28" x14ac:dyDescent="0.35">
      <c r="A93" s="59" t="s">
        <v>64</v>
      </c>
      <c r="B93" s="59" t="s">
        <v>65</v>
      </c>
      <c r="C93" s="59" t="s">
        <v>32</v>
      </c>
      <c r="D93" s="60">
        <v>0.25</v>
      </c>
      <c r="E93" s="61">
        <v>0</v>
      </c>
      <c r="F93" s="61">
        <v>25000</v>
      </c>
      <c r="G93" s="61">
        <v>2000</v>
      </c>
      <c r="H93" s="61">
        <v>0</v>
      </c>
      <c r="I93" s="61">
        <v>4000</v>
      </c>
      <c r="J93" s="61">
        <f t="shared" si="14"/>
        <v>0</v>
      </c>
      <c r="K93" s="61">
        <f t="shared" si="15"/>
        <v>18750</v>
      </c>
      <c r="L93" s="61">
        <f t="shared" si="16"/>
        <v>1500</v>
      </c>
      <c r="M93" s="61">
        <f t="shared" si="17"/>
        <v>0</v>
      </c>
      <c r="N93" s="61">
        <f t="shared" si="18"/>
        <v>3000</v>
      </c>
      <c r="O93" s="61">
        <v>0</v>
      </c>
      <c r="P93" s="61">
        <v>0</v>
      </c>
      <c r="Q93" s="61">
        <v>0</v>
      </c>
      <c r="R93" s="61">
        <v>0</v>
      </c>
      <c r="S93" s="61">
        <v>0</v>
      </c>
      <c r="T93" s="61">
        <v>5000</v>
      </c>
      <c r="U93" s="61">
        <v>0</v>
      </c>
      <c r="V93" s="61">
        <v>0</v>
      </c>
      <c r="W93" s="61">
        <v>0</v>
      </c>
      <c r="X93" s="61">
        <v>0</v>
      </c>
      <c r="Y93" s="61">
        <v>0</v>
      </c>
      <c r="Z93" s="61">
        <f t="shared" si="19"/>
        <v>28250</v>
      </c>
      <c r="AA93" s="61">
        <v>0</v>
      </c>
      <c r="AB93" s="61">
        <f t="shared" si="20"/>
        <v>28250</v>
      </c>
    </row>
    <row r="94" spans="1:28" x14ac:dyDescent="0.35">
      <c r="A94" s="59" t="s">
        <v>119</v>
      </c>
      <c r="B94" s="59" t="s">
        <v>120</v>
      </c>
      <c r="C94" s="59" t="s">
        <v>32</v>
      </c>
      <c r="D94" s="60">
        <v>0.25</v>
      </c>
      <c r="E94" s="61">
        <v>0</v>
      </c>
      <c r="F94" s="61">
        <v>25000</v>
      </c>
      <c r="G94" s="61">
        <v>2000</v>
      </c>
      <c r="H94" s="61">
        <v>0</v>
      </c>
      <c r="I94" s="61">
        <v>4000</v>
      </c>
      <c r="J94" s="61">
        <f t="shared" si="14"/>
        <v>0</v>
      </c>
      <c r="K94" s="61">
        <f t="shared" si="15"/>
        <v>18750</v>
      </c>
      <c r="L94" s="61">
        <f t="shared" si="16"/>
        <v>1500</v>
      </c>
      <c r="M94" s="61">
        <f t="shared" si="17"/>
        <v>0</v>
      </c>
      <c r="N94" s="61">
        <f t="shared" si="18"/>
        <v>3000</v>
      </c>
      <c r="O94" s="61">
        <v>0</v>
      </c>
      <c r="P94" s="61">
        <v>0</v>
      </c>
      <c r="Q94" s="61">
        <v>0</v>
      </c>
      <c r="R94" s="61">
        <v>0</v>
      </c>
      <c r="S94" s="61">
        <v>0</v>
      </c>
      <c r="T94" s="61">
        <v>5000</v>
      </c>
      <c r="U94" s="61">
        <v>0</v>
      </c>
      <c r="V94" s="61">
        <v>0</v>
      </c>
      <c r="W94" s="61">
        <v>0</v>
      </c>
      <c r="X94" s="61">
        <v>0</v>
      </c>
      <c r="Y94" s="61">
        <v>0</v>
      </c>
      <c r="Z94" s="61">
        <f t="shared" si="19"/>
        <v>28250</v>
      </c>
      <c r="AA94" s="61">
        <v>0</v>
      </c>
      <c r="AB94" s="61">
        <f t="shared" si="20"/>
        <v>28250</v>
      </c>
    </row>
    <row r="95" spans="1:28" x14ac:dyDescent="0.35">
      <c r="A95" s="59" t="s">
        <v>58</v>
      </c>
      <c r="B95" s="59" t="s">
        <v>61</v>
      </c>
      <c r="C95" s="59" t="s">
        <v>127</v>
      </c>
      <c r="D95" s="60">
        <v>0.25</v>
      </c>
      <c r="E95" s="61">
        <v>0</v>
      </c>
      <c r="F95" s="61">
        <v>25000</v>
      </c>
      <c r="G95" s="61">
        <v>2000</v>
      </c>
      <c r="H95" s="61">
        <v>0</v>
      </c>
      <c r="I95" s="61">
        <v>4000</v>
      </c>
      <c r="J95" s="61">
        <f t="shared" si="14"/>
        <v>0</v>
      </c>
      <c r="K95" s="61">
        <f t="shared" si="15"/>
        <v>18750</v>
      </c>
      <c r="L95" s="61">
        <f t="shared" si="16"/>
        <v>1500</v>
      </c>
      <c r="M95" s="61">
        <f t="shared" si="17"/>
        <v>0</v>
      </c>
      <c r="N95" s="61">
        <f t="shared" si="18"/>
        <v>3000</v>
      </c>
      <c r="O95" s="61">
        <v>0</v>
      </c>
      <c r="P95" s="61">
        <v>0</v>
      </c>
      <c r="Q95" s="61">
        <v>0</v>
      </c>
      <c r="R95" s="61">
        <v>0</v>
      </c>
      <c r="S95" s="61">
        <v>0</v>
      </c>
      <c r="T95" s="61">
        <v>0</v>
      </c>
      <c r="U95" s="61">
        <v>0</v>
      </c>
      <c r="V95" s="61">
        <v>0</v>
      </c>
      <c r="W95" s="61">
        <v>0</v>
      </c>
      <c r="X95" s="61">
        <v>0</v>
      </c>
      <c r="Y95" s="61">
        <v>0</v>
      </c>
      <c r="Z95" s="61">
        <f t="shared" si="19"/>
        <v>23250</v>
      </c>
      <c r="AA95" s="61">
        <v>0</v>
      </c>
      <c r="AB95" s="61">
        <f t="shared" si="20"/>
        <v>23250</v>
      </c>
    </row>
    <row r="96" spans="1:28" x14ac:dyDescent="0.35">
      <c r="A96" s="59" t="s">
        <v>93</v>
      </c>
      <c r="B96" s="59" t="s">
        <v>398</v>
      </c>
      <c r="C96" s="59" t="s">
        <v>127</v>
      </c>
      <c r="D96" s="60">
        <v>0.25</v>
      </c>
      <c r="E96" s="61">
        <v>0</v>
      </c>
      <c r="F96" s="61">
        <v>25000</v>
      </c>
      <c r="G96" s="61">
        <v>2000</v>
      </c>
      <c r="H96" s="61">
        <v>0</v>
      </c>
      <c r="I96" s="61">
        <v>4000</v>
      </c>
      <c r="J96" s="61">
        <f t="shared" si="14"/>
        <v>0</v>
      </c>
      <c r="K96" s="61">
        <f t="shared" si="15"/>
        <v>18750</v>
      </c>
      <c r="L96" s="61">
        <f t="shared" si="16"/>
        <v>1500</v>
      </c>
      <c r="M96" s="61">
        <f t="shared" si="17"/>
        <v>0</v>
      </c>
      <c r="N96" s="61">
        <f t="shared" si="18"/>
        <v>3000</v>
      </c>
      <c r="O96" s="61">
        <v>0</v>
      </c>
      <c r="P96" s="61">
        <v>0</v>
      </c>
      <c r="Q96" s="61">
        <v>0</v>
      </c>
      <c r="R96" s="61">
        <v>0</v>
      </c>
      <c r="S96" s="61">
        <v>0</v>
      </c>
      <c r="T96" s="61">
        <v>0</v>
      </c>
      <c r="U96" s="61">
        <v>0</v>
      </c>
      <c r="V96" s="61">
        <v>0</v>
      </c>
      <c r="W96" s="61">
        <v>0</v>
      </c>
      <c r="X96" s="61">
        <v>0</v>
      </c>
      <c r="Y96" s="61">
        <v>8805</v>
      </c>
      <c r="Z96" s="61">
        <f t="shared" si="19"/>
        <v>32055</v>
      </c>
      <c r="AA96" s="61">
        <v>0</v>
      </c>
      <c r="AB96" s="61">
        <f t="shared" si="20"/>
        <v>32055</v>
      </c>
    </row>
    <row r="97" spans="1:28" x14ac:dyDescent="0.35">
      <c r="A97" s="59" t="s">
        <v>105</v>
      </c>
      <c r="B97" s="59" t="s">
        <v>400</v>
      </c>
      <c r="C97" s="59" t="s">
        <v>80</v>
      </c>
      <c r="D97" s="60">
        <v>0.25</v>
      </c>
      <c r="E97" s="61">
        <v>0</v>
      </c>
      <c r="F97" s="61">
        <v>37000</v>
      </c>
      <c r="G97" s="61">
        <v>2500</v>
      </c>
      <c r="H97" s="61">
        <v>1500</v>
      </c>
      <c r="I97" s="61">
        <v>7000</v>
      </c>
      <c r="J97" s="61">
        <f t="shared" si="14"/>
        <v>0</v>
      </c>
      <c r="K97" s="61">
        <f t="shared" si="15"/>
        <v>27750</v>
      </c>
      <c r="L97" s="61">
        <f t="shared" si="16"/>
        <v>1875</v>
      </c>
      <c r="M97" s="61">
        <f t="shared" si="17"/>
        <v>1125</v>
      </c>
      <c r="N97" s="61">
        <f t="shared" si="18"/>
        <v>5250</v>
      </c>
      <c r="O97" s="61">
        <v>0</v>
      </c>
      <c r="P97" s="61">
        <v>0</v>
      </c>
      <c r="Q97" s="61">
        <v>0</v>
      </c>
      <c r="R97" s="61">
        <v>0</v>
      </c>
      <c r="S97" s="61">
        <v>0</v>
      </c>
      <c r="T97" s="61">
        <v>6000</v>
      </c>
      <c r="U97" s="61">
        <v>0</v>
      </c>
      <c r="V97" s="61">
        <v>0</v>
      </c>
      <c r="W97" s="61">
        <v>0</v>
      </c>
      <c r="X97" s="61">
        <v>0</v>
      </c>
      <c r="Y97" s="61">
        <v>2450</v>
      </c>
      <c r="Z97" s="61">
        <f t="shared" si="19"/>
        <v>44450</v>
      </c>
      <c r="AA97" s="61">
        <v>0</v>
      </c>
      <c r="AB97" s="61">
        <f t="shared" si="20"/>
        <v>44450</v>
      </c>
    </row>
    <row r="98" spans="1:28" x14ac:dyDescent="0.35">
      <c r="A98" s="59" t="s">
        <v>78</v>
      </c>
      <c r="B98" s="59" t="s">
        <v>393</v>
      </c>
      <c r="C98" s="59" t="s">
        <v>57</v>
      </c>
      <c r="D98" s="60">
        <v>0</v>
      </c>
      <c r="E98" s="61">
        <v>0</v>
      </c>
      <c r="F98" s="61">
        <v>37000</v>
      </c>
      <c r="G98" s="61">
        <v>2500</v>
      </c>
      <c r="H98" s="61">
        <v>1500</v>
      </c>
      <c r="I98" s="61">
        <v>7000</v>
      </c>
      <c r="J98" s="61">
        <f t="shared" ref="J98:J104" si="21">(1-$D98)*E98</f>
        <v>0</v>
      </c>
      <c r="K98" s="61">
        <f t="shared" ref="K98:K104" si="22">(1-$D98)*F98</f>
        <v>37000</v>
      </c>
      <c r="L98" s="61">
        <f t="shared" ref="L98:L104" si="23">(1-$D98)*G98</f>
        <v>2500</v>
      </c>
      <c r="M98" s="61">
        <f t="shared" ref="M98:M104" si="24">(1-$D98)*H98</f>
        <v>1500</v>
      </c>
      <c r="N98" s="61">
        <f t="shared" ref="N98:N104" si="25">(1-$D98)*I98</f>
        <v>7000</v>
      </c>
      <c r="O98" s="61">
        <v>0</v>
      </c>
      <c r="P98" s="61">
        <v>0</v>
      </c>
      <c r="Q98" s="61">
        <v>0</v>
      </c>
      <c r="R98" s="61">
        <v>0</v>
      </c>
      <c r="S98" s="61">
        <v>0</v>
      </c>
      <c r="T98" s="61">
        <v>6000</v>
      </c>
      <c r="U98" s="61">
        <v>0</v>
      </c>
      <c r="V98" s="61">
        <v>0</v>
      </c>
      <c r="W98" s="61">
        <v>0</v>
      </c>
      <c r="X98" s="61">
        <v>0</v>
      </c>
      <c r="Y98" s="61">
        <v>37150</v>
      </c>
      <c r="Z98" s="61">
        <f t="shared" ref="Z98:Z129" si="26">SUM(J98:Y98)</f>
        <v>91150</v>
      </c>
      <c r="AA98" s="61">
        <v>0</v>
      </c>
      <c r="AB98" s="61">
        <f t="shared" ref="AB98:AB129" si="27">Z98-AA98</f>
        <v>91150</v>
      </c>
    </row>
    <row r="99" spans="1:28" x14ac:dyDescent="0.35">
      <c r="A99" s="59" t="s">
        <v>59</v>
      </c>
      <c r="B99" s="59" t="s">
        <v>395</v>
      </c>
      <c r="C99" s="59" t="s">
        <v>57</v>
      </c>
      <c r="D99" s="60">
        <v>0</v>
      </c>
      <c r="E99" s="61">
        <v>0</v>
      </c>
      <c r="F99" s="61">
        <v>37000</v>
      </c>
      <c r="G99" s="61">
        <v>2500</v>
      </c>
      <c r="H99" s="61">
        <v>1500</v>
      </c>
      <c r="I99" s="61">
        <v>7000</v>
      </c>
      <c r="J99" s="61">
        <f t="shared" si="21"/>
        <v>0</v>
      </c>
      <c r="K99" s="61">
        <f t="shared" si="22"/>
        <v>37000</v>
      </c>
      <c r="L99" s="61">
        <f t="shared" si="23"/>
        <v>2500</v>
      </c>
      <c r="M99" s="61">
        <f t="shared" si="24"/>
        <v>1500</v>
      </c>
      <c r="N99" s="61">
        <f t="shared" si="25"/>
        <v>7000</v>
      </c>
      <c r="O99" s="61">
        <v>0</v>
      </c>
      <c r="P99" s="61">
        <v>0</v>
      </c>
      <c r="Q99" s="61">
        <v>0</v>
      </c>
      <c r="R99" s="61">
        <v>0</v>
      </c>
      <c r="S99" s="61">
        <v>0</v>
      </c>
      <c r="T99" s="61">
        <v>6000</v>
      </c>
      <c r="U99" s="61">
        <v>0</v>
      </c>
      <c r="V99" s="61">
        <v>0</v>
      </c>
      <c r="W99" s="61">
        <v>0</v>
      </c>
      <c r="X99" s="61">
        <v>0</v>
      </c>
      <c r="Y99" s="61">
        <v>0</v>
      </c>
      <c r="Z99" s="61">
        <f t="shared" si="26"/>
        <v>54000</v>
      </c>
      <c r="AA99" s="61">
        <v>0</v>
      </c>
      <c r="AB99" s="61">
        <f t="shared" si="27"/>
        <v>54000</v>
      </c>
    </row>
    <row r="100" spans="1:28" x14ac:dyDescent="0.35">
      <c r="A100" s="59" t="s">
        <v>105</v>
      </c>
      <c r="B100" s="59" t="s">
        <v>401</v>
      </c>
      <c r="C100" s="59" t="s">
        <v>57</v>
      </c>
      <c r="D100" s="60">
        <v>0.25</v>
      </c>
      <c r="E100" s="61">
        <v>0</v>
      </c>
      <c r="F100" s="61">
        <v>37000</v>
      </c>
      <c r="G100" s="61">
        <v>2500</v>
      </c>
      <c r="H100" s="61">
        <v>1500</v>
      </c>
      <c r="I100" s="61">
        <v>7000</v>
      </c>
      <c r="J100" s="61">
        <f t="shared" si="21"/>
        <v>0</v>
      </c>
      <c r="K100" s="61">
        <f t="shared" si="22"/>
        <v>27750</v>
      </c>
      <c r="L100" s="61">
        <f t="shared" si="23"/>
        <v>1875</v>
      </c>
      <c r="M100" s="61">
        <f t="shared" si="24"/>
        <v>1125</v>
      </c>
      <c r="N100" s="61">
        <f t="shared" si="25"/>
        <v>5250</v>
      </c>
      <c r="O100" s="61">
        <v>0</v>
      </c>
      <c r="P100" s="61">
        <v>0</v>
      </c>
      <c r="Q100" s="61">
        <v>0</v>
      </c>
      <c r="R100" s="61">
        <v>0</v>
      </c>
      <c r="S100" s="61">
        <v>0</v>
      </c>
      <c r="T100" s="61">
        <v>6000</v>
      </c>
      <c r="U100" s="61">
        <v>0</v>
      </c>
      <c r="V100" s="61">
        <v>0</v>
      </c>
      <c r="W100" s="61">
        <v>0</v>
      </c>
      <c r="X100" s="61">
        <v>0</v>
      </c>
      <c r="Y100" s="61">
        <v>11950</v>
      </c>
      <c r="Z100" s="61">
        <f t="shared" si="26"/>
        <v>53950</v>
      </c>
      <c r="AA100" s="61">
        <v>0</v>
      </c>
      <c r="AB100" s="61">
        <f t="shared" si="27"/>
        <v>53950</v>
      </c>
    </row>
    <row r="101" spans="1:28" x14ac:dyDescent="0.35">
      <c r="A101" s="59" t="s">
        <v>122</v>
      </c>
      <c r="B101" s="59" t="s">
        <v>405</v>
      </c>
      <c r="C101" s="59" t="s">
        <v>57</v>
      </c>
      <c r="D101" s="60">
        <v>1</v>
      </c>
      <c r="E101" s="61">
        <v>0</v>
      </c>
      <c r="F101" s="61">
        <v>37000</v>
      </c>
      <c r="G101" s="61">
        <v>2500</v>
      </c>
      <c r="H101" s="61">
        <v>1500</v>
      </c>
      <c r="I101" s="61">
        <v>7000</v>
      </c>
      <c r="J101" s="61">
        <f t="shared" si="21"/>
        <v>0</v>
      </c>
      <c r="K101" s="61">
        <f t="shared" si="22"/>
        <v>0</v>
      </c>
      <c r="L101" s="61">
        <f t="shared" si="23"/>
        <v>0</v>
      </c>
      <c r="M101" s="61">
        <f t="shared" si="24"/>
        <v>0</v>
      </c>
      <c r="N101" s="61">
        <f t="shared" si="25"/>
        <v>0</v>
      </c>
      <c r="O101" s="61">
        <v>0</v>
      </c>
      <c r="P101" s="61">
        <v>0</v>
      </c>
      <c r="Q101" s="61">
        <v>0</v>
      </c>
      <c r="R101" s="61">
        <v>0</v>
      </c>
      <c r="S101" s="61">
        <v>0</v>
      </c>
      <c r="T101" s="61">
        <v>6000</v>
      </c>
      <c r="U101" s="61">
        <v>0</v>
      </c>
      <c r="V101" s="61">
        <v>0</v>
      </c>
      <c r="W101" s="61">
        <v>0</v>
      </c>
      <c r="X101" s="61">
        <v>0</v>
      </c>
      <c r="Y101" s="61">
        <v>0</v>
      </c>
      <c r="Z101" s="61">
        <f t="shared" si="26"/>
        <v>6000</v>
      </c>
      <c r="AA101" s="61">
        <v>0</v>
      </c>
      <c r="AB101" s="61">
        <f t="shared" si="27"/>
        <v>6000</v>
      </c>
    </row>
    <row r="102" spans="1:28" x14ac:dyDescent="0.35">
      <c r="A102" s="59" t="s">
        <v>550</v>
      </c>
      <c r="B102" s="59" t="s">
        <v>551</v>
      </c>
      <c r="C102" s="59" t="s">
        <v>57</v>
      </c>
      <c r="D102" s="60">
        <v>0</v>
      </c>
      <c r="E102" s="61">
        <v>0</v>
      </c>
      <c r="F102" s="61">
        <v>37000</v>
      </c>
      <c r="G102" s="61">
        <v>2500</v>
      </c>
      <c r="H102" s="61">
        <v>1500</v>
      </c>
      <c r="I102" s="61">
        <v>7000</v>
      </c>
      <c r="J102" s="61">
        <f t="shared" si="21"/>
        <v>0</v>
      </c>
      <c r="K102" s="61">
        <f t="shared" si="22"/>
        <v>37000</v>
      </c>
      <c r="L102" s="61">
        <f t="shared" si="23"/>
        <v>2500</v>
      </c>
      <c r="M102" s="61">
        <f t="shared" si="24"/>
        <v>1500</v>
      </c>
      <c r="N102" s="61">
        <f t="shared" si="25"/>
        <v>7000</v>
      </c>
      <c r="O102" s="61">
        <v>0</v>
      </c>
      <c r="P102" s="61">
        <v>0</v>
      </c>
      <c r="Q102" s="61">
        <v>0</v>
      </c>
      <c r="R102" s="61">
        <v>0</v>
      </c>
      <c r="S102" s="61">
        <v>0</v>
      </c>
      <c r="T102" s="61">
        <v>6000</v>
      </c>
      <c r="U102" s="61">
        <v>0</v>
      </c>
      <c r="V102" s="61">
        <v>0</v>
      </c>
      <c r="W102" s="61">
        <v>0</v>
      </c>
      <c r="X102" s="61">
        <v>0</v>
      </c>
      <c r="Y102" s="61">
        <v>0</v>
      </c>
      <c r="Z102" s="61">
        <f t="shared" si="26"/>
        <v>54000</v>
      </c>
      <c r="AA102" s="61">
        <v>0</v>
      </c>
      <c r="AB102" s="61">
        <f t="shared" si="27"/>
        <v>54000</v>
      </c>
    </row>
    <row r="103" spans="1:28" x14ac:dyDescent="0.35">
      <c r="A103" s="59" t="s">
        <v>67</v>
      </c>
      <c r="B103" s="59" t="s">
        <v>391</v>
      </c>
      <c r="C103" s="59" t="s">
        <v>132</v>
      </c>
      <c r="D103" s="60">
        <v>0</v>
      </c>
      <c r="E103" s="61">
        <v>0</v>
      </c>
      <c r="F103" s="61">
        <v>37000</v>
      </c>
      <c r="G103" s="61">
        <v>2500</v>
      </c>
      <c r="H103" s="61">
        <v>1500</v>
      </c>
      <c r="I103" s="61">
        <v>7000</v>
      </c>
      <c r="J103" s="61">
        <f t="shared" si="21"/>
        <v>0</v>
      </c>
      <c r="K103" s="61">
        <f t="shared" si="22"/>
        <v>37000</v>
      </c>
      <c r="L103" s="61">
        <f t="shared" si="23"/>
        <v>2500</v>
      </c>
      <c r="M103" s="61">
        <f t="shared" si="24"/>
        <v>1500</v>
      </c>
      <c r="N103" s="61">
        <f t="shared" si="25"/>
        <v>7000</v>
      </c>
      <c r="O103" s="61">
        <v>0</v>
      </c>
      <c r="P103" s="61">
        <v>0</v>
      </c>
      <c r="Q103" s="61">
        <v>0</v>
      </c>
      <c r="R103" s="61">
        <v>0</v>
      </c>
      <c r="S103" s="61">
        <v>0</v>
      </c>
      <c r="T103" s="61">
        <v>6000</v>
      </c>
      <c r="U103" s="61">
        <v>0</v>
      </c>
      <c r="V103" s="61">
        <v>0</v>
      </c>
      <c r="W103" s="61">
        <v>0</v>
      </c>
      <c r="X103" s="61">
        <v>0</v>
      </c>
      <c r="Y103" s="61">
        <v>800</v>
      </c>
      <c r="Z103" s="61">
        <f t="shared" si="26"/>
        <v>54800</v>
      </c>
      <c r="AA103" s="61">
        <v>0</v>
      </c>
      <c r="AB103" s="61">
        <f t="shared" si="27"/>
        <v>54800</v>
      </c>
    </row>
    <row r="104" spans="1:28" x14ac:dyDescent="0.35">
      <c r="A104" s="59" t="s">
        <v>110</v>
      </c>
      <c r="B104" s="59" t="s">
        <v>552</v>
      </c>
      <c r="C104" s="59" t="s">
        <v>132</v>
      </c>
      <c r="D104" s="60">
        <v>0</v>
      </c>
      <c r="E104" s="61">
        <v>0</v>
      </c>
      <c r="F104" s="61">
        <v>37000</v>
      </c>
      <c r="G104" s="61">
        <v>2500</v>
      </c>
      <c r="H104" s="61">
        <v>1500</v>
      </c>
      <c r="I104" s="61">
        <v>7000</v>
      </c>
      <c r="J104" s="61">
        <f t="shared" si="21"/>
        <v>0</v>
      </c>
      <c r="K104" s="61">
        <f t="shared" si="22"/>
        <v>37000</v>
      </c>
      <c r="L104" s="61">
        <f t="shared" si="23"/>
        <v>2500</v>
      </c>
      <c r="M104" s="61">
        <f t="shared" si="24"/>
        <v>1500</v>
      </c>
      <c r="N104" s="61">
        <f t="shared" si="25"/>
        <v>7000</v>
      </c>
      <c r="O104" s="61">
        <v>0</v>
      </c>
      <c r="P104" s="61">
        <v>0</v>
      </c>
      <c r="Q104" s="61">
        <v>0</v>
      </c>
      <c r="R104" s="61">
        <v>0</v>
      </c>
      <c r="S104" s="61">
        <v>0</v>
      </c>
      <c r="T104" s="61">
        <v>0</v>
      </c>
      <c r="U104" s="61">
        <v>0</v>
      </c>
      <c r="V104" s="61">
        <v>0</v>
      </c>
      <c r="W104" s="61">
        <v>0</v>
      </c>
      <c r="X104" s="61">
        <v>0</v>
      </c>
      <c r="Y104" s="61">
        <v>0</v>
      </c>
      <c r="Z104" s="61">
        <f t="shared" si="26"/>
        <v>48000</v>
      </c>
      <c r="AA104" s="61">
        <v>0</v>
      </c>
      <c r="AB104" s="61">
        <f t="shared" si="27"/>
        <v>48000</v>
      </c>
    </row>
    <row r="105" spans="1:28" x14ac:dyDescent="0.35">
      <c r="A105" s="44"/>
      <c r="B105" s="44"/>
      <c r="C105" s="44"/>
      <c r="D105" s="45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</row>
    <row r="106" spans="1:28" x14ac:dyDescent="0.35">
      <c r="A106" s="44"/>
      <c r="B106" s="44"/>
      <c r="C106" s="44"/>
      <c r="D106" s="45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</row>
    <row r="107" spans="1:28" x14ac:dyDescent="0.35">
      <c r="A107" s="44"/>
      <c r="B107" s="44"/>
      <c r="C107" s="44"/>
      <c r="D107" s="45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</row>
    <row r="108" spans="1:28" x14ac:dyDescent="0.35">
      <c r="A108" s="44"/>
      <c r="B108" s="44"/>
      <c r="C108" s="44"/>
      <c r="D108" s="45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</row>
    <row r="109" spans="1:28" x14ac:dyDescent="0.35">
      <c r="A109" s="44"/>
      <c r="B109" s="44"/>
      <c r="C109" s="44"/>
      <c r="D109" s="45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</row>
    <row r="110" spans="1:28" x14ac:dyDescent="0.35">
      <c r="A110" s="44"/>
      <c r="B110" s="44"/>
      <c r="C110" s="44"/>
      <c r="D110" s="45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</row>
    <row r="111" spans="1:28" x14ac:dyDescent="0.35">
      <c r="A111" s="44"/>
      <c r="B111" s="44"/>
      <c r="C111" s="44"/>
      <c r="D111" s="45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</row>
    <row r="112" spans="1:28" x14ac:dyDescent="0.35">
      <c r="A112" s="44"/>
      <c r="B112" s="44"/>
      <c r="C112" s="44"/>
      <c r="D112" s="45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</row>
    <row r="113" spans="1:28" x14ac:dyDescent="0.35">
      <c r="A113" s="44"/>
      <c r="B113" s="44"/>
      <c r="C113" s="44"/>
      <c r="D113" s="45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</row>
    <row r="114" spans="1:28" x14ac:dyDescent="0.35">
      <c r="A114" s="44"/>
      <c r="B114" s="44"/>
      <c r="C114" s="44"/>
      <c r="D114" s="45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</row>
    <row r="115" spans="1:28" x14ac:dyDescent="0.35">
      <c r="A115" s="44"/>
      <c r="B115" s="44"/>
      <c r="C115" s="44"/>
      <c r="D115" s="45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</row>
    <row r="116" spans="1:28" x14ac:dyDescent="0.35">
      <c r="A116" s="44"/>
      <c r="B116" s="44"/>
      <c r="C116" s="44"/>
      <c r="D116" s="45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</row>
    <row r="117" spans="1:28" x14ac:dyDescent="0.35">
      <c r="A117" s="44"/>
      <c r="B117" s="44"/>
      <c r="C117" s="44"/>
      <c r="D117" s="45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</row>
    <row r="118" spans="1:28" x14ac:dyDescent="0.35">
      <c r="A118" s="44"/>
      <c r="B118" s="44"/>
      <c r="C118" s="44"/>
      <c r="D118" s="45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</row>
    <row r="119" spans="1:28" x14ac:dyDescent="0.35">
      <c r="A119" s="44"/>
      <c r="B119" s="44"/>
      <c r="C119" s="44"/>
      <c r="D119" s="45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</row>
    <row r="120" spans="1:28" x14ac:dyDescent="0.35">
      <c r="A120" s="44"/>
      <c r="B120" s="44"/>
      <c r="C120" s="44"/>
      <c r="D120" s="45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</row>
    <row r="121" spans="1:28" x14ac:dyDescent="0.35">
      <c r="A121" s="44"/>
      <c r="B121" s="44"/>
      <c r="C121" s="44"/>
      <c r="D121" s="45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</row>
    <row r="122" spans="1:28" x14ac:dyDescent="0.35">
      <c r="A122" s="44"/>
      <c r="B122" s="44"/>
      <c r="C122" s="44"/>
      <c r="D122" s="45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</row>
    <row r="123" spans="1:28" x14ac:dyDescent="0.35">
      <c r="A123" s="44"/>
      <c r="B123" s="44"/>
      <c r="C123" s="44"/>
      <c r="D123" s="45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</row>
    <row r="124" spans="1:28" x14ac:dyDescent="0.35">
      <c r="A124" s="44"/>
      <c r="B124" s="44"/>
      <c r="C124" s="44"/>
      <c r="D124" s="45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</row>
    <row r="125" spans="1:28" x14ac:dyDescent="0.35">
      <c r="A125" s="44"/>
      <c r="B125" s="44"/>
      <c r="C125" s="44"/>
      <c r="D125" s="45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</row>
    <row r="126" spans="1:28" x14ac:dyDescent="0.35">
      <c r="A126" s="44"/>
      <c r="B126" s="44"/>
      <c r="C126" s="44"/>
      <c r="D126" s="45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</row>
    <row r="127" spans="1:28" x14ac:dyDescent="0.35">
      <c r="A127" s="44"/>
      <c r="B127" s="44"/>
      <c r="C127" s="44"/>
      <c r="D127" s="45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</row>
    <row r="128" spans="1:28" x14ac:dyDescent="0.35">
      <c r="A128" s="44"/>
      <c r="B128" s="44"/>
      <c r="C128" s="44"/>
      <c r="D128" s="45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</row>
    <row r="129" spans="1:28" x14ac:dyDescent="0.35">
      <c r="A129" s="44"/>
      <c r="B129" s="44"/>
      <c r="C129" s="44"/>
      <c r="D129" s="45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</row>
    <row r="130" spans="1:28" x14ac:dyDescent="0.35">
      <c r="A130" s="44"/>
      <c r="B130" s="44"/>
      <c r="C130" s="44"/>
      <c r="D130" s="45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</row>
    <row r="131" spans="1:28" x14ac:dyDescent="0.35">
      <c r="A131" s="44"/>
      <c r="B131" s="44"/>
      <c r="C131" s="44"/>
      <c r="D131" s="45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</row>
    <row r="132" spans="1:28" x14ac:dyDescent="0.35">
      <c r="A132" s="44"/>
      <c r="B132" s="44"/>
      <c r="C132" s="44"/>
      <c r="D132" s="45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</row>
    <row r="133" spans="1:28" x14ac:dyDescent="0.35">
      <c r="A133" s="44"/>
      <c r="B133" s="44"/>
      <c r="C133" s="44"/>
      <c r="D133" s="45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</row>
    <row r="134" spans="1:28" x14ac:dyDescent="0.35">
      <c r="A134" s="44"/>
      <c r="B134" s="44"/>
      <c r="C134" s="44"/>
      <c r="D134" s="45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</row>
    <row r="135" spans="1:28" x14ac:dyDescent="0.35">
      <c r="A135" s="44"/>
      <c r="B135" s="44"/>
      <c r="C135" s="44"/>
      <c r="D135" s="45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</row>
    <row r="136" spans="1:28" x14ac:dyDescent="0.35">
      <c r="A136" s="44"/>
      <c r="B136" s="44"/>
      <c r="C136" s="44"/>
      <c r="D136" s="45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</row>
    <row r="137" spans="1:28" x14ac:dyDescent="0.35">
      <c r="A137" s="44"/>
      <c r="B137" s="44"/>
      <c r="C137" s="44"/>
      <c r="D137" s="45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</row>
    <row r="138" spans="1:28" x14ac:dyDescent="0.35">
      <c r="A138" s="44"/>
      <c r="B138" s="44"/>
      <c r="C138" s="44"/>
      <c r="D138" s="45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</row>
    <row r="139" spans="1:28" x14ac:dyDescent="0.35">
      <c r="A139" s="44"/>
      <c r="B139" s="44"/>
      <c r="C139" s="44"/>
      <c r="D139" s="45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</row>
    <row r="140" spans="1:28" x14ac:dyDescent="0.35">
      <c r="A140" s="44"/>
      <c r="B140" s="44"/>
      <c r="C140" s="44"/>
      <c r="D140" s="45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</row>
    <row r="141" spans="1:28" x14ac:dyDescent="0.35">
      <c r="A141" s="44"/>
      <c r="B141" s="44"/>
      <c r="C141" s="44"/>
      <c r="D141" s="45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</row>
    <row r="142" spans="1:28" x14ac:dyDescent="0.35">
      <c r="A142" s="44"/>
      <c r="B142" s="44"/>
      <c r="C142" s="44"/>
      <c r="D142" s="45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</row>
    <row r="143" spans="1:28" x14ac:dyDescent="0.35">
      <c r="A143" s="44"/>
      <c r="B143" s="44"/>
      <c r="C143" s="44"/>
      <c r="D143" s="45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</row>
    <row r="144" spans="1:28" x14ac:dyDescent="0.35">
      <c r="A144" s="44"/>
      <c r="B144" s="44"/>
      <c r="C144" s="44"/>
      <c r="D144" s="45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</row>
    <row r="145" spans="1:28" x14ac:dyDescent="0.35">
      <c r="A145" s="44"/>
      <c r="B145" s="44"/>
      <c r="C145" s="44"/>
      <c r="D145" s="45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</row>
    <row r="146" spans="1:28" x14ac:dyDescent="0.35">
      <c r="A146" s="44"/>
      <c r="B146" s="44"/>
      <c r="C146" s="44"/>
      <c r="D146" s="45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</row>
    <row r="147" spans="1:28" x14ac:dyDescent="0.35">
      <c r="A147" s="44"/>
      <c r="B147" s="44"/>
      <c r="C147" s="44"/>
      <c r="D147" s="45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</row>
    <row r="148" spans="1:28" x14ac:dyDescent="0.35">
      <c r="A148" s="44"/>
      <c r="B148" s="44"/>
      <c r="C148" s="44"/>
      <c r="D148" s="45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</row>
    <row r="149" spans="1:28" x14ac:dyDescent="0.35">
      <c r="A149" s="44"/>
      <c r="B149" s="44"/>
      <c r="C149" s="44"/>
      <c r="D149" s="45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</row>
    <row r="150" spans="1:28" x14ac:dyDescent="0.35">
      <c r="A150" s="44"/>
      <c r="B150" s="44"/>
      <c r="C150" s="44"/>
      <c r="D150" s="45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</row>
    <row r="151" spans="1:28" x14ac:dyDescent="0.35">
      <c r="A151" s="44"/>
      <c r="B151" s="44"/>
      <c r="C151" s="44"/>
      <c r="D151" s="45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</row>
    <row r="152" spans="1:28" x14ac:dyDescent="0.35">
      <c r="A152" s="44"/>
      <c r="B152" s="44"/>
      <c r="C152" s="44"/>
      <c r="D152" s="45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</row>
    <row r="153" spans="1:28" x14ac:dyDescent="0.35">
      <c r="A153" s="44"/>
      <c r="B153" s="44"/>
      <c r="C153" s="44"/>
      <c r="D153" s="45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</row>
    <row r="154" spans="1:28" x14ac:dyDescent="0.35">
      <c r="A154" s="44"/>
      <c r="B154" s="44"/>
      <c r="C154" s="44"/>
      <c r="D154" s="45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</row>
    <row r="155" spans="1:28" x14ac:dyDescent="0.35">
      <c r="A155" s="44"/>
      <c r="B155" s="44"/>
      <c r="C155" s="44"/>
      <c r="D155" s="45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</row>
    <row r="156" spans="1:28" x14ac:dyDescent="0.35">
      <c r="A156" s="44"/>
      <c r="B156" s="44"/>
      <c r="C156" s="44"/>
      <c r="D156" s="45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</row>
    <row r="157" spans="1:28" x14ac:dyDescent="0.35">
      <c r="A157" s="44"/>
      <c r="B157" s="44"/>
      <c r="C157" s="44"/>
      <c r="D157" s="45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</row>
    <row r="158" spans="1:28" x14ac:dyDescent="0.35">
      <c r="A158" s="44"/>
      <c r="B158" s="44"/>
      <c r="C158" s="44"/>
      <c r="D158" s="45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</row>
    <row r="159" spans="1:28" x14ac:dyDescent="0.35">
      <c r="A159" s="44"/>
      <c r="B159" s="44"/>
      <c r="C159" s="44"/>
      <c r="D159" s="45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</row>
    <row r="160" spans="1:28" x14ac:dyDescent="0.35">
      <c r="A160" s="44"/>
      <c r="B160" s="44"/>
      <c r="C160" s="44"/>
      <c r="D160" s="45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</row>
    <row r="161" spans="1:28" x14ac:dyDescent="0.35">
      <c r="A161" s="44"/>
      <c r="B161" s="44"/>
      <c r="C161" s="44"/>
      <c r="D161" s="45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</row>
    <row r="162" spans="1:28" x14ac:dyDescent="0.35">
      <c r="A162" s="44"/>
      <c r="B162" s="44"/>
      <c r="C162" s="44"/>
      <c r="D162" s="45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</row>
    <row r="163" spans="1:28" x14ac:dyDescent="0.35">
      <c r="A163" s="44"/>
      <c r="B163" s="44"/>
      <c r="C163" s="44"/>
      <c r="D163" s="45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</row>
    <row r="164" spans="1:28" x14ac:dyDescent="0.35">
      <c r="A164" s="44"/>
      <c r="B164" s="44"/>
      <c r="C164" s="44"/>
      <c r="D164" s="45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</row>
    <row r="165" spans="1:28" x14ac:dyDescent="0.35">
      <c r="A165" s="44"/>
      <c r="B165" s="44"/>
      <c r="C165" s="44"/>
      <c r="D165" s="45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</row>
    <row r="166" spans="1:28" x14ac:dyDescent="0.35">
      <c r="A166" s="44"/>
      <c r="B166" s="44"/>
      <c r="C166" s="44"/>
      <c r="D166" s="45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</row>
    <row r="167" spans="1:28" x14ac:dyDescent="0.35">
      <c r="A167" s="44"/>
      <c r="B167" s="44"/>
      <c r="C167" s="44"/>
      <c r="D167" s="45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</row>
    <row r="168" spans="1:28" x14ac:dyDescent="0.35">
      <c r="A168" s="44"/>
      <c r="B168" s="44"/>
      <c r="C168" s="44"/>
      <c r="D168" s="45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</row>
    <row r="169" spans="1:28" x14ac:dyDescent="0.35">
      <c r="A169" s="44"/>
      <c r="B169" s="44"/>
      <c r="C169" s="44"/>
      <c r="D169" s="45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</row>
    <row r="170" spans="1:28" x14ac:dyDescent="0.35">
      <c r="A170" s="44"/>
      <c r="B170" s="44"/>
      <c r="C170" s="44"/>
      <c r="D170" s="45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</row>
    <row r="171" spans="1:28" x14ac:dyDescent="0.35">
      <c r="A171" s="44"/>
      <c r="B171" s="44"/>
      <c r="C171" s="44"/>
      <c r="D171" s="45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</row>
    <row r="172" spans="1:28" x14ac:dyDescent="0.35">
      <c r="A172" s="44"/>
      <c r="B172" s="44"/>
      <c r="C172" s="44"/>
      <c r="D172" s="45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</row>
    <row r="173" spans="1:28" x14ac:dyDescent="0.35">
      <c r="A173" s="44"/>
      <c r="B173" s="44"/>
      <c r="C173" s="44"/>
      <c r="D173" s="45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</row>
    <row r="174" spans="1:28" x14ac:dyDescent="0.35">
      <c r="A174" s="44"/>
      <c r="B174" s="44"/>
      <c r="C174" s="44"/>
      <c r="D174" s="45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</row>
    <row r="175" spans="1:28" x14ac:dyDescent="0.35">
      <c r="A175" s="44"/>
      <c r="B175" s="44"/>
      <c r="C175" s="44"/>
      <c r="D175" s="45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</row>
    <row r="176" spans="1:28" x14ac:dyDescent="0.35">
      <c r="A176" s="44"/>
      <c r="B176" s="44"/>
      <c r="C176" s="44"/>
      <c r="D176" s="45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</row>
    <row r="177" spans="1:28" x14ac:dyDescent="0.35">
      <c r="A177" s="44"/>
      <c r="B177" s="44"/>
      <c r="C177" s="44"/>
      <c r="D177" s="45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</row>
    <row r="178" spans="1:28" x14ac:dyDescent="0.35">
      <c r="A178" s="44"/>
      <c r="B178" s="44"/>
      <c r="C178" s="44"/>
      <c r="D178" s="45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</row>
    <row r="179" spans="1:28" x14ac:dyDescent="0.35">
      <c r="A179" s="44"/>
      <c r="B179" s="44"/>
      <c r="C179" s="44"/>
      <c r="D179" s="45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</row>
    <row r="180" spans="1:28" x14ac:dyDescent="0.35">
      <c r="A180" s="44"/>
      <c r="B180" s="44"/>
      <c r="C180" s="44"/>
      <c r="D180" s="45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</row>
    <row r="181" spans="1:28" x14ac:dyDescent="0.35">
      <c r="A181" s="44"/>
      <c r="B181" s="44"/>
      <c r="C181" s="44"/>
      <c r="D181" s="45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</row>
    <row r="182" spans="1:28" x14ac:dyDescent="0.35">
      <c r="A182" s="44"/>
      <c r="B182" s="44"/>
      <c r="C182" s="44"/>
      <c r="D182" s="45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</row>
    <row r="183" spans="1:28" x14ac:dyDescent="0.35">
      <c r="A183" s="44"/>
      <c r="B183" s="44"/>
      <c r="C183" s="44"/>
      <c r="D183" s="45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</row>
    <row r="184" spans="1:28" x14ac:dyDescent="0.35">
      <c r="A184" s="44"/>
      <c r="B184" s="44"/>
      <c r="C184" s="44"/>
      <c r="D184" s="45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</row>
    <row r="185" spans="1:28" x14ac:dyDescent="0.35">
      <c r="A185" s="44"/>
      <c r="B185" s="44"/>
      <c r="C185" s="44"/>
      <c r="D185" s="45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</row>
    <row r="186" spans="1:28" x14ac:dyDescent="0.35">
      <c r="A186" s="44"/>
      <c r="B186" s="44"/>
      <c r="C186" s="44"/>
      <c r="D186" s="45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</row>
    <row r="187" spans="1:28" x14ac:dyDescent="0.35">
      <c r="A187" s="44"/>
      <c r="B187" s="44"/>
      <c r="C187" s="44"/>
      <c r="D187" s="45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</row>
    <row r="188" spans="1:28" x14ac:dyDescent="0.35">
      <c r="A188" s="44"/>
      <c r="B188" s="44"/>
      <c r="C188" s="44"/>
      <c r="D188" s="45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</row>
    <row r="189" spans="1:28" x14ac:dyDescent="0.35">
      <c r="A189" s="44"/>
      <c r="B189" s="44"/>
      <c r="C189" s="44"/>
      <c r="D189" s="45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</row>
    <row r="190" spans="1:28" x14ac:dyDescent="0.35">
      <c r="A190" s="44"/>
      <c r="B190" s="44"/>
      <c r="C190" s="44"/>
      <c r="D190" s="45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</row>
    <row r="191" spans="1:28" x14ac:dyDescent="0.35">
      <c r="A191" s="44"/>
      <c r="B191" s="44"/>
      <c r="C191" s="44"/>
      <c r="D191" s="45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</row>
    <row r="192" spans="1:28" x14ac:dyDescent="0.35">
      <c r="A192" s="44"/>
      <c r="B192" s="44"/>
      <c r="C192" s="44"/>
      <c r="D192" s="45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</row>
    <row r="193" spans="1:28" x14ac:dyDescent="0.35">
      <c r="A193" s="44"/>
      <c r="B193" s="44"/>
      <c r="C193" s="44"/>
      <c r="D193" s="45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</row>
    <row r="194" spans="1:28" x14ac:dyDescent="0.35">
      <c r="A194" s="44"/>
      <c r="B194" s="44"/>
      <c r="C194" s="44"/>
      <c r="D194" s="45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</row>
    <row r="195" spans="1:28" x14ac:dyDescent="0.35">
      <c r="A195" s="44"/>
      <c r="B195" s="44"/>
      <c r="C195" s="44"/>
      <c r="D195" s="45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</row>
    <row r="196" spans="1:28" x14ac:dyDescent="0.35">
      <c r="A196" s="44"/>
      <c r="B196" s="44"/>
      <c r="C196" s="44"/>
      <c r="D196" s="45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</row>
    <row r="197" spans="1:28" x14ac:dyDescent="0.35">
      <c r="A197" s="44"/>
      <c r="B197" s="44"/>
      <c r="C197" s="44"/>
      <c r="D197" s="45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</row>
    <row r="198" spans="1:28" x14ac:dyDescent="0.35">
      <c r="A198" s="44"/>
      <c r="B198" s="44"/>
      <c r="C198" s="44"/>
      <c r="D198" s="45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</row>
    <row r="199" spans="1:28" x14ac:dyDescent="0.35">
      <c r="A199" s="44"/>
      <c r="B199" s="44"/>
      <c r="C199" s="44"/>
      <c r="D199" s="45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</row>
    <row r="200" spans="1:28" x14ac:dyDescent="0.35">
      <c r="A200" s="44"/>
      <c r="B200" s="44"/>
      <c r="C200" s="44"/>
      <c r="D200" s="45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</row>
    <row r="201" spans="1:28" x14ac:dyDescent="0.35">
      <c r="A201" s="44"/>
      <c r="B201" s="44"/>
      <c r="C201" s="44"/>
      <c r="D201" s="45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</row>
    <row r="202" spans="1:28" x14ac:dyDescent="0.35">
      <c r="A202" s="44"/>
      <c r="B202" s="44"/>
      <c r="C202" s="44"/>
      <c r="D202" s="45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</row>
    <row r="203" spans="1:28" x14ac:dyDescent="0.35">
      <c r="A203" s="44"/>
      <c r="B203" s="44"/>
      <c r="C203" s="44"/>
      <c r="D203" s="45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</row>
    <row r="204" spans="1:28" x14ac:dyDescent="0.35">
      <c r="A204" s="44"/>
      <c r="B204" s="44"/>
      <c r="C204" s="44"/>
      <c r="D204" s="45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</row>
    <row r="205" spans="1:28" x14ac:dyDescent="0.35">
      <c r="A205" s="44"/>
      <c r="B205" s="44"/>
      <c r="C205" s="44"/>
      <c r="D205" s="45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</row>
    <row r="206" spans="1:28" x14ac:dyDescent="0.35">
      <c r="A206" s="44"/>
      <c r="B206" s="44"/>
      <c r="C206" s="44"/>
      <c r="D206" s="45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</row>
    <row r="207" spans="1:28" x14ac:dyDescent="0.35">
      <c r="A207" s="44"/>
      <c r="B207" s="44"/>
      <c r="C207" s="44"/>
      <c r="D207" s="45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</row>
    <row r="208" spans="1:28" x14ac:dyDescent="0.35">
      <c r="A208" s="44"/>
      <c r="B208" s="44"/>
      <c r="C208" s="44"/>
      <c r="D208" s="45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</row>
    <row r="209" spans="1:28" x14ac:dyDescent="0.35">
      <c r="A209" s="44"/>
      <c r="B209" s="44"/>
      <c r="C209" s="44"/>
      <c r="D209" s="45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</row>
    <row r="210" spans="1:28" x14ac:dyDescent="0.35">
      <c r="A210" s="44"/>
      <c r="B210" s="44"/>
      <c r="C210" s="44"/>
      <c r="D210" s="45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</row>
    <row r="211" spans="1:28" x14ac:dyDescent="0.35">
      <c r="A211" s="44"/>
      <c r="B211" s="44"/>
      <c r="C211" s="44"/>
      <c r="D211" s="45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</row>
    <row r="212" spans="1:28" x14ac:dyDescent="0.35">
      <c r="A212" s="44"/>
      <c r="B212" s="44"/>
      <c r="C212" s="44"/>
      <c r="D212" s="45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</row>
    <row r="213" spans="1:28" x14ac:dyDescent="0.35">
      <c r="A213" s="44"/>
      <c r="B213" s="44"/>
      <c r="C213" s="44"/>
      <c r="D213" s="45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</row>
    <row r="214" spans="1:28" x14ac:dyDescent="0.35">
      <c r="A214" s="44"/>
      <c r="B214" s="44"/>
      <c r="C214" s="44"/>
      <c r="D214" s="45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</row>
    <row r="215" spans="1:28" x14ac:dyDescent="0.35">
      <c r="A215" s="44"/>
      <c r="B215" s="44"/>
      <c r="C215" s="44"/>
      <c r="D215" s="45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</row>
    <row r="216" spans="1:28" x14ac:dyDescent="0.35">
      <c r="A216" s="44"/>
      <c r="B216" s="44"/>
      <c r="C216" s="44"/>
      <c r="D216" s="45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</row>
    <row r="217" spans="1:28" x14ac:dyDescent="0.35">
      <c r="A217" s="44"/>
      <c r="B217" s="44"/>
      <c r="C217" s="44"/>
      <c r="D217" s="45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</row>
    <row r="218" spans="1:28" x14ac:dyDescent="0.35">
      <c r="A218" s="44"/>
      <c r="B218" s="44"/>
      <c r="C218" s="44"/>
      <c r="D218" s="45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</row>
    <row r="219" spans="1:28" x14ac:dyDescent="0.35">
      <c r="A219" s="44"/>
      <c r="B219" s="44"/>
      <c r="C219" s="44"/>
      <c r="D219" s="45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</row>
    <row r="220" spans="1:28" x14ac:dyDescent="0.35">
      <c r="A220" s="44"/>
      <c r="B220" s="44"/>
      <c r="C220" s="44"/>
      <c r="D220" s="45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</row>
    <row r="221" spans="1:28" x14ac:dyDescent="0.35">
      <c r="A221" s="44"/>
      <c r="B221" s="44"/>
      <c r="C221" s="44"/>
      <c r="D221" s="45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</row>
    <row r="222" spans="1:28" x14ac:dyDescent="0.35">
      <c r="A222" s="44"/>
      <c r="B222" s="44"/>
      <c r="C222" s="44"/>
      <c r="D222" s="45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</row>
    <row r="223" spans="1:28" x14ac:dyDescent="0.35">
      <c r="A223" s="44"/>
      <c r="B223" s="44"/>
      <c r="C223" s="44"/>
      <c r="D223" s="45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</row>
    <row r="224" spans="1:28" x14ac:dyDescent="0.35">
      <c r="A224" s="44"/>
      <c r="B224" s="44"/>
      <c r="C224" s="44"/>
      <c r="D224" s="45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</row>
    <row r="225" spans="1:28" x14ac:dyDescent="0.35">
      <c r="A225" s="44"/>
      <c r="B225" s="44"/>
      <c r="C225" s="44"/>
      <c r="D225" s="45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</row>
    <row r="226" spans="1:28" x14ac:dyDescent="0.35">
      <c r="A226" s="44"/>
      <c r="B226" s="44"/>
      <c r="C226" s="44"/>
      <c r="D226" s="45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</row>
    <row r="227" spans="1:28" x14ac:dyDescent="0.35">
      <c r="A227" s="44"/>
      <c r="B227" s="44"/>
      <c r="C227" s="44"/>
      <c r="D227" s="45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</row>
    <row r="228" spans="1:28" x14ac:dyDescent="0.35">
      <c r="A228" s="44"/>
      <c r="B228" s="44"/>
      <c r="C228" s="44"/>
      <c r="D228" s="45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</row>
    <row r="229" spans="1:28" x14ac:dyDescent="0.35">
      <c r="A229" s="44"/>
      <c r="B229" s="44"/>
      <c r="C229" s="44"/>
      <c r="D229" s="45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</row>
    <row r="230" spans="1:28" x14ac:dyDescent="0.35">
      <c r="A230" s="44"/>
      <c r="B230" s="44"/>
      <c r="C230" s="44"/>
      <c r="D230" s="45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</row>
    <row r="231" spans="1:28" x14ac:dyDescent="0.35">
      <c r="A231" s="44"/>
      <c r="B231" s="44"/>
      <c r="C231" s="44"/>
      <c r="D231" s="45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</row>
    <row r="232" spans="1:28" x14ac:dyDescent="0.35">
      <c r="A232" s="44"/>
      <c r="B232" s="44"/>
      <c r="C232" s="44"/>
      <c r="D232" s="45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</row>
    <row r="233" spans="1:28" x14ac:dyDescent="0.35">
      <c r="A233" s="44"/>
      <c r="B233" s="44"/>
      <c r="C233" s="44"/>
      <c r="D233" s="45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</row>
    <row r="234" spans="1:28" x14ac:dyDescent="0.35">
      <c r="A234" s="44"/>
      <c r="B234" s="44"/>
      <c r="C234" s="44"/>
      <c r="D234" s="45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</row>
    <row r="235" spans="1:28" x14ac:dyDescent="0.35">
      <c r="A235" s="44"/>
      <c r="B235" s="44"/>
      <c r="C235" s="44"/>
      <c r="D235" s="45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</row>
    <row r="236" spans="1:28" x14ac:dyDescent="0.35">
      <c r="A236" s="44"/>
      <c r="B236" s="44"/>
      <c r="C236" s="44"/>
      <c r="D236" s="45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</row>
    <row r="237" spans="1:28" x14ac:dyDescent="0.35">
      <c r="A237" s="44"/>
      <c r="B237" s="44"/>
      <c r="C237" s="44"/>
      <c r="D237" s="45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</row>
    <row r="238" spans="1:28" x14ac:dyDescent="0.35">
      <c r="A238" s="44"/>
      <c r="B238" s="44"/>
      <c r="C238" s="44"/>
      <c r="D238" s="45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</row>
    <row r="239" spans="1:28" x14ac:dyDescent="0.35">
      <c r="A239" s="44"/>
      <c r="B239" s="44"/>
      <c r="C239" s="44"/>
      <c r="D239" s="45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</row>
    <row r="240" spans="1:28" x14ac:dyDescent="0.35">
      <c r="A240" s="44"/>
      <c r="B240" s="44"/>
      <c r="C240" s="44"/>
      <c r="D240" s="45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</row>
    <row r="241" spans="1:28" x14ac:dyDescent="0.35">
      <c r="A241" s="44"/>
      <c r="B241" s="44"/>
      <c r="C241" s="44"/>
      <c r="D241" s="45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</row>
    <row r="242" spans="1:28" x14ac:dyDescent="0.35">
      <c r="A242" s="44"/>
      <c r="B242" s="44"/>
      <c r="C242" s="44"/>
      <c r="D242" s="45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</row>
    <row r="243" spans="1:28" x14ac:dyDescent="0.35">
      <c r="A243" s="44"/>
      <c r="B243" s="44"/>
      <c r="C243" s="44"/>
      <c r="D243" s="45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</row>
    <row r="244" spans="1:28" x14ac:dyDescent="0.35">
      <c r="A244" s="44"/>
      <c r="B244" s="44"/>
      <c r="C244" s="44"/>
      <c r="D244" s="45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</row>
    <row r="245" spans="1:28" x14ac:dyDescent="0.35">
      <c r="A245" s="44"/>
      <c r="B245" s="44"/>
      <c r="C245" s="44"/>
      <c r="D245" s="45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</row>
    <row r="246" spans="1:28" x14ac:dyDescent="0.35">
      <c r="A246" s="44"/>
      <c r="B246" s="44"/>
      <c r="C246" s="44"/>
      <c r="D246" s="45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</row>
    <row r="247" spans="1:28" x14ac:dyDescent="0.35">
      <c r="A247" s="44"/>
      <c r="B247" s="44"/>
      <c r="C247" s="44"/>
      <c r="D247" s="45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</row>
    <row r="248" spans="1:28" x14ac:dyDescent="0.35">
      <c r="A248" s="44"/>
      <c r="B248" s="44"/>
      <c r="C248" s="44"/>
      <c r="D248" s="45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</row>
    <row r="249" spans="1:28" x14ac:dyDescent="0.35">
      <c r="A249" s="44"/>
      <c r="B249" s="44"/>
      <c r="C249" s="44"/>
      <c r="D249" s="45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</row>
    <row r="250" spans="1:28" x14ac:dyDescent="0.35">
      <c r="A250" s="44"/>
      <c r="B250" s="44"/>
      <c r="C250" s="44"/>
      <c r="D250" s="45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</row>
    <row r="251" spans="1:28" x14ac:dyDescent="0.35">
      <c r="A251" s="44"/>
      <c r="B251" s="44"/>
      <c r="C251" s="44"/>
      <c r="D251" s="45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</row>
    <row r="252" spans="1:28" x14ac:dyDescent="0.35">
      <c r="A252" s="44"/>
      <c r="B252" s="44"/>
      <c r="C252" s="44"/>
      <c r="D252" s="45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</row>
    <row r="253" spans="1:28" x14ac:dyDescent="0.35">
      <c r="A253" s="44"/>
      <c r="B253" s="44"/>
      <c r="C253" s="44"/>
      <c r="D253" s="45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</row>
    <row r="254" spans="1:28" x14ac:dyDescent="0.35">
      <c r="A254" s="44"/>
      <c r="B254" s="44"/>
      <c r="C254" s="44"/>
      <c r="D254" s="45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</row>
    <row r="255" spans="1:28" x14ac:dyDescent="0.35">
      <c r="A255" s="44"/>
      <c r="B255" s="44"/>
      <c r="C255" s="44"/>
      <c r="D255" s="45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</row>
    <row r="256" spans="1:28" x14ac:dyDescent="0.35">
      <c r="A256" s="44"/>
      <c r="B256" s="44"/>
      <c r="C256" s="44"/>
      <c r="D256" s="45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</row>
    <row r="257" spans="1:28" x14ac:dyDescent="0.35">
      <c r="A257" s="44"/>
      <c r="B257" s="44"/>
      <c r="C257" s="44"/>
      <c r="D257" s="45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</row>
    <row r="258" spans="1:28" x14ac:dyDescent="0.35">
      <c r="A258" s="44"/>
      <c r="B258" s="44"/>
      <c r="C258" s="44"/>
      <c r="D258" s="45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</row>
    <row r="259" spans="1:28" x14ac:dyDescent="0.35">
      <c r="A259" s="44"/>
      <c r="B259" s="44"/>
      <c r="C259" s="44"/>
      <c r="D259" s="45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</row>
    <row r="260" spans="1:28" x14ac:dyDescent="0.35">
      <c r="A260" s="44"/>
      <c r="B260" s="44"/>
      <c r="C260" s="44"/>
      <c r="D260" s="45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</row>
    <row r="261" spans="1:28" x14ac:dyDescent="0.35">
      <c r="A261" s="44"/>
      <c r="B261" s="44"/>
      <c r="C261" s="44"/>
      <c r="D261" s="45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</row>
    <row r="262" spans="1:28" x14ac:dyDescent="0.35">
      <c r="A262" s="44"/>
      <c r="B262" s="44"/>
      <c r="C262" s="44"/>
      <c r="D262" s="45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</row>
    <row r="263" spans="1:28" x14ac:dyDescent="0.35">
      <c r="A263" s="44"/>
      <c r="B263" s="44"/>
      <c r="C263" s="44"/>
      <c r="D263" s="45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</row>
    <row r="264" spans="1:28" x14ac:dyDescent="0.35">
      <c r="A264" s="44"/>
      <c r="B264" s="44"/>
      <c r="C264" s="44"/>
      <c r="D264" s="45"/>
      <c r="E264" s="46"/>
      <c r="F264" s="46"/>
      <c r="G264" s="46"/>
      <c r="H264" s="46"/>
      <c r="I264" s="46"/>
      <c r="J264" s="46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  <c r="AB264" s="44"/>
    </row>
    <row r="265" spans="1:28" x14ac:dyDescent="0.35">
      <c r="A265" s="44"/>
      <c r="B265" s="44"/>
      <c r="C265" s="44"/>
      <c r="D265" s="45"/>
      <c r="E265" s="46"/>
      <c r="F265" s="46"/>
      <c r="G265" s="46"/>
      <c r="H265" s="46"/>
      <c r="I265" s="46"/>
      <c r="J265" s="46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</row>
    <row r="266" spans="1:28" x14ac:dyDescent="0.35">
      <c r="A266" s="44"/>
      <c r="B266" s="44"/>
      <c r="C266" s="44"/>
      <c r="D266" s="45"/>
      <c r="E266" s="46"/>
      <c r="F266" s="46"/>
      <c r="G266" s="46"/>
      <c r="H266" s="46"/>
      <c r="I266" s="46"/>
      <c r="J266" s="46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  <c r="AB266" s="44"/>
    </row>
    <row r="267" spans="1:28" x14ac:dyDescent="0.35">
      <c r="A267" s="44"/>
      <c r="B267" s="44"/>
      <c r="C267" s="44"/>
      <c r="D267" s="45"/>
      <c r="E267" s="46"/>
      <c r="F267" s="46"/>
      <c r="G267" s="46"/>
      <c r="H267" s="46"/>
      <c r="I267" s="46"/>
      <c r="J267" s="46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</row>
    <row r="268" spans="1:28" x14ac:dyDescent="0.35">
      <c r="A268" s="44"/>
      <c r="B268" s="44"/>
      <c r="C268" s="44"/>
      <c r="D268" s="45"/>
      <c r="E268" s="46"/>
      <c r="F268" s="46"/>
      <c r="G268" s="46"/>
      <c r="H268" s="46"/>
      <c r="I268" s="46"/>
      <c r="J268" s="46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</row>
    <row r="269" spans="1:28" x14ac:dyDescent="0.35">
      <c r="A269" s="44"/>
      <c r="B269" s="44"/>
      <c r="C269" s="44"/>
      <c r="D269" s="45"/>
      <c r="E269" s="46"/>
      <c r="F269" s="46"/>
      <c r="G269" s="46"/>
      <c r="H269" s="46"/>
      <c r="I269" s="46"/>
      <c r="J269" s="46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/>
    </row>
    <row r="270" spans="1:28" x14ac:dyDescent="0.35">
      <c r="A270" s="44"/>
      <c r="B270" s="44"/>
      <c r="C270" s="44"/>
      <c r="D270" s="45"/>
      <c r="E270" s="46"/>
      <c r="F270" s="46"/>
      <c r="G270" s="46"/>
      <c r="H270" s="46"/>
      <c r="I270" s="46"/>
      <c r="J270" s="46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  <c r="AB270" s="44"/>
    </row>
    <row r="271" spans="1:28" x14ac:dyDescent="0.35">
      <c r="A271" s="44"/>
      <c r="B271" s="44"/>
      <c r="C271" s="44"/>
      <c r="D271" s="45"/>
      <c r="E271" s="46"/>
      <c r="F271" s="46"/>
      <c r="G271" s="46"/>
      <c r="H271" s="46"/>
      <c r="I271" s="46"/>
      <c r="J271" s="46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  <c r="AB271" s="44"/>
    </row>
    <row r="272" spans="1:28" x14ac:dyDescent="0.35">
      <c r="A272" s="44"/>
      <c r="B272" s="44"/>
      <c r="C272" s="44"/>
      <c r="D272" s="45"/>
      <c r="E272" s="46"/>
      <c r="F272" s="46"/>
      <c r="G272" s="46"/>
      <c r="H272" s="46"/>
      <c r="I272" s="46"/>
      <c r="J272" s="46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  <c r="AB272" s="44"/>
    </row>
    <row r="273" spans="1:28" x14ac:dyDescent="0.35">
      <c r="A273" s="44"/>
      <c r="B273" s="44"/>
      <c r="C273" s="44"/>
      <c r="D273" s="45"/>
      <c r="E273" s="46"/>
      <c r="F273" s="46"/>
      <c r="G273" s="46"/>
      <c r="H273" s="46"/>
      <c r="I273" s="46"/>
      <c r="J273" s="46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  <c r="AB273" s="44"/>
    </row>
    <row r="274" spans="1:28" x14ac:dyDescent="0.35">
      <c r="A274" s="44"/>
      <c r="B274" s="44"/>
      <c r="C274" s="44"/>
      <c r="D274" s="45"/>
      <c r="E274" s="46"/>
      <c r="F274" s="46"/>
      <c r="G274" s="46"/>
      <c r="H274" s="46"/>
      <c r="I274" s="46"/>
      <c r="J274" s="46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4"/>
    </row>
    <row r="275" spans="1:28" x14ac:dyDescent="0.35">
      <c r="A275" s="44"/>
      <c r="B275" s="44"/>
      <c r="C275" s="44"/>
      <c r="D275" s="45"/>
      <c r="E275" s="46"/>
      <c r="F275" s="46"/>
      <c r="G275" s="46"/>
      <c r="H275" s="46"/>
      <c r="I275" s="46"/>
      <c r="J275" s="46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  <c r="AB275" s="44"/>
    </row>
    <row r="276" spans="1:28" x14ac:dyDescent="0.35">
      <c r="A276" s="44"/>
      <c r="B276" s="44"/>
      <c r="C276" s="44"/>
      <c r="D276" s="45"/>
      <c r="E276" s="46"/>
      <c r="F276" s="46"/>
      <c r="G276" s="46"/>
      <c r="H276" s="46"/>
      <c r="I276" s="46"/>
      <c r="J276" s="46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  <c r="AB276" s="44"/>
    </row>
    <row r="277" spans="1:28" x14ac:dyDescent="0.35">
      <c r="A277" s="44"/>
      <c r="B277" s="44"/>
      <c r="C277" s="44"/>
      <c r="D277" s="45"/>
      <c r="E277" s="46"/>
      <c r="F277" s="46"/>
      <c r="G277" s="46"/>
      <c r="H277" s="46"/>
      <c r="I277" s="46"/>
      <c r="J277" s="46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  <c r="AB277" s="44"/>
    </row>
    <row r="278" spans="1:28" x14ac:dyDescent="0.35">
      <c r="A278" s="44"/>
      <c r="B278" s="44"/>
      <c r="C278" s="44"/>
      <c r="D278" s="45"/>
      <c r="E278" s="46"/>
      <c r="F278" s="46"/>
      <c r="G278" s="46"/>
      <c r="H278" s="46"/>
      <c r="I278" s="46"/>
      <c r="J278" s="46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  <c r="AB278" s="44"/>
    </row>
    <row r="279" spans="1:28" x14ac:dyDescent="0.35">
      <c r="A279" s="44"/>
      <c r="B279" s="44"/>
      <c r="C279" s="44"/>
      <c r="D279" s="45"/>
      <c r="E279" s="46"/>
      <c r="F279" s="46"/>
      <c r="G279" s="46"/>
      <c r="H279" s="46"/>
      <c r="I279" s="46"/>
      <c r="J279" s="46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</row>
    <row r="280" spans="1:28" x14ac:dyDescent="0.35">
      <c r="A280" s="44"/>
      <c r="B280" s="44"/>
      <c r="C280" s="44"/>
      <c r="D280" s="45"/>
      <c r="E280" s="46"/>
      <c r="F280" s="46"/>
      <c r="G280" s="46"/>
      <c r="H280" s="46"/>
      <c r="I280" s="46"/>
      <c r="J280" s="46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</row>
    <row r="281" spans="1:28" x14ac:dyDescent="0.35">
      <c r="A281" s="44"/>
      <c r="B281" s="44"/>
      <c r="C281" s="44"/>
      <c r="D281" s="45"/>
      <c r="E281" s="46"/>
      <c r="F281" s="46"/>
      <c r="G281" s="46"/>
      <c r="H281" s="46"/>
      <c r="I281" s="46"/>
      <c r="J281" s="46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  <c r="AB281" s="44"/>
    </row>
    <row r="282" spans="1:28" x14ac:dyDescent="0.35">
      <c r="A282" s="44"/>
      <c r="B282" s="44"/>
      <c r="C282" s="44"/>
      <c r="D282" s="45"/>
      <c r="E282" s="46"/>
      <c r="F282" s="46"/>
      <c r="G282" s="46"/>
      <c r="H282" s="46"/>
      <c r="I282" s="46"/>
      <c r="J282" s="46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  <c r="AB282" s="44"/>
    </row>
    <row r="283" spans="1:28" x14ac:dyDescent="0.35">
      <c r="A283" s="44"/>
      <c r="B283" s="44"/>
      <c r="C283" s="44"/>
      <c r="D283" s="45"/>
      <c r="E283" s="46"/>
      <c r="F283" s="46"/>
      <c r="G283" s="46"/>
      <c r="H283" s="46"/>
      <c r="I283" s="46"/>
      <c r="J283" s="46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  <c r="AB283" s="44"/>
    </row>
    <row r="284" spans="1:28" x14ac:dyDescent="0.35">
      <c r="A284" s="41"/>
      <c r="B284" s="41"/>
      <c r="C284" s="41"/>
      <c r="D284" s="47"/>
      <c r="E284" s="42"/>
      <c r="F284" s="42"/>
      <c r="G284" s="42"/>
      <c r="H284" s="42"/>
      <c r="I284" s="42"/>
      <c r="J284" s="42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</row>
    <row r="285" spans="1:28" x14ac:dyDescent="0.35">
      <c r="A285" s="41"/>
      <c r="B285" s="41"/>
      <c r="C285" s="41"/>
      <c r="D285" s="47"/>
      <c r="E285" s="42"/>
      <c r="F285" s="42"/>
      <c r="G285" s="42"/>
      <c r="H285" s="42"/>
      <c r="I285" s="42"/>
      <c r="J285" s="42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</row>
    <row r="286" spans="1:28" x14ac:dyDescent="0.35">
      <c r="A286" s="41"/>
      <c r="B286" s="41"/>
      <c r="C286" s="41"/>
      <c r="D286" s="47"/>
      <c r="E286" s="42"/>
      <c r="F286" s="42"/>
      <c r="G286" s="42"/>
      <c r="H286" s="42"/>
      <c r="I286" s="42"/>
      <c r="J286" s="42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</row>
    <row r="287" spans="1:28" x14ac:dyDescent="0.35">
      <c r="A287" s="41"/>
      <c r="B287" s="41"/>
      <c r="C287" s="41"/>
      <c r="D287" s="47"/>
      <c r="E287" s="42"/>
      <c r="F287" s="42"/>
      <c r="G287" s="42"/>
      <c r="H287" s="42"/>
      <c r="I287" s="42"/>
      <c r="J287" s="42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</row>
    <row r="288" spans="1:28" x14ac:dyDescent="0.35">
      <c r="A288" s="41"/>
      <c r="B288" s="41"/>
      <c r="C288" s="41"/>
      <c r="D288" s="47"/>
      <c r="E288" s="42"/>
      <c r="F288" s="42"/>
      <c r="G288" s="42"/>
      <c r="H288" s="42"/>
      <c r="I288" s="42"/>
      <c r="J288" s="42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</row>
    <row r="289" spans="1:28" x14ac:dyDescent="0.35">
      <c r="A289" s="41"/>
      <c r="B289" s="41"/>
      <c r="C289" s="41"/>
      <c r="D289" s="47"/>
      <c r="E289" s="42"/>
      <c r="F289" s="42"/>
      <c r="G289" s="42"/>
      <c r="H289" s="42"/>
      <c r="I289" s="42"/>
      <c r="J289" s="42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</row>
    <row r="290" spans="1:28" x14ac:dyDescent="0.35">
      <c r="A290" s="41"/>
      <c r="B290" s="41"/>
      <c r="C290" s="41"/>
      <c r="D290" s="47"/>
      <c r="E290" s="42"/>
      <c r="F290" s="42"/>
      <c r="G290" s="42"/>
      <c r="H290" s="42"/>
      <c r="I290" s="42"/>
      <c r="J290" s="42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</row>
    <row r="291" spans="1:28" x14ac:dyDescent="0.35">
      <c r="A291" s="41"/>
      <c r="B291" s="41"/>
      <c r="C291" s="41"/>
      <c r="D291" s="47"/>
      <c r="E291" s="42"/>
      <c r="F291" s="42"/>
      <c r="G291" s="42"/>
      <c r="H291" s="42"/>
      <c r="I291" s="42"/>
      <c r="J291" s="42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</row>
    <row r="292" spans="1:28" x14ac:dyDescent="0.35">
      <c r="A292" s="41"/>
      <c r="B292" s="41"/>
      <c r="C292" s="41"/>
      <c r="D292" s="47"/>
      <c r="E292" s="42"/>
      <c r="F292" s="42"/>
      <c r="G292" s="42"/>
      <c r="H292" s="42"/>
      <c r="I292" s="42"/>
      <c r="J292" s="42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</row>
    <row r="293" spans="1:28" x14ac:dyDescent="0.35">
      <c r="A293" s="41"/>
      <c r="B293" s="41"/>
      <c r="C293" s="41"/>
      <c r="D293" s="47"/>
      <c r="E293" s="42"/>
      <c r="F293" s="42"/>
      <c r="G293" s="42"/>
      <c r="H293" s="42"/>
      <c r="I293" s="42"/>
      <c r="J293" s="42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</row>
    <row r="294" spans="1:28" x14ac:dyDescent="0.35">
      <c r="A294" s="41"/>
      <c r="B294" s="41"/>
      <c r="C294" s="41"/>
      <c r="D294" s="47"/>
      <c r="E294" s="42"/>
      <c r="F294" s="42"/>
      <c r="G294" s="42"/>
      <c r="H294" s="42"/>
      <c r="I294" s="42"/>
      <c r="J294" s="42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</row>
    <row r="295" spans="1:28" x14ac:dyDescent="0.35">
      <c r="A295" s="41"/>
      <c r="B295" s="41"/>
      <c r="C295" s="41"/>
      <c r="D295" s="47"/>
      <c r="E295" s="42"/>
      <c r="F295" s="42"/>
      <c r="G295" s="42"/>
      <c r="H295" s="42"/>
      <c r="I295" s="42"/>
      <c r="J295" s="42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</row>
    <row r="296" spans="1:28" x14ac:dyDescent="0.35">
      <c r="A296" s="41"/>
      <c r="B296" s="41"/>
      <c r="C296" s="41"/>
      <c r="D296" s="47"/>
      <c r="E296" s="42"/>
      <c r="F296" s="42"/>
      <c r="G296" s="42"/>
      <c r="H296" s="42"/>
      <c r="I296" s="42"/>
      <c r="J296" s="42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</row>
    <row r="297" spans="1:28" x14ac:dyDescent="0.35">
      <c r="A297" s="41"/>
      <c r="B297" s="41"/>
      <c r="C297" s="41"/>
      <c r="D297" s="47"/>
      <c r="E297" s="42"/>
      <c r="F297" s="42"/>
      <c r="G297" s="42"/>
      <c r="H297" s="42"/>
      <c r="I297" s="42"/>
      <c r="J297" s="42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</row>
    <row r="298" spans="1:28" x14ac:dyDescent="0.35">
      <c r="A298" s="41"/>
      <c r="B298" s="41"/>
      <c r="C298" s="41"/>
      <c r="D298" s="47"/>
      <c r="E298" s="42"/>
      <c r="F298" s="42"/>
      <c r="G298" s="42"/>
      <c r="H298" s="42"/>
      <c r="I298" s="42"/>
      <c r="J298" s="42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</row>
    <row r="299" spans="1:28" x14ac:dyDescent="0.35">
      <c r="A299" s="41"/>
      <c r="B299" s="41"/>
      <c r="C299" s="41"/>
      <c r="D299" s="47"/>
      <c r="E299" s="42"/>
      <c r="F299" s="42"/>
      <c r="G299" s="42"/>
      <c r="H299" s="42"/>
      <c r="I299" s="42"/>
      <c r="J299" s="42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</row>
    <row r="300" spans="1:28" x14ac:dyDescent="0.35">
      <c r="A300" s="41"/>
      <c r="B300" s="41"/>
      <c r="C300" s="41"/>
      <c r="D300" s="47"/>
      <c r="E300" s="42"/>
      <c r="F300" s="42"/>
      <c r="G300" s="42"/>
      <c r="H300" s="42"/>
      <c r="I300" s="42"/>
      <c r="J300" s="42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</row>
    <row r="301" spans="1:28" x14ac:dyDescent="0.35">
      <c r="A301" s="41"/>
      <c r="B301" s="41"/>
      <c r="C301" s="41"/>
      <c r="D301" s="47"/>
      <c r="E301" s="42"/>
      <c r="F301" s="42"/>
      <c r="G301" s="42"/>
      <c r="H301" s="42"/>
      <c r="I301" s="42"/>
      <c r="J301" s="42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</row>
    <row r="302" spans="1:28" x14ac:dyDescent="0.35">
      <c r="A302" s="41"/>
      <c r="B302" s="41"/>
      <c r="C302" s="41"/>
      <c r="D302" s="47"/>
      <c r="E302" s="42"/>
      <c r="F302" s="42"/>
      <c r="G302" s="42"/>
      <c r="H302" s="42"/>
      <c r="I302" s="42"/>
      <c r="J302" s="42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</row>
    <row r="303" spans="1:28" x14ac:dyDescent="0.35">
      <c r="A303" s="41"/>
      <c r="B303" s="41"/>
      <c r="C303" s="41"/>
      <c r="D303" s="47"/>
      <c r="E303" s="42"/>
      <c r="F303" s="42"/>
      <c r="G303" s="42"/>
      <c r="H303" s="42"/>
      <c r="I303" s="42"/>
      <c r="J303" s="42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</row>
    <row r="304" spans="1:28" x14ac:dyDescent="0.35">
      <c r="A304" s="41"/>
      <c r="B304" s="41"/>
      <c r="C304" s="41"/>
      <c r="D304" s="47"/>
      <c r="E304" s="42"/>
      <c r="F304" s="42"/>
      <c r="G304" s="42"/>
      <c r="H304" s="42"/>
      <c r="I304" s="42"/>
      <c r="J304" s="42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</row>
    <row r="305" spans="1:28" x14ac:dyDescent="0.35">
      <c r="A305" s="41"/>
      <c r="B305" s="41"/>
      <c r="C305" s="41"/>
      <c r="D305" s="47"/>
      <c r="E305" s="42"/>
      <c r="F305" s="42"/>
      <c r="G305" s="42"/>
      <c r="H305" s="42"/>
      <c r="I305" s="42"/>
      <c r="J305" s="42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</row>
    <row r="306" spans="1:28" x14ac:dyDescent="0.35">
      <c r="A306" s="41"/>
      <c r="B306" s="41"/>
      <c r="C306" s="41"/>
      <c r="D306" s="47"/>
      <c r="E306" s="42"/>
      <c r="F306" s="42"/>
      <c r="G306" s="42"/>
      <c r="H306" s="42"/>
      <c r="I306" s="42"/>
      <c r="J306" s="42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</row>
    <row r="307" spans="1:28" x14ac:dyDescent="0.35">
      <c r="A307" s="41"/>
      <c r="B307" s="41"/>
      <c r="C307" s="41"/>
      <c r="D307" s="47"/>
      <c r="E307" s="42"/>
      <c r="F307" s="42"/>
      <c r="G307" s="42"/>
      <c r="H307" s="42"/>
      <c r="I307" s="42"/>
      <c r="J307" s="42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</row>
    <row r="308" spans="1:28" x14ac:dyDescent="0.35">
      <c r="A308" s="41"/>
      <c r="B308" s="41"/>
      <c r="C308" s="41"/>
      <c r="D308" s="47"/>
      <c r="E308" s="42"/>
      <c r="F308" s="42"/>
      <c r="G308" s="42"/>
      <c r="H308" s="42"/>
      <c r="I308" s="42"/>
      <c r="J308" s="42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</row>
    <row r="309" spans="1:28" x14ac:dyDescent="0.35">
      <c r="A309" s="41"/>
      <c r="B309" s="41"/>
      <c r="C309" s="41"/>
      <c r="D309" s="47"/>
      <c r="E309" s="42"/>
      <c r="F309" s="42"/>
      <c r="G309" s="42"/>
      <c r="H309" s="42"/>
      <c r="I309" s="42"/>
      <c r="J309" s="42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</row>
    <row r="310" spans="1:28" x14ac:dyDescent="0.35">
      <c r="A310" s="41"/>
      <c r="B310" s="41"/>
      <c r="C310" s="41"/>
      <c r="D310" s="47"/>
      <c r="E310" s="42"/>
      <c r="F310" s="42"/>
      <c r="G310" s="42"/>
      <c r="H310" s="42"/>
      <c r="I310" s="42"/>
      <c r="J310" s="42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</row>
    <row r="311" spans="1:28" x14ac:dyDescent="0.35">
      <c r="A311" s="41"/>
      <c r="B311" s="41"/>
      <c r="C311" s="41"/>
      <c r="D311" s="47"/>
      <c r="E311" s="42"/>
      <c r="F311" s="42"/>
      <c r="G311" s="42"/>
      <c r="H311" s="42"/>
      <c r="I311" s="42"/>
      <c r="J311" s="42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</row>
    <row r="312" spans="1:28" x14ac:dyDescent="0.35">
      <c r="A312" s="41"/>
      <c r="B312" s="41"/>
      <c r="C312" s="41"/>
      <c r="D312" s="47"/>
      <c r="E312" s="42"/>
      <c r="F312" s="42"/>
      <c r="G312" s="42"/>
      <c r="H312" s="42"/>
      <c r="I312" s="42"/>
      <c r="J312" s="42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</row>
    <row r="313" spans="1:28" x14ac:dyDescent="0.35">
      <c r="A313" s="41"/>
      <c r="B313" s="41"/>
      <c r="C313" s="41"/>
      <c r="D313" s="47"/>
      <c r="E313" s="42"/>
      <c r="F313" s="42"/>
      <c r="G313" s="42"/>
      <c r="H313" s="42"/>
      <c r="I313" s="42"/>
      <c r="J313" s="42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</row>
    <row r="314" spans="1:28" x14ac:dyDescent="0.35">
      <c r="A314" s="41"/>
      <c r="B314" s="41"/>
      <c r="C314" s="41"/>
      <c r="D314" s="47"/>
      <c r="E314" s="42"/>
      <c r="F314" s="42"/>
      <c r="G314" s="42"/>
      <c r="H314" s="42"/>
      <c r="I314" s="42"/>
      <c r="J314" s="42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</row>
    <row r="315" spans="1:28" x14ac:dyDescent="0.35">
      <c r="A315" s="41"/>
      <c r="B315" s="41"/>
      <c r="C315" s="41"/>
      <c r="D315" s="47"/>
      <c r="E315" s="42"/>
      <c r="F315" s="42"/>
      <c r="G315" s="42"/>
      <c r="H315" s="42"/>
      <c r="I315" s="42"/>
      <c r="J315" s="42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</row>
    <row r="316" spans="1:28" x14ac:dyDescent="0.35">
      <c r="A316" s="41"/>
      <c r="B316" s="41"/>
      <c r="C316" s="41"/>
      <c r="D316" s="47"/>
      <c r="E316" s="42"/>
      <c r="F316" s="42"/>
      <c r="G316" s="42"/>
      <c r="H316" s="42"/>
      <c r="I316" s="42"/>
      <c r="J316" s="42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</row>
    <row r="317" spans="1:28" x14ac:dyDescent="0.35">
      <c r="A317" s="41"/>
      <c r="B317" s="41"/>
      <c r="C317" s="41"/>
      <c r="D317" s="47"/>
      <c r="E317" s="42"/>
      <c r="F317" s="42"/>
      <c r="G317" s="42"/>
      <c r="H317" s="42"/>
      <c r="I317" s="42"/>
      <c r="J317" s="42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</row>
    <row r="318" spans="1:28" x14ac:dyDescent="0.35">
      <c r="A318" s="41"/>
      <c r="B318" s="41"/>
      <c r="C318" s="41"/>
      <c r="D318" s="47"/>
      <c r="E318" s="42"/>
      <c r="F318" s="42"/>
      <c r="G318" s="42"/>
      <c r="H318" s="42"/>
      <c r="I318" s="42"/>
      <c r="J318" s="42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</row>
    <row r="319" spans="1:28" x14ac:dyDescent="0.35">
      <c r="A319" s="41"/>
      <c r="B319" s="41"/>
      <c r="C319" s="41"/>
      <c r="D319" s="47"/>
      <c r="E319" s="42"/>
      <c r="F319" s="42"/>
      <c r="G319" s="42"/>
      <c r="H319" s="42"/>
      <c r="I319" s="42"/>
      <c r="J319" s="42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</row>
    <row r="320" spans="1:28" x14ac:dyDescent="0.35">
      <c r="A320" s="41"/>
      <c r="B320" s="41"/>
      <c r="C320" s="41"/>
      <c r="D320" s="47"/>
      <c r="E320" s="42"/>
      <c r="F320" s="42"/>
      <c r="G320" s="42"/>
      <c r="H320" s="42"/>
      <c r="I320" s="42"/>
      <c r="J320" s="42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</row>
    <row r="321" spans="1:28" x14ac:dyDescent="0.35">
      <c r="A321" s="41"/>
      <c r="B321" s="41"/>
      <c r="C321" s="41"/>
      <c r="D321" s="47"/>
      <c r="E321" s="42"/>
      <c r="F321" s="42"/>
      <c r="G321" s="42"/>
      <c r="H321" s="42"/>
      <c r="I321" s="42"/>
      <c r="J321" s="42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</row>
    <row r="322" spans="1:28" x14ac:dyDescent="0.35">
      <c r="A322" s="41"/>
      <c r="B322" s="41"/>
      <c r="C322" s="41"/>
      <c r="D322" s="47"/>
      <c r="E322" s="42"/>
      <c r="F322" s="42"/>
      <c r="G322" s="42"/>
      <c r="H322" s="42"/>
      <c r="I322" s="42"/>
      <c r="J322" s="42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</row>
    <row r="323" spans="1:28" x14ac:dyDescent="0.35">
      <c r="A323" s="41"/>
      <c r="B323" s="41"/>
      <c r="C323" s="41"/>
      <c r="D323" s="47"/>
      <c r="E323" s="42"/>
      <c r="F323" s="42"/>
      <c r="G323" s="42"/>
      <c r="H323" s="42"/>
      <c r="I323" s="42"/>
      <c r="J323" s="42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</row>
    <row r="324" spans="1:28" x14ac:dyDescent="0.35">
      <c r="A324" s="41"/>
      <c r="B324" s="41"/>
      <c r="C324" s="41"/>
      <c r="D324" s="47"/>
      <c r="E324" s="42"/>
      <c r="F324" s="42"/>
      <c r="G324" s="42"/>
      <c r="H324" s="42"/>
      <c r="I324" s="42"/>
      <c r="J324" s="42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</row>
    <row r="325" spans="1:28" x14ac:dyDescent="0.35">
      <c r="A325" s="41"/>
      <c r="B325" s="41"/>
      <c r="C325" s="41"/>
      <c r="D325" s="47"/>
      <c r="E325" s="42"/>
      <c r="F325" s="42"/>
      <c r="G325" s="42"/>
      <c r="H325" s="42"/>
      <c r="I325" s="42"/>
      <c r="J325" s="42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</row>
    <row r="326" spans="1:28" x14ac:dyDescent="0.35">
      <c r="A326" s="41"/>
      <c r="B326" s="41"/>
      <c r="C326" s="41"/>
      <c r="D326" s="47"/>
      <c r="E326" s="42"/>
      <c r="F326" s="42"/>
      <c r="G326" s="42"/>
      <c r="H326" s="42"/>
      <c r="I326" s="42"/>
      <c r="J326" s="42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</row>
    <row r="327" spans="1:28" x14ac:dyDescent="0.35">
      <c r="A327" s="41"/>
      <c r="B327" s="41"/>
      <c r="C327" s="41"/>
      <c r="D327" s="47"/>
      <c r="E327" s="42"/>
      <c r="F327" s="42"/>
      <c r="G327" s="42"/>
      <c r="H327" s="42"/>
      <c r="I327" s="42"/>
      <c r="J327" s="42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</row>
    <row r="328" spans="1:28" x14ac:dyDescent="0.35">
      <c r="A328" s="41"/>
      <c r="B328" s="41"/>
      <c r="C328" s="41"/>
      <c r="D328" s="47"/>
      <c r="E328" s="42"/>
      <c r="F328" s="42"/>
      <c r="G328" s="42"/>
      <c r="H328" s="42"/>
      <c r="I328" s="42"/>
      <c r="J328" s="42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</row>
    <row r="329" spans="1:28" x14ac:dyDescent="0.35">
      <c r="A329" s="41"/>
      <c r="B329" s="41"/>
      <c r="C329" s="41"/>
      <c r="D329" s="47"/>
      <c r="E329" s="42"/>
      <c r="F329" s="42"/>
      <c r="G329" s="42"/>
      <c r="H329" s="42"/>
      <c r="I329" s="42"/>
      <c r="J329" s="42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</row>
    <row r="330" spans="1:28" x14ac:dyDescent="0.35">
      <c r="A330" s="41"/>
      <c r="B330" s="41"/>
      <c r="C330" s="41"/>
      <c r="D330" s="47"/>
      <c r="E330" s="42"/>
      <c r="F330" s="42"/>
      <c r="G330" s="42"/>
      <c r="H330" s="42"/>
      <c r="I330" s="42"/>
      <c r="J330" s="42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</row>
    <row r="331" spans="1:28" x14ac:dyDescent="0.35">
      <c r="A331" s="41"/>
      <c r="B331" s="41"/>
      <c r="C331" s="41"/>
      <c r="D331" s="47"/>
      <c r="E331" s="42"/>
      <c r="F331" s="42"/>
      <c r="G331" s="42"/>
      <c r="H331" s="42"/>
      <c r="I331" s="42"/>
      <c r="J331" s="42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</row>
    <row r="332" spans="1:28" x14ac:dyDescent="0.35">
      <c r="A332" s="41"/>
      <c r="B332" s="41"/>
      <c r="C332" s="41"/>
      <c r="D332" s="47"/>
      <c r="E332" s="42"/>
      <c r="F332" s="42"/>
      <c r="G332" s="42"/>
      <c r="H332" s="42"/>
      <c r="I332" s="42"/>
      <c r="J332" s="42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</row>
    <row r="333" spans="1:28" x14ac:dyDescent="0.35">
      <c r="A333" s="41"/>
      <c r="B333" s="41"/>
      <c r="C333" s="41"/>
      <c r="D333" s="47"/>
      <c r="E333" s="42"/>
      <c r="F333" s="42"/>
      <c r="G333" s="42"/>
      <c r="H333" s="42"/>
      <c r="I333" s="42"/>
      <c r="J333" s="42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</row>
    <row r="334" spans="1:28" x14ac:dyDescent="0.35">
      <c r="A334" s="41"/>
      <c r="B334" s="41"/>
      <c r="C334" s="41"/>
      <c r="D334" s="47"/>
      <c r="E334" s="42"/>
      <c r="F334" s="42"/>
      <c r="G334" s="42"/>
      <c r="H334" s="42"/>
      <c r="I334" s="42"/>
      <c r="J334" s="42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</row>
    <row r="335" spans="1:28" x14ac:dyDescent="0.35">
      <c r="A335" s="41"/>
      <c r="B335" s="41"/>
      <c r="C335" s="41"/>
      <c r="D335" s="47"/>
      <c r="E335" s="42"/>
      <c r="F335" s="42"/>
      <c r="G335" s="42"/>
      <c r="H335" s="42"/>
      <c r="I335" s="42"/>
      <c r="J335" s="42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</row>
    <row r="336" spans="1:28" x14ac:dyDescent="0.35">
      <c r="A336" s="41"/>
      <c r="B336" s="41"/>
      <c r="C336" s="41"/>
      <c r="D336" s="47"/>
      <c r="E336" s="42"/>
      <c r="F336" s="42"/>
      <c r="G336" s="42"/>
      <c r="H336" s="42"/>
      <c r="I336" s="42"/>
      <c r="J336" s="42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</row>
    <row r="337" spans="1:28" x14ac:dyDescent="0.35">
      <c r="A337" s="41"/>
      <c r="B337" s="41"/>
      <c r="C337" s="41"/>
      <c r="D337" s="47"/>
      <c r="E337" s="42"/>
      <c r="F337" s="42"/>
      <c r="G337" s="42"/>
      <c r="H337" s="42"/>
      <c r="I337" s="42"/>
      <c r="J337" s="42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</row>
    <row r="338" spans="1:28" x14ac:dyDescent="0.35">
      <c r="A338" s="41"/>
      <c r="B338" s="41"/>
      <c r="C338" s="41"/>
      <c r="D338" s="47"/>
      <c r="E338" s="42"/>
      <c r="F338" s="42"/>
      <c r="G338" s="42"/>
      <c r="H338" s="42"/>
      <c r="I338" s="42"/>
      <c r="J338" s="42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</row>
    <row r="339" spans="1:28" x14ac:dyDescent="0.35">
      <c r="A339" s="41"/>
      <c r="B339" s="41"/>
      <c r="C339" s="41"/>
      <c r="D339" s="47"/>
      <c r="E339" s="42"/>
      <c r="F339" s="42"/>
      <c r="G339" s="42"/>
      <c r="H339" s="42"/>
      <c r="I339" s="42"/>
      <c r="J339" s="42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</row>
    <row r="340" spans="1:28" x14ac:dyDescent="0.35">
      <c r="A340" s="41"/>
      <c r="B340" s="41"/>
      <c r="C340" s="41"/>
      <c r="D340" s="47"/>
      <c r="E340" s="42"/>
      <c r="F340" s="42"/>
      <c r="G340" s="42"/>
      <c r="H340" s="42"/>
      <c r="I340" s="42"/>
      <c r="J340" s="42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</row>
    <row r="341" spans="1:28" x14ac:dyDescent="0.35">
      <c r="A341" s="41"/>
      <c r="B341" s="41"/>
      <c r="C341" s="41"/>
      <c r="D341" s="47"/>
      <c r="E341" s="42"/>
      <c r="F341" s="42"/>
      <c r="G341" s="42"/>
      <c r="H341" s="42"/>
      <c r="I341" s="42"/>
      <c r="J341" s="42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</row>
    <row r="342" spans="1:28" x14ac:dyDescent="0.35">
      <c r="A342" s="41"/>
      <c r="B342" s="41"/>
      <c r="C342" s="41"/>
      <c r="D342" s="47"/>
      <c r="E342" s="42"/>
      <c r="F342" s="42"/>
      <c r="G342" s="42"/>
      <c r="H342" s="42"/>
      <c r="I342" s="42"/>
      <c r="J342" s="42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</row>
    <row r="343" spans="1:28" x14ac:dyDescent="0.35">
      <c r="A343" s="41"/>
      <c r="B343" s="41"/>
      <c r="C343" s="41"/>
      <c r="D343" s="47"/>
      <c r="E343" s="42"/>
      <c r="F343" s="42"/>
      <c r="G343" s="42"/>
      <c r="H343" s="42"/>
      <c r="I343" s="42"/>
      <c r="J343" s="42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</row>
    <row r="344" spans="1:28" x14ac:dyDescent="0.35">
      <c r="A344" s="41"/>
      <c r="B344" s="41"/>
      <c r="C344" s="41"/>
      <c r="D344" s="47"/>
      <c r="E344" s="42"/>
      <c r="F344" s="42"/>
      <c r="G344" s="42"/>
      <c r="H344" s="42"/>
      <c r="I344" s="42"/>
      <c r="J344" s="42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</row>
    <row r="345" spans="1:28" x14ac:dyDescent="0.35">
      <c r="A345" s="41"/>
      <c r="B345" s="41"/>
      <c r="C345" s="41"/>
      <c r="D345" s="47"/>
      <c r="E345" s="42"/>
      <c r="F345" s="42"/>
      <c r="G345" s="42"/>
      <c r="H345" s="42"/>
      <c r="I345" s="42"/>
      <c r="J345" s="42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</row>
    <row r="346" spans="1:28" x14ac:dyDescent="0.35">
      <c r="A346" s="41"/>
      <c r="B346" s="41"/>
      <c r="C346" s="41"/>
      <c r="D346" s="47"/>
      <c r="E346" s="42"/>
      <c r="F346" s="42"/>
      <c r="G346" s="42"/>
      <c r="H346" s="42"/>
      <c r="I346" s="42"/>
      <c r="J346" s="42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</row>
    <row r="347" spans="1:28" x14ac:dyDescent="0.35">
      <c r="A347" s="41"/>
      <c r="B347" s="41"/>
      <c r="C347" s="41"/>
      <c r="D347" s="47"/>
      <c r="E347" s="42"/>
      <c r="F347" s="42"/>
      <c r="G347" s="42"/>
      <c r="H347" s="42"/>
      <c r="I347" s="42"/>
      <c r="J347" s="42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</row>
    <row r="348" spans="1:28" x14ac:dyDescent="0.35">
      <c r="A348" s="41"/>
      <c r="B348" s="41"/>
      <c r="C348" s="41"/>
      <c r="D348" s="47"/>
      <c r="E348" s="42"/>
      <c r="F348" s="42"/>
      <c r="G348" s="42"/>
      <c r="H348" s="42"/>
      <c r="I348" s="42"/>
      <c r="J348" s="42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</row>
    <row r="349" spans="1:28" x14ac:dyDescent="0.35">
      <c r="A349" s="41"/>
      <c r="B349" s="41"/>
      <c r="C349" s="41"/>
      <c r="D349" s="47"/>
      <c r="E349" s="42"/>
      <c r="F349" s="42"/>
      <c r="G349" s="42"/>
      <c r="H349" s="42"/>
      <c r="I349" s="42"/>
      <c r="J349" s="42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</row>
    <row r="350" spans="1:28" x14ac:dyDescent="0.35">
      <c r="A350" s="41"/>
      <c r="B350" s="41"/>
      <c r="C350" s="41"/>
      <c r="D350" s="47"/>
      <c r="E350" s="42"/>
      <c r="F350" s="42"/>
      <c r="G350" s="42"/>
      <c r="H350" s="42"/>
      <c r="I350" s="42"/>
      <c r="J350" s="42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</row>
    <row r="351" spans="1:28" x14ac:dyDescent="0.35">
      <c r="A351" s="41"/>
      <c r="B351" s="41"/>
      <c r="C351" s="41"/>
      <c r="D351" s="47"/>
      <c r="E351" s="42"/>
      <c r="F351" s="42"/>
      <c r="G351" s="42"/>
      <c r="H351" s="42"/>
      <c r="I351" s="42"/>
      <c r="J351" s="42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</row>
    <row r="352" spans="1:28" x14ac:dyDescent="0.35">
      <c r="A352" s="41"/>
      <c r="B352" s="41"/>
      <c r="C352" s="41"/>
      <c r="D352" s="47"/>
      <c r="E352" s="42"/>
      <c r="F352" s="42"/>
      <c r="G352" s="42"/>
      <c r="H352" s="42"/>
      <c r="I352" s="42"/>
      <c r="J352" s="42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</row>
    <row r="353" spans="1:28" x14ac:dyDescent="0.35">
      <c r="A353" s="41"/>
      <c r="B353" s="41"/>
      <c r="C353" s="41"/>
      <c r="D353" s="47"/>
      <c r="E353" s="42"/>
      <c r="F353" s="42"/>
      <c r="G353" s="42"/>
      <c r="H353" s="42"/>
      <c r="I353" s="42"/>
      <c r="J353" s="42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</row>
    <row r="354" spans="1:28" x14ac:dyDescent="0.35">
      <c r="A354" s="41"/>
      <c r="B354" s="41"/>
      <c r="C354" s="41"/>
      <c r="D354" s="47"/>
      <c r="E354" s="42"/>
      <c r="F354" s="42"/>
      <c r="G354" s="42"/>
      <c r="H354" s="42"/>
      <c r="I354" s="42"/>
      <c r="J354" s="42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</row>
    <row r="355" spans="1:28" x14ac:dyDescent="0.35">
      <c r="A355" s="41"/>
      <c r="B355" s="41"/>
      <c r="C355" s="41"/>
      <c r="D355" s="47"/>
      <c r="E355" s="42"/>
      <c r="F355" s="42"/>
      <c r="G355" s="42"/>
      <c r="H355" s="42"/>
      <c r="I355" s="42"/>
      <c r="J355" s="42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</row>
    <row r="356" spans="1:28" x14ac:dyDescent="0.35">
      <c r="A356" s="41"/>
      <c r="B356" s="41"/>
      <c r="C356" s="41"/>
      <c r="D356" s="47"/>
      <c r="E356" s="42"/>
      <c r="F356" s="42"/>
      <c r="G356" s="42"/>
      <c r="H356" s="42"/>
      <c r="I356" s="42"/>
      <c r="J356" s="42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</row>
    <row r="357" spans="1:28" x14ac:dyDescent="0.35">
      <c r="A357" s="41"/>
      <c r="B357" s="41"/>
      <c r="C357" s="41"/>
      <c r="D357" s="47"/>
      <c r="E357" s="42"/>
      <c r="F357" s="42"/>
      <c r="G357" s="42"/>
      <c r="H357" s="42"/>
      <c r="I357" s="42"/>
      <c r="J357" s="42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</row>
    <row r="358" spans="1:28" x14ac:dyDescent="0.35">
      <c r="A358" s="41"/>
      <c r="B358" s="41"/>
      <c r="C358" s="41"/>
      <c r="D358" s="47"/>
      <c r="E358" s="42"/>
      <c r="F358" s="42"/>
      <c r="G358" s="42"/>
      <c r="H358" s="42"/>
      <c r="I358" s="42"/>
      <c r="J358" s="42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</row>
    <row r="359" spans="1:28" x14ac:dyDescent="0.35">
      <c r="A359" s="41"/>
      <c r="B359" s="41"/>
      <c r="C359" s="41"/>
      <c r="D359" s="47"/>
      <c r="E359" s="42"/>
      <c r="F359" s="42"/>
      <c r="G359" s="42"/>
      <c r="H359" s="42"/>
      <c r="I359" s="42"/>
      <c r="J359" s="42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</row>
    <row r="360" spans="1:28" x14ac:dyDescent="0.35">
      <c r="A360" s="41"/>
      <c r="B360" s="41"/>
      <c r="C360" s="41"/>
      <c r="D360" s="47"/>
      <c r="E360" s="42"/>
      <c r="F360" s="42"/>
      <c r="G360" s="42"/>
      <c r="H360" s="42"/>
      <c r="I360" s="42"/>
      <c r="J360" s="42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</row>
    <row r="361" spans="1:28" x14ac:dyDescent="0.35">
      <c r="A361" s="41"/>
      <c r="B361" s="41"/>
      <c r="C361" s="41"/>
      <c r="D361" s="47"/>
      <c r="E361" s="42"/>
      <c r="F361" s="42"/>
      <c r="G361" s="42"/>
      <c r="H361" s="42"/>
      <c r="I361" s="42"/>
      <c r="J361" s="42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</row>
    <row r="362" spans="1:28" x14ac:dyDescent="0.35">
      <c r="A362" s="41"/>
      <c r="B362" s="41"/>
      <c r="C362" s="41"/>
      <c r="D362" s="47"/>
      <c r="E362" s="42"/>
      <c r="F362" s="42"/>
      <c r="G362" s="42"/>
      <c r="H362" s="42"/>
      <c r="I362" s="42"/>
      <c r="J362" s="42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</row>
    <row r="363" spans="1:28" x14ac:dyDescent="0.35">
      <c r="A363" s="41"/>
      <c r="B363" s="41"/>
      <c r="C363" s="41"/>
      <c r="D363" s="47"/>
      <c r="E363" s="42"/>
      <c r="F363" s="42"/>
      <c r="G363" s="42"/>
      <c r="H363" s="42"/>
      <c r="I363" s="42"/>
      <c r="J363" s="42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</row>
    <row r="364" spans="1:28" x14ac:dyDescent="0.35">
      <c r="A364" s="41"/>
      <c r="B364" s="41"/>
      <c r="C364" s="41"/>
      <c r="D364" s="47"/>
      <c r="E364" s="42"/>
      <c r="F364" s="42"/>
      <c r="G364" s="42"/>
      <c r="H364" s="42"/>
      <c r="I364" s="42"/>
      <c r="J364" s="42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</row>
    <row r="365" spans="1:28" x14ac:dyDescent="0.35">
      <c r="A365" s="41"/>
      <c r="B365" s="41"/>
      <c r="C365" s="41"/>
      <c r="D365" s="47"/>
      <c r="E365" s="42"/>
      <c r="F365" s="42"/>
      <c r="G365" s="42"/>
      <c r="H365" s="42"/>
      <c r="I365" s="42"/>
      <c r="J365" s="42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</row>
    <row r="366" spans="1:28" x14ac:dyDescent="0.35">
      <c r="A366" s="41"/>
      <c r="B366" s="41"/>
      <c r="C366" s="41"/>
      <c r="D366" s="47"/>
      <c r="E366" s="42"/>
      <c r="F366" s="42"/>
      <c r="G366" s="42"/>
      <c r="H366" s="42"/>
      <c r="I366" s="42"/>
      <c r="J366" s="42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</row>
    <row r="367" spans="1:28" x14ac:dyDescent="0.35">
      <c r="A367" s="41"/>
      <c r="B367" s="41"/>
      <c r="C367" s="41"/>
      <c r="D367" s="47"/>
      <c r="E367" s="42"/>
      <c r="F367" s="42"/>
      <c r="G367" s="42"/>
      <c r="H367" s="42"/>
      <c r="I367" s="42"/>
      <c r="J367" s="42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</row>
    <row r="368" spans="1:28" x14ac:dyDescent="0.35">
      <c r="A368" s="41"/>
      <c r="B368" s="41"/>
      <c r="C368" s="41"/>
      <c r="D368" s="47"/>
      <c r="E368" s="42"/>
      <c r="F368" s="42"/>
      <c r="G368" s="42"/>
      <c r="H368" s="42"/>
      <c r="I368" s="42"/>
      <c r="J368" s="42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</row>
    <row r="369" spans="1:28" x14ac:dyDescent="0.35">
      <c r="A369" s="41"/>
      <c r="B369" s="41"/>
      <c r="C369" s="41"/>
      <c r="D369" s="47"/>
      <c r="E369" s="42"/>
      <c r="F369" s="42"/>
      <c r="G369" s="42"/>
      <c r="H369" s="42"/>
      <c r="I369" s="42"/>
      <c r="J369" s="42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</row>
    <row r="370" spans="1:28" x14ac:dyDescent="0.35">
      <c r="A370" s="41"/>
      <c r="B370" s="41"/>
      <c r="C370" s="41"/>
      <c r="D370" s="47"/>
      <c r="E370" s="42"/>
      <c r="F370" s="42"/>
      <c r="G370" s="42"/>
      <c r="H370" s="42"/>
      <c r="I370" s="42"/>
      <c r="J370" s="42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</row>
    <row r="371" spans="1:28" x14ac:dyDescent="0.35">
      <c r="A371" s="41"/>
      <c r="B371" s="41"/>
      <c r="C371" s="41"/>
      <c r="D371" s="47"/>
      <c r="E371" s="42"/>
      <c r="F371" s="42"/>
      <c r="G371" s="42"/>
      <c r="H371" s="42"/>
      <c r="I371" s="42"/>
      <c r="J371" s="42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</row>
    <row r="372" spans="1:28" x14ac:dyDescent="0.35">
      <c r="A372" s="41"/>
      <c r="B372" s="41"/>
      <c r="C372" s="41"/>
      <c r="D372" s="47"/>
      <c r="E372" s="42"/>
      <c r="F372" s="42"/>
      <c r="G372" s="42"/>
      <c r="H372" s="42"/>
      <c r="I372" s="42"/>
      <c r="J372" s="42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</row>
    <row r="373" spans="1:28" x14ac:dyDescent="0.35">
      <c r="A373" s="41"/>
      <c r="B373" s="41"/>
      <c r="C373" s="41"/>
      <c r="D373" s="47"/>
      <c r="E373" s="42"/>
      <c r="F373" s="42"/>
      <c r="G373" s="42"/>
      <c r="H373" s="42"/>
      <c r="I373" s="42"/>
      <c r="J373" s="42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</row>
    <row r="374" spans="1:28" x14ac:dyDescent="0.35">
      <c r="A374" s="41"/>
      <c r="B374" s="41"/>
      <c r="C374" s="41"/>
      <c r="D374" s="47"/>
      <c r="E374" s="42"/>
      <c r="F374" s="42"/>
      <c r="G374" s="42"/>
      <c r="H374" s="42"/>
      <c r="I374" s="42"/>
      <c r="J374" s="42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</row>
    <row r="375" spans="1:28" x14ac:dyDescent="0.35">
      <c r="A375" s="41"/>
      <c r="B375" s="41"/>
      <c r="C375" s="41"/>
      <c r="D375" s="47"/>
      <c r="E375" s="42"/>
      <c r="F375" s="42"/>
      <c r="G375" s="42"/>
      <c r="H375" s="42"/>
      <c r="I375" s="42"/>
      <c r="J375" s="42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</row>
    <row r="376" spans="1:28" x14ac:dyDescent="0.35">
      <c r="A376" s="41"/>
      <c r="B376" s="41"/>
      <c r="C376" s="41"/>
      <c r="D376" s="47"/>
      <c r="E376" s="42"/>
      <c r="F376" s="42"/>
      <c r="G376" s="42"/>
      <c r="H376" s="42"/>
      <c r="I376" s="42"/>
      <c r="J376" s="42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</row>
    <row r="377" spans="1:28" x14ac:dyDescent="0.35">
      <c r="A377" s="41"/>
      <c r="B377" s="41"/>
      <c r="C377" s="41"/>
      <c r="D377" s="47"/>
      <c r="E377" s="42"/>
      <c r="F377" s="42"/>
      <c r="G377" s="42"/>
      <c r="H377" s="42"/>
      <c r="I377" s="42"/>
      <c r="J377" s="42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</row>
    <row r="378" spans="1:28" x14ac:dyDescent="0.35">
      <c r="A378" s="41"/>
      <c r="B378" s="41"/>
      <c r="C378" s="41"/>
      <c r="D378" s="47"/>
      <c r="E378" s="42"/>
      <c r="F378" s="42"/>
      <c r="G378" s="42"/>
      <c r="H378" s="42"/>
      <c r="I378" s="42"/>
      <c r="J378" s="42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</row>
    <row r="379" spans="1:28" x14ac:dyDescent="0.35">
      <c r="A379" s="41"/>
      <c r="B379" s="41"/>
      <c r="C379" s="41"/>
      <c r="D379" s="47"/>
      <c r="E379" s="42"/>
      <c r="F379" s="42"/>
      <c r="G379" s="42"/>
      <c r="H379" s="42"/>
      <c r="I379" s="42"/>
      <c r="J379" s="42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</row>
    <row r="380" spans="1:28" x14ac:dyDescent="0.35">
      <c r="A380" s="41"/>
      <c r="B380" s="41"/>
      <c r="C380" s="41"/>
      <c r="D380" s="47"/>
      <c r="E380" s="42"/>
      <c r="F380" s="42"/>
      <c r="G380" s="42"/>
      <c r="H380" s="42"/>
      <c r="I380" s="42"/>
      <c r="J380" s="42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</row>
    <row r="381" spans="1:28" x14ac:dyDescent="0.35">
      <c r="A381" s="41"/>
      <c r="B381" s="41"/>
      <c r="C381" s="41"/>
      <c r="D381" s="47"/>
      <c r="E381" s="42"/>
      <c r="F381" s="42"/>
      <c r="G381" s="42"/>
      <c r="H381" s="42"/>
      <c r="I381" s="42"/>
      <c r="J381" s="42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</row>
    <row r="382" spans="1:28" x14ac:dyDescent="0.35">
      <c r="A382" s="41"/>
      <c r="B382" s="41"/>
      <c r="C382" s="41"/>
      <c r="D382" s="47"/>
      <c r="E382" s="42"/>
      <c r="F382" s="42"/>
      <c r="G382" s="42"/>
      <c r="H382" s="42"/>
      <c r="I382" s="42"/>
      <c r="J382" s="42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</row>
    <row r="383" spans="1:28" x14ac:dyDescent="0.35">
      <c r="A383" s="41"/>
      <c r="B383" s="41"/>
      <c r="C383" s="41"/>
      <c r="D383" s="47"/>
      <c r="E383" s="42"/>
      <c r="F383" s="42"/>
      <c r="G383" s="42"/>
      <c r="H383" s="42"/>
      <c r="I383" s="42"/>
      <c r="J383" s="42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</row>
    <row r="384" spans="1:28" x14ac:dyDescent="0.35">
      <c r="A384" s="41"/>
      <c r="B384" s="41"/>
      <c r="C384" s="41"/>
      <c r="D384" s="47"/>
      <c r="E384" s="42"/>
      <c r="F384" s="42"/>
      <c r="G384" s="42"/>
      <c r="H384" s="42"/>
      <c r="I384" s="42"/>
      <c r="J384" s="42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</row>
    <row r="385" spans="1:28" x14ac:dyDescent="0.35">
      <c r="A385" s="41"/>
      <c r="B385" s="41"/>
      <c r="C385" s="41"/>
      <c r="D385" s="47"/>
      <c r="E385" s="42"/>
      <c r="F385" s="42"/>
      <c r="G385" s="42"/>
      <c r="H385" s="42"/>
      <c r="I385" s="42"/>
      <c r="J385" s="42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</row>
    <row r="386" spans="1:28" x14ac:dyDescent="0.35">
      <c r="A386" s="41"/>
      <c r="B386" s="41"/>
      <c r="C386" s="41"/>
      <c r="D386" s="47"/>
      <c r="E386" s="42"/>
      <c r="F386" s="42"/>
      <c r="G386" s="42"/>
      <c r="H386" s="42"/>
      <c r="I386" s="42"/>
      <c r="J386" s="42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</row>
    <row r="387" spans="1:28" x14ac:dyDescent="0.35">
      <c r="A387" s="41"/>
      <c r="B387" s="41"/>
      <c r="C387" s="41"/>
      <c r="D387" s="47"/>
      <c r="E387" s="42"/>
      <c r="F387" s="42"/>
      <c r="G387" s="42"/>
      <c r="H387" s="42"/>
      <c r="I387" s="42"/>
      <c r="J387" s="42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</row>
    <row r="388" spans="1:28" x14ac:dyDescent="0.35">
      <c r="A388" s="41"/>
      <c r="B388" s="41"/>
      <c r="C388" s="41"/>
      <c r="D388" s="47"/>
      <c r="E388" s="42"/>
      <c r="F388" s="42"/>
      <c r="G388" s="42"/>
      <c r="H388" s="42"/>
      <c r="I388" s="42"/>
      <c r="J388" s="42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</row>
    <row r="389" spans="1:28" x14ac:dyDescent="0.35">
      <c r="A389" s="41"/>
      <c r="B389" s="41"/>
      <c r="C389" s="41"/>
      <c r="D389" s="47"/>
      <c r="E389" s="42"/>
      <c r="F389" s="42"/>
      <c r="G389" s="42"/>
      <c r="H389" s="42"/>
      <c r="I389" s="42"/>
      <c r="J389" s="42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</row>
    <row r="390" spans="1:28" x14ac:dyDescent="0.35">
      <c r="A390" s="41"/>
      <c r="B390" s="41"/>
      <c r="C390" s="41"/>
      <c r="D390" s="47"/>
      <c r="E390" s="42"/>
      <c r="F390" s="42"/>
      <c r="G390" s="42"/>
      <c r="H390" s="42"/>
      <c r="I390" s="42"/>
      <c r="J390" s="42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</row>
    <row r="391" spans="1:28" x14ac:dyDescent="0.35">
      <c r="A391" s="41"/>
      <c r="B391" s="41"/>
      <c r="C391" s="41"/>
      <c r="D391" s="47"/>
      <c r="E391" s="42"/>
      <c r="F391" s="42"/>
      <c r="G391" s="42"/>
      <c r="H391" s="42"/>
      <c r="I391" s="42"/>
      <c r="J391" s="42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</row>
    <row r="392" spans="1:28" x14ac:dyDescent="0.35">
      <c r="A392" s="41"/>
      <c r="B392" s="41"/>
      <c r="C392" s="41"/>
      <c r="D392" s="47"/>
      <c r="E392" s="42"/>
      <c r="F392" s="42"/>
      <c r="G392" s="42"/>
      <c r="H392" s="42"/>
      <c r="I392" s="42"/>
      <c r="J392" s="42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</row>
    <row r="393" spans="1:28" x14ac:dyDescent="0.35">
      <c r="A393" s="41"/>
      <c r="B393" s="41"/>
      <c r="C393" s="41"/>
      <c r="D393" s="47"/>
      <c r="E393" s="42"/>
      <c r="F393" s="42"/>
      <c r="G393" s="42"/>
      <c r="H393" s="42"/>
      <c r="I393" s="42"/>
      <c r="J393" s="42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</row>
    <row r="394" spans="1:28" x14ac:dyDescent="0.35">
      <c r="A394" s="41"/>
      <c r="B394" s="41"/>
      <c r="C394" s="41"/>
      <c r="D394" s="47"/>
      <c r="E394" s="42"/>
      <c r="F394" s="42"/>
      <c r="G394" s="42"/>
      <c r="H394" s="42"/>
      <c r="I394" s="42"/>
      <c r="J394" s="42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</row>
    <row r="395" spans="1:28" x14ac:dyDescent="0.35">
      <c r="A395" s="41"/>
      <c r="B395" s="41"/>
      <c r="C395" s="41"/>
      <c r="D395" s="47"/>
      <c r="E395" s="42"/>
      <c r="F395" s="42"/>
      <c r="G395" s="42"/>
      <c r="H395" s="42"/>
      <c r="I395" s="42"/>
      <c r="J395" s="42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</row>
    <row r="396" spans="1:28" x14ac:dyDescent="0.35">
      <c r="A396" s="41"/>
      <c r="B396" s="41"/>
      <c r="C396" s="41"/>
      <c r="D396" s="47"/>
      <c r="E396" s="42"/>
      <c r="F396" s="42"/>
      <c r="G396" s="42"/>
      <c r="H396" s="42"/>
      <c r="I396" s="42"/>
      <c r="J396" s="42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</row>
    <row r="397" spans="1:28" x14ac:dyDescent="0.35">
      <c r="A397" s="41"/>
      <c r="B397" s="41"/>
      <c r="C397" s="41"/>
      <c r="D397" s="47"/>
      <c r="E397" s="42"/>
      <c r="F397" s="42"/>
      <c r="G397" s="42"/>
      <c r="H397" s="42"/>
      <c r="I397" s="42"/>
      <c r="J397" s="42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</row>
    <row r="398" spans="1:28" x14ac:dyDescent="0.35">
      <c r="A398" s="41"/>
      <c r="B398" s="41"/>
      <c r="C398" s="41"/>
      <c r="D398" s="47"/>
      <c r="E398" s="42"/>
      <c r="F398" s="42"/>
      <c r="G398" s="42"/>
      <c r="H398" s="42"/>
      <c r="I398" s="42"/>
      <c r="J398" s="42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</row>
    <row r="399" spans="1:28" x14ac:dyDescent="0.35">
      <c r="A399" s="41"/>
      <c r="B399" s="41"/>
      <c r="C399" s="41"/>
      <c r="D399" s="47"/>
      <c r="E399" s="42"/>
      <c r="F399" s="42"/>
      <c r="G399" s="42"/>
      <c r="H399" s="42"/>
      <c r="I399" s="42"/>
      <c r="J399" s="42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</row>
    <row r="400" spans="1:28" x14ac:dyDescent="0.35">
      <c r="A400" s="41"/>
      <c r="B400" s="41"/>
      <c r="C400" s="41"/>
      <c r="D400" s="47"/>
      <c r="E400" s="42"/>
      <c r="F400" s="42"/>
      <c r="G400" s="42"/>
      <c r="H400" s="42"/>
      <c r="I400" s="42"/>
      <c r="J400" s="42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</row>
    <row r="401" spans="1:28" x14ac:dyDescent="0.35">
      <c r="A401" s="41"/>
      <c r="B401" s="41"/>
      <c r="C401" s="41"/>
      <c r="D401" s="47"/>
      <c r="E401" s="42"/>
      <c r="F401" s="42"/>
      <c r="G401" s="42"/>
      <c r="H401" s="42"/>
      <c r="I401" s="42"/>
      <c r="J401" s="42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</row>
    <row r="402" spans="1:28" x14ac:dyDescent="0.35">
      <c r="A402" s="41"/>
      <c r="B402" s="41"/>
      <c r="C402" s="41"/>
      <c r="D402" s="47"/>
      <c r="E402" s="42"/>
      <c r="F402" s="42"/>
      <c r="G402" s="42"/>
      <c r="H402" s="42"/>
      <c r="I402" s="42"/>
      <c r="J402" s="42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</row>
    <row r="403" spans="1:28" x14ac:dyDescent="0.35">
      <c r="A403" s="41"/>
      <c r="B403" s="41"/>
      <c r="C403" s="41"/>
      <c r="D403" s="47"/>
      <c r="E403" s="42"/>
      <c r="F403" s="42"/>
      <c r="G403" s="42"/>
      <c r="H403" s="42"/>
      <c r="I403" s="42"/>
      <c r="J403" s="42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</row>
    <row r="404" spans="1:28" x14ac:dyDescent="0.35">
      <c r="A404" s="41"/>
      <c r="B404" s="41"/>
      <c r="C404" s="41"/>
      <c r="D404" s="47"/>
      <c r="E404" s="42"/>
      <c r="F404" s="42"/>
      <c r="G404" s="42"/>
      <c r="H404" s="42"/>
      <c r="I404" s="42"/>
      <c r="J404" s="42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</row>
    <row r="405" spans="1:28" x14ac:dyDescent="0.35">
      <c r="A405" s="41"/>
      <c r="B405" s="41"/>
      <c r="C405" s="41"/>
      <c r="D405" s="47"/>
      <c r="E405" s="42"/>
      <c r="F405" s="42"/>
      <c r="G405" s="42"/>
      <c r="H405" s="42"/>
      <c r="I405" s="42"/>
      <c r="J405" s="42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</row>
    <row r="406" spans="1:28" x14ac:dyDescent="0.35">
      <c r="A406" s="41"/>
      <c r="B406" s="41"/>
      <c r="C406" s="41"/>
      <c r="D406" s="47"/>
      <c r="E406" s="42"/>
      <c r="F406" s="42"/>
      <c r="G406" s="42"/>
      <c r="H406" s="42"/>
      <c r="I406" s="42"/>
      <c r="J406" s="42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</row>
    <row r="407" spans="1:28" x14ac:dyDescent="0.35">
      <c r="A407" s="41"/>
      <c r="B407" s="41"/>
      <c r="C407" s="41"/>
      <c r="D407" s="47"/>
      <c r="E407" s="42"/>
      <c r="F407" s="42"/>
      <c r="G407" s="42"/>
      <c r="H407" s="42"/>
      <c r="I407" s="42"/>
      <c r="J407" s="42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</row>
    <row r="408" spans="1:28" x14ac:dyDescent="0.35">
      <c r="A408" s="41"/>
      <c r="B408" s="41"/>
      <c r="C408" s="41"/>
      <c r="D408" s="47"/>
      <c r="E408" s="42"/>
      <c r="F408" s="42"/>
      <c r="G408" s="42"/>
      <c r="H408" s="42"/>
      <c r="I408" s="42"/>
      <c r="J408" s="42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</row>
    <row r="409" spans="1:28" x14ac:dyDescent="0.35">
      <c r="A409" s="41"/>
      <c r="B409" s="41"/>
      <c r="C409" s="41"/>
      <c r="D409" s="47"/>
      <c r="E409" s="42"/>
      <c r="F409" s="42"/>
      <c r="G409" s="42"/>
      <c r="H409" s="42"/>
      <c r="I409" s="42"/>
      <c r="J409" s="42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</row>
    <row r="410" spans="1:28" x14ac:dyDescent="0.35">
      <c r="A410" s="41"/>
      <c r="B410" s="41"/>
      <c r="C410" s="41"/>
      <c r="D410" s="47"/>
      <c r="E410" s="42"/>
      <c r="F410" s="42"/>
      <c r="G410" s="42"/>
      <c r="H410" s="42"/>
      <c r="I410" s="42"/>
      <c r="J410" s="42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</row>
    <row r="411" spans="1:28" x14ac:dyDescent="0.35">
      <c r="A411" s="41"/>
      <c r="B411" s="41"/>
      <c r="C411" s="41"/>
      <c r="D411" s="47"/>
      <c r="E411" s="42"/>
      <c r="F411" s="42"/>
      <c r="G411" s="42"/>
      <c r="H411" s="42"/>
      <c r="I411" s="42"/>
      <c r="J411" s="42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</row>
    <row r="412" spans="1:28" x14ac:dyDescent="0.35">
      <c r="A412" s="41"/>
      <c r="B412" s="41"/>
      <c r="C412" s="41"/>
      <c r="D412" s="47"/>
      <c r="E412" s="42"/>
      <c r="F412" s="42"/>
      <c r="G412" s="42"/>
      <c r="H412" s="42"/>
      <c r="I412" s="42"/>
      <c r="J412" s="42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</row>
    <row r="413" spans="1:28" x14ac:dyDescent="0.35">
      <c r="A413" s="41"/>
      <c r="B413" s="41"/>
      <c r="C413" s="41"/>
      <c r="D413" s="47"/>
      <c r="E413" s="42"/>
      <c r="F413" s="42"/>
      <c r="G413" s="42"/>
      <c r="H413" s="42"/>
      <c r="I413" s="42"/>
      <c r="J413" s="42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</row>
    <row r="414" spans="1:28" x14ac:dyDescent="0.35">
      <c r="A414" s="41"/>
      <c r="B414" s="41"/>
      <c r="C414" s="41"/>
      <c r="D414" s="47"/>
      <c r="E414" s="42"/>
      <c r="F414" s="42"/>
      <c r="G414" s="42"/>
      <c r="H414" s="42"/>
      <c r="I414" s="42"/>
      <c r="J414" s="42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</row>
    <row r="415" spans="1:28" x14ac:dyDescent="0.35">
      <c r="A415" s="41"/>
      <c r="B415" s="41"/>
      <c r="C415" s="41"/>
      <c r="D415" s="47"/>
      <c r="E415" s="42"/>
      <c r="F415" s="42"/>
      <c r="G415" s="42"/>
      <c r="H415" s="42"/>
      <c r="I415" s="42"/>
      <c r="J415" s="42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</row>
    <row r="416" spans="1:28" x14ac:dyDescent="0.35">
      <c r="A416" s="41"/>
      <c r="B416" s="41"/>
      <c r="C416" s="41"/>
      <c r="D416" s="47"/>
      <c r="E416" s="42"/>
      <c r="F416" s="42"/>
      <c r="G416" s="42"/>
      <c r="H416" s="42"/>
      <c r="I416" s="42"/>
      <c r="J416" s="42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</row>
    <row r="417" spans="1:28" x14ac:dyDescent="0.35">
      <c r="A417" s="41"/>
      <c r="B417" s="41"/>
      <c r="C417" s="41"/>
      <c r="D417" s="47"/>
      <c r="E417" s="42"/>
      <c r="F417" s="42"/>
      <c r="G417" s="42"/>
      <c r="H417" s="42"/>
      <c r="I417" s="42"/>
      <c r="J417" s="42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</row>
    <row r="418" spans="1:28" x14ac:dyDescent="0.35">
      <c r="A418" s="41"/>
      <c r="B418" s="41"/>
      <c r="C418" s="41"/>
      <c r="D418" s="47"/>
      <c r="E418" s="42"/>
      <c r="F418" s="42"/>
      <c r="G418" s="42"/>
      <c r="H418" s="42"/>
      <c r="I418" s="42"/>
      <c r="J418" s="42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</row>
    <row r="419" spans="1:28" x14ac:dyDescent="0.35">
      <c r="A419" s="41"/>
      <c r="B419" s="41"/>
      <c r="C419" s="41"/>
      <c r="D419" s="47"/>
      <c r="E419" s="42"/>
      <c r="F419" s="42"/>
      <c r="G419" s="42"/>
      <c r="H419" s="42"/>
      <c r="I419" s="42"/>
      <c r="J419" s="42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</row>
    <row r="420" spans="1:28" x14ac:dyDescent="0.35">
      <c r="A420" s="41"/>
      <c r="B420" s="41"/>
      <c r="C420" s="41"/>
      <c r="D420" s="47"/>
      <c r="E420" s="42"/>
      <c r="F420" s="42"/>
      <c r="G420" s="42"/>
      <c r="H420" s="42"/>
      <c r="I420" s="42"/>
      <c r="J420" s="42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</row>
    <row r="421" spans="1:28" x14ac:dyDescent="0.35">
      <c r="A421" s="41"/>
      <c r="B421" s="41"/>
      <c r="C421" s="41"/>
      <c r="D421" s="47"/>
      <c r="E421" s="42"/>
      <c r="F421" s="42"/>
      <c r="G421" s="42"/>
      <c r="H421" s="42"/>
      <c r="I421" s="42"/>
      <c r="J421" s="42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</row>
    <row r="422" spans="1:28" x14ac:dyDescent="0.35">
      <c r="A422" s="41"/>
      <c r="B422" s="41"/>
      <c r="C422" s="41"/>
      <c r="D422" s="47"/>
      <c r="E422" s="42"/>
      <c r="F422" s="42"/>
      <c r="G422" s="42"/>
      <c r="H422" s="42"/>
      <c r="I422" s="42"/>
      <c r="J422" s="42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</row>
    <row r="423" spans="1:28" x14ac:dyDescent="0.35">
      <c r="A423" s="41"/>
      <c r="B423" s="41"/>
      <c r="C423" s="41"/>
      <c r="D423" s="47"/>
      <c r="E423" s="42"/>
      <c r="F423" s="42"/>
      <c r="G423" s="42"/>
      <c r="H423" s="42"/>
      <c r="I423" s="42"/>
      <c r="J423" s="42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</row>
    <row r="424" spans="1:28" x14ac:dyDescent="0.35">
      <c r="A424" s="41"/>
      <c r="B424" s="41"/>
      <c r="C424" s="41"/>
      <c r="D424" s="47"/>
      <c r="E424" s="42"/>
      <c r="F424" s="42"/>
      <c r="G424" s="42"/>
      <c r="H424" s="42"/>
      <c r="I424" s="42"/>
      <c r="J424" s="42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</row>
    <row r="425" spans="1:28" x14ac:dyDescent="0.35">
      <c r="A425" s="41"/>
      <c r="B425" s="41"/>
      <c r="C425" s="41"/>
      <c r="D425" s="47"/>
      <c r="E425" s="42"/>
      <c r="F425" s="42"/>
      <c r="G425" s="42"/>
      <c r="H425" s="42"/>
      <c r="I425" s="42"/>
      <c r="J425" s="42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</row>
    <row r="426" spans="1:28" x14ac:dyDescent="0.35">
      <c r="A426" s="41"/>
      <c r="B426" s="41"/>
      <c r="C426" s="41"/>
      <c r="D426" s="47"/>
      <c r="E426" s="42"/>
      <c r="F426" s="42"/>
      <c r="G426" s="42"/>
      <c r="H426" s="42"/>
      <c r="I426" s="42"/>
      <c r="J426" s="42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</row>
    <row r="427" spans="1:28" x14ac:dyDescent="0.35">
      <c r="A427" s="41"/>
      <c r="B427" s="41"/>
      <c r="C427" s="41"/>
      <c r="D427" s="47"/>
      <c r="E427" s="42"/>
      <c r="F427" s="42"/>
      <c r="G427" s="42"/>
      <c r="H427" s="42"/>
      <c r="I427" s="42"/>
      <c r="J427" s="42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</row>
    <row r="428" spans="1:28" x14ac:dyDescent="0.35">
      <c r="A428" s="41"/>
      <c r="B428" s="41"/>
      <c r="C428" s="41"/>
      <c r="D428" s="47"/>
      <c r="E428" s="42"/>
      <c r="F428" s="42"/>
      <c r="G428" s="42"/>
      <c r="H428" s="42"/>
      <c r="I428" s="42"/>
      <c r="J428" s="42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</row>
    <row r="429" spans="1:28" x14ac:dyDescent="0.35">
      <c r="A429" s="41"/>
      <c r="B429" s="41"/>
      <c r="C429" s="41"/>
      <c r="D429" s="47"/>
      <c r="E429" s="42"/>
      <c r="F429" s="42"/>
      <c r="G429" s="42"/>
      <c r="H429" s="42"/>
      <c r="I429" s="42"/>
      <c r="J429" s="42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</row>
    <row r="430" spans="1:28" x14ac:dyDescent="0.35">
      <c r="A430" s="41"/>
      <c r="B430" s="41"/>
      <c r="C430" s="41"/>
      <c r="D430" s="47"/>
      <c r="E430" s="42"/>
      <c r="F430" s="42"/>
      <c r="G430" s="42"/>
      <c r="H430" s="42"/>
      <c r="I430" s="42"/>
      <c r="J430" s="42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</row>
    <row r="431" spans="1:28" x14ac:dyDescent="0.35">
      <c r="A431" s="41"/>
      <c r="B431" s="41"/>
      <c r="C431" s="41"/>
      <c r="D431" s="47"/>
      <c r="E431" s="42"/>
      <c r="F431" s="42"/>
      <c r="G431" s="42"/>
      <c r="H431" s="42"/>
      <c r="I431" s="42"/>
      <c r="J431" s="42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</row>
    <row r="432" spans="1:28" x14ac:dyDescent="0.35">
      <c r="A432" s="41"/>
      <c r="B432" s="41"/>
      <c r="C432" s="41"/>
      <c r="D432" s="47"/>
      <c r="E432" s="42"/>
      <c r="F432" s="42"/>
      <c r="G432" s="42"/>
      <c r="H432" s="42"/>
      <c r="I432" s="42"/>
      <c r="J432" s="42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</row>
    <row r="433" spans="1:28" x14ac:dyDescent="0.35">
      <c r="A433" s="41"/>
      <c r="B433" s="41"/>
      <c r="C433" s="41"/>
      <c r="D433" s="47"/>
      <c r="E433" s="42"/>
      <c r="F433" s="42"/>
      <c r="G433" s="42"/>
      <c r="H433" s="42"/>
      <c r="I433" s="42"/>
      <c r="J433" s="42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</row>
    <row r="434" spans="1:28" x14ac:dyDescent="0.35">
      <c r="A434" s="41"/>
      <c r="B434" s="41"/>
      <c r="C434" s="41"/>
      <c r="D434" s="47"/>
      <c r="E434" s="42"/>
      <c r="F434" s="42"/>
      <c r="G434" s="42"/>
      <c r="H434" s="42"/>
      <c r="I434" s="42"/>
      <c r="J434" s="42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</row>
    <row r="435" spans="1:28" x14ac:dyDescent="0.35">
      <c r="A435" s="41"/>
      <c r="B435" s="41"/>
      <c r="C435" s="41"/>
      <c r="D435" s="47"/>
      <c r="E435" s="42"/>
      <c r="F435" s="42"/>
      <c r="G435" s="42"/>
      <c r="H435" s="42"/>
      <c r="I435" s="42"/>
      <c r="J435" s="42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</row>
    <row r="436" spans="1:28" x14ac:dyDescent="0.35">
      <c r="A436" s="41"/>
      <c r="B436" s="41"/>
      <c r="C436" s="41"/>
      <c r="D436" s="47"/>
      <c r="E436" s="42"/>
      <c r="F436" s="42"/>
      <c r="G436" s="42"/>
      <c r="H436" s="42"/>
      <c r="I436" s="42"/>
      <c r="J436" s="42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</row>
    <row r="437" spans="1:28" x14ac:dyDescent="0.35">
      <c r="A437" s="41"/>
      <c r="B437" s="41"/>
      <c r="C437" s="41"/>
      <c r="D437" s="47"/>
      <c r="E437" s="42"/>
      <c r="F437" s="42"/>
      <c r="G437" s="42"/>
      <c r="H437" s="42"/>
      <c r="I437" s="42"/>
      <c r="J437" s="42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</row>
    <row r="438" spans="1:28" x14ac:dyDescent="0.35">
      <c r="A438" s="41"/>
      <c r="B438" s="41"/>
      <c r="C438" s="41"/>
      <c r="D438" s="47"/>
      <c r="E438" s="42"/>
      <c r="F438" s="42"/>
      <c r="G438" s="42"/>
      <c r="H438" s="42"/>
      <c r="I438" s="42"/>
      <c r="J438" s="42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</row>
    <row r="439" spans="1:28" x14ac:dyDescent="0.35">
      <c r="A439" s="41"/>
      <c r="B439" s="41"/>
      <c r="C439" s="41"/>
      <c r="D439" s="47"/>
      <c r="E439" s="42"/>
      <c r="F439" s="42"/>
      <c r="G439" s="42"/>
      <c r="H439" s="42"/>
      <c r="I439" s="42"/>
      <c r="J439" s="42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</row>
    <row r="440" spans="1:28" x14ac:dyDescent="0.35">
      <c r="A440" s="41"/>
      <c r="B440" s="41"/>
      <c r="C440" s="41"/>
      <c r="D440" s="47"/>
      <c r="E440" s="42"/>
      <c r="F440" s="42"/>
      <c r="G440" s="42"/>
      <c r="H440" s="42"/>
      <c r="I440" s="42"/>
      <c r="J440" s="42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</row>
    <row r="441" spans="1:28" x14ac:dyDescent="0.35">
      <c r="A441" s="41"/>
      <c r="B441" s="41"/>
      <c r="C441" s="41"/>
      <c r="D441" s="47"/>
      <c r="E441" s="42"/>
      <c r="F441" s="42"/>
      <c r="G441" s="42"/>
      <c r="H441" s="42"/>
      <c r="I441" s="42"/>
      <c r="J441" s="42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</row>
    <row r="442" spans="1:28" x14ac:dyDescent="0.35">
      <c r="A442" s="41"/>
      <c r="B442" s="41"/>
      <c r="C442" s="41"/>
      <c r="D442" s="47"/>
      <c r="E442" s="42"/>
      <c r="F442" s="42"/>
      <c r="G442" s="42"/>
      <c r="H442" s="42"/>
      <c r="I442" s="42"/>
      <c r="J442" s="42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</row>
    <row r="443" spans="1:28" x14ac:dyDescent="0.35">
      <c r="A443" s="41"/>
      <c r="B443" s="41"/>
      <c r="C443" s="41"/>
      <c r="D443" s="47"/>
      <c r="E443" s="42"/>
      <c r="F443" s="42"/>
      <c r="G443" s="42"/>
      <c r="H443" s="42"/>
      <c r="I443" s="42"/>
      <c r="J443" s="42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</row>
    <row r="444" spans="1:28" x14ac:dyDescent="0.35">
      <c r="A444" s="41"/>
      <c r="B444" s="41"/>
      <c r="C444" s="41"/>
      <c r="D444" s="47"/>
      <c r="E444" s="42"/>
      <c r="F444" s="42"/>
      <c r="G444" s="42"/>
      <c r="H444" s="42"/>
      <c r="I444" s="42"/>
      <c r="J444" s="42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</row>
    <row r="445" spans="1:28" x14ac:dyDescent="0.35">
      <c r="A445" s="41"/>
      <c r="B445" s="41"/>
      <c r="C445" s="41"/>
      <c r="D445" s="47"/>
      <c r="E445" s="42"/>
      <c r="F445" s="42"/>
      <c r="G445" s="42"/>
      <c r="H445" s="42"/>
      <c r="I445" s="42"/>
      <c r="J445" s="42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</row>
    <row r="446" spans="1:28" x14ac:dyDescent="0.35">
      <c r="A446" s="41"/>
      <c r="B446" s="41"/>
      <c r="C446" s="41"/>
      <c r="D446" s="47"/>
      <c r="E446" s="42"/>
      <c r="F446" s="42"/>
      <c r="G446" s="42"/>
      <c r="H446" s="42"/>
      <c r="I446" s="42"/>
      <c r="J446" s="42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</row>
    <row r="447" spans="1:28" x14ac:dyDescent="0.35">
      <c r="A447" s="41"/>
      <c r="B447" s="41"/>
      <c r="C447" s="41"/>
      <c r="D447" s="47"/>
      <c r="E447" s="42"/>
      <c r="F447" s="42"/>
      <c r="G447" s="42"/>
      <c r="H447" s="42"/>
      <c r="I447" s="42"/>
      <c r="J447" s="42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</row>
    <row r="448" spans="1:28" x14ac:dyDescent="0.35">
      <c r="A448" s="41"/>
      <c r="B448" s="41"/>
      <c r="C448" s="41"/>
      <c r="D448" s="47"/>
      <c r="E448" s="42"/>
      <c r="F448" s="42"/>
      <c r="G448" s="42"/>
      <c r="H448" s="42"/>
      <c r="I448" s="42"/>
      <c r="J448" s="42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</row>
    <row r="449" spans="1:28" x14ac:dyDescent="0.35">
      <c r="A449" s="41"/>
      <c r="B449" s="41"/>
      <c r="C449" s="41"/>
      <c r="D449" s="47"/>
      <c r="E449" s="42"/>
      <c r="F449" s="42"/>
      <c r="G449" s="42"/>
      <c r="H449" s="42"/>
      <c r="I449" s="42"/>
      <c r="J449" s="42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</row>
    <row r="450" spans="1:28" x14ac:dyDescent="0.35">
      <c r="A450" s="41"/>
      <c r="B450" s="41"/>
      <c r="C450" s="41"/>
      <c r="D450" s="47"/>
      <c r="E450" s="42"/>
      <c r="F450" s="42"/>
      <c r="G450" s="42"/>
      <c r="H450" s="42"/>
      <c r="I450" s="42"/>
      <c r="J450" s="42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</row>
    <row r="451" spans="1:28" x14ac:dyDescent="0.35">
      <c r="A451" s="41"/>
      <c r="B451" s="41"/>
      <c r="C451" s="41"/>
      <c r="D451" s="47"/>
      <c r="E451" s="42"/>
      <c r="F451" s="42"/>
      <c r="G451" s="42"/>
      <c r="H451" s="42"/>
      <c r="I451" s="42"/>
      <c r="J451" s="42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</row>
    <row r="452" spans="1:28" x14ac:dyDescent="0.35">
      <c r="A452" s="41"/>
      <c r="B452" s="41"/>
      <c r="C452" s="41"/>
      <c r="D452" s="47"/>
      <c r="E452" s="42"/>
      <c r="F452" s="42"/>
      <c r="G452" s="42"/>
      <c r="H452" s="42"/>
      <c r="I452" s="42"/>
      <c r="J452" s="42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</row>
    <row r="453" spans="1:28" x14ac:dyDescent="0.35">
      <c r="A453" s="41"/>
      <c r="B453" s="41"/>
      <c r="C453" s="41"/>
      <c r="D453" s="47"/>
      <c r="E453" s="42"/>
      <c r="F453" s="42"/>
      <c r="G453" s="42"/>
      <c r="H453" s="42"/>
      <c r="I453" s="42"/>
      <c r="J453" s="42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</row>
    <row r="454" spans="1:28" x14ac:dyDescent="0.35">
      <c r="A454" s="41"/>
      <c r="B454" s="41"/>
      <c r="C454" s="41"/>
      <c r="D454" s="47"/>
      <c r="E454" s="42"/>
      <c r="F454" s="42"/>
      <c r="G454" s="42"/>
      <c r="H454" s="42"/>
      <c r="I454" s="42"/>
      <c r="J454" s="42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</row>
    <row r="455" spans="1:28" x14ac:dyDescent="0.35">
      <c r="A455" s="41"/>
      <c r="B455" s="41"/>
      <c r="C455" s="41"/>
      <c r="D455" s="47"/>
      <c r="E455" s="42"/>
      <c r="F455" s="42"/>
      <c r="G455" s="42"/>
      <c r="H455" s="42"/>
      <c r="I455" s="42"/>
      <c r="J455" s="42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</row>
    <row r="456" spans="1:28" x14ac:dyDescent="0.35">
      <c r="A456" s="41"/>
      <c r="B456" s="41"/>
      <c r="C456" s="41"/>
      <c r="D456" s="47"/>
      <c r="E456" s="42"/>
      <c r="F456" s="42"/>
      <c r="G456" s="42"/>
      <c r="H456" s="42"/>
      <c r="I456" s="42"/>
      <c r="J456" s="42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</row>
    <row r="457" spans="1:28" x14ac:dyDescent="0.35">
      <c r="A457" s="41"/>
      <c r="B457" s="41"/>
      <c r="C457" s="41"/>
      <c r="D457" s="47"/>
      <c r="E457" s="42"/>
      <c r="F457" s="42"/>
      <c r="G457" s="42"/>
      <c r="H457" s="42"/>
      <c r="I457" s="42"/>
      <c r="J457" s="42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</row>
    <row r="458" spans="1:28" x14ac:dyDescent="0.35">
      <c r="A458" s="41"/>
      <c r="B458" s="41"/>
      <c r="C458" s="41"/>
      <c r="D458" s="47"/>
      <c r="E458" s="42"/>
      <c r="F458" s="42"/>
      <c r="G458" s="42"/>
      <c r="H458" s="42"/>
      <c r="I458" s="42"/>
      <c r="J458" s="42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</row>
    <row r="459" spans="1:28" x14ac:dyDescent="0.35">
      <c r="A459" s="41"/>
      <c r="B459" s="41"/>
      <c r="C459" s="41"/>
      <c r="D459" s="47"/>
      <c r="E459" s="42"/>
      <c r="F459" s="42"/>
      <c r="G459" s="42"/>
      <c r="H459" s="42"/>
      <c r="I459" s="42"/>
      <c r="J459" s="42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</row>
    <row r="460" spans="1:28" x14ac:dyDescent="0.35">
      <c r="A460" s="41"/>
      <c r="B460" s="41"/>
      <c r="C460" s="41"/>
      <c r="D460" s="47"/>
      <c r="E460" s="42"/>
      <c r="F460" s="42"/>
      <c r="G460" s="42"/>
      <c r="H460" s="42"/>
      <c r="I460" s="42"/>
      <c r="J460" s="42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</row>
    <row r="461" spans="1:28" x14ac:dyDescent="0.35">
      <c r="A461" s="41"/>
      <c r="B461" s="41"/>
      <c r="C461" s="41"/>
      <c r="D461" s="47"/>
      <c r="E461" s="42"/>
      <c r="F461" s="42"/>
      <c r="G461" s="42"/>
      <c r="H461" s="42"/>
      <c r="I461" s="42"/>
      <c r="J461" s="42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</row>
    <row r="462" spans="1:28" x14ac:dyDescent="0.35">
      <c r="A462" s="41"/>
      <c r="B462" s="41"/>
      <c r="C462" s="41"/>
      <c r="D462" s="47"/>
      <c r="E462" s="42"/>
      <c r="F462" s="42"/>
      <c r="G462" s="42"/>
      <c r="H462" s="42"/>
      <c r="I462" s="42"/>
      <c r="J462" s="42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</row>
    <row r="463" spans="1:28" x14ac:dyDescent="0.35">
      <c r="A463" s="41"/>
      <c r="B463" s="41"/>
      <c r="C463" s="41"/>
      <c r="D463" s="47"/>
      <c r="E463" s="42"/>
      <c r="F463" s="42"/>
      <c r="G463" s="42"/>
      <c r="H463" s="42"/>
      <c r="I463" s="42"/>
      <c r="J463" s="42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</row>
    <row r="464" spans="1:28" x14ac:dyDescent="0.35">
      <c r="A464" s="41"/>
      <c r="B464" s="41"/>
      <c r="C464" s="41"/>
      <c r="D464" s="47"/>
      <c r="E464" s="42"/>
      <c r="F464" s="42"/>
      <c r="G464" s="42"/>
      <c r="H464" s="42"/>
      <c r="I464" s="42"/>
      <c r="J464" s="42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</row>
    <row r="465" spans="1:28" x14ac:dyDescent="0.35">
      <c r="A465" s="41"/>
      <c r="B465" s="41"/>
      <c r="C465" s="41"/>
      <c r="D465" s="47"/>
      <c r="E465" s="42"/>
      <c r="F465" s="42"/>
      <c r="G465" s="42"/>
      <c r="H465" s="42"/>
      <c r="I465" s="42"/>
      <c r="J465" s="42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</row>
    <row r="466" spans="1:28" x14ac:dyDescent="0.35">
      <c r="A466" s="41"/>
      <c r="B466" s="41"/>
      <c r="C466" s="41"/>
      <c r="D466" s="47"/>
      <c r="E466" s="42"/>
      <c r="F466" s="42"/>
      <c r="G466" s="42"/>
      <c r="H466" s="42"/>
      <c r="I466" s="42"/>
      <c r="J466" s="42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</row>
    <row r="467" spans="1:28" x14ac:dyDescent="0.35">
      <c r="A467" s="41"/>
      <c r="B467" s="41"/>
      <c r="C467" s="41"/>
      <c r="D467" s="47"/>
      <c r="E467" s="42"/>
      <c r="F467" s="42"/>
      <c r="G467" s="42"/>
      <c r="H467" s="42"/>
      <c r="I467" s="42"/>
      <c r="J467" s="42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</row>
    <row r="468" spans="1:28" x14ac:dyDescent="0.35">
      <c r="A468" s="41"/>
      <c r="B468" s="41"/>
      <c r="C468" s="41"/>
      <c r="D468" s="47"/>
      <c r="E468" s="42"/>
      <c r="F468" s="42"/>
      <c r="G468" s="42"/>
      <c r="H468" s="42"/>
      <c r="I468" s="42"/>
      <c r="J468" s="42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</row>
    <row r="469" spans="1:28" x14ac:dyDescent="0.35">
      <c r="A469" s="41"/>
      <c r="B469" s="41"/>
      <c r="C469" s="41"/>
      <c r="D469" s="47"/>
      <c r="E469" s="42"/>
      <c r="F469" s="42"/>
      <c r="G469" s="42"/>
      <c r="H469" s="42"/>
      <c r="I469" s="42"/>
      <c r="J469" s="42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</row>
    <row r="470" spans="1:28" x14ac:dyDescent="0.35">
      <c r="A470" s="41"/>
      <c r="B470" s="41"/>
      <c r="C470" s="41"/>
      <c r="D470" s="47"/>
      <c r="E470" s="42"/>
      <c r="F470" s="42"/>
      <c r="G470" s="42"/>
      <c r="H470" s="42"/>
      <c r="I470" s="42"/>
      <c r="J470" s="42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</row>
    <row r="471" spans="1:28" x14ac:dyDescent="0.35">
      <c r="A471" s="41"/>
      <c r="B471" s="41"/>
      <c r="C471" s="41"/>
      <c r="D471" s="47"/>
      <c r="E471" s="42"/>
      <c r="F471" s="42"/>
      <c r="G471" s="42"/>
      <c r="H471" s="42"/>
      <c r="I471" s="42"/>
      <c r="J471" s="42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</row>
    <row r="472" spans="1:28" x14ac:dyDescent="0.35">
      <c r="A472" s="41"/>
      <c r="B472" s="41"/>
      <c r="C472" s="41"/>
      <c r="D472" s="47"/>
      <c r="E472" s="42"/>
      <c r="F472" s="42"/>
      <c r="G472" s="42"/>
      <c r="H472" s="42"/>
      <c r="I472" s="42"/>
      <c r="J472" s="42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</row>
    <row r="473" spans="1:28" x14ac:dyDescent="0.35">
      <c r="A473" s="41"/>
      <c r="B473" s="41"/>
      <c r="C473" s="41"/>
      <c r="D473" s="47"/>
      <c r="E473" s="42"/>
      <c r="F473" s="42"/>
      <c r="G473" s="42"/>
      <c r="H473" s="42"/>
      <c r="I473" s="42"/>
      <c r="J473" s="42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</row>
    <row r="474" spans="1:28" x14ac:dyDescent="0.35">
      <c r="A474" s="41"/>
      <c r="B474" s="41"/>
      <c r="C474" s="41"/>
      <c r="D474" s="47"/>
      <c r="E474" s="42"/>
      <c r="F474" s="42"/>
      <c r="G474" s="42"/>
      <c r="H474" s="42"/>
      <c r="I474" s="42"/>
      <c r="J474" s="42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</row>
    <row r="475" spans="1:28" x14ac:dyDescent="0.35">
      <c r="A475" s="41"/>
      <c r="B475" s="41"/>
      <c r="C475" s="41"/>
      <c r="D475" s="47"/>
      <c r="E475" s="42"/>
      <c r="F475" s="42"/>
      <c r="G475" s="42"/>
      <c r="H475" s="42"/>
      <c r="I475" s="42"/>
      <c r="J475" s="42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</row>
    <row r="476" spans="1:28" x14ac:dyDescent="0.35">
      <c r="A476" s="41"/>
      <c r="B476" s="41"/>
      <c r="C476" s="41"/>
      <c r="D476" s="47"/>
      <c r="E476" s="42"/>
      <c r="F476" s="42"/>
      <c r="G476" s="42"/>
      <c r="H476" s="42"/>
      <c r="I476" s="42"/>
      <c r="J476" s="42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</row>
    <row r="477" spans="1:28" x14ac:dyDescent="0.35">
      <c r="A477" s="41"/>
      <c r="B477" s="41"/>
      <c r="C477" s="41"/>
      <c r="D477" s="47"/>
      <c r="E477" s="42"/>
      <c r="F477" s="42"/>
      <c r="G477" s="42"/>
      <c r="H477" s="42"/>
      <c r="I477" s="42"/>
      <c r="J477" s="42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</row>
    <row r="478" spans="1:28" x14ac:dyDescent="0.35">
      <c r="A478" s="41"/>
      <c r="B478" s="41"/>
      <c r="C478" s="41"/>
      <c r="D478" s="47"/>
      <c r="E478" s="42"/>
      <c r="F478" s="42"/>
      <c r="G478" s="42"/>
      <c r="H478" s="42"/>
      <c r="I478" s="42"/>
      <c r="J478" s="42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</row>
    <row r="479" spans="1:28" x14ac:dyDescent="0.35">
      <c r="A479" s="41"/>
      <c r="B479" s="41"/>
      <c r="C479" s="41"/>
      <c r="D479" s="47"/>
      <c r="E479" s="42"/>
      <c r="F479" s="42"/>
      <c r="G479" s="42"/>
      <c r="H479" s="42"/>
      <c r="I479" s="42"/>
      <c r="J479" s="42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</row>
    <row r="480" spans="1:28" x14ac:dyDescent="0.35">
      <c r="A480" s="41"/>
      <c r="B480" s="41"/>
      <c r="C480" s="41"/>
      <c r="D480" s="47"/>
      <c r="E480" s="42"/>
      <c r="F480" s="42"/>
      <c r="G480" s="42"/>
      <c r="H480" s="42"/>
      <c r="I480" s="42"/>
      <c r="J480" s="42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</row>
    <row r="481" spans="1:28" x14ac:dyDescent="0.35">
      <c r="A481" s="41"/>
      <c r="B481" s="41"/>
      <c r="C481" s="41"/>
      <c r="D481" s="47"/>
      <c r="E481" s="42"/>
      <c r="F481" s="42"/>
      <c r="G481" s="42"/>
      <c r="H481" s="42"/>
      <c r="I481" s="42"/>
      <c r="J481" s="42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</row>
    <row r="482" spans="1:28" x14ac:dyDescent="0.35">
      <c r="A482" s="41"/>
      <c r="B482" s="41"/>
      <c r="C482" s="41"/>
      <c r="D482" s="47"/>
      <c r="E482" s="42"/>
      <c r="F482" s="42"/>
      <c r="G482" s="42"/>
      <c r="H482" s="42"/>
      <c r="I482" s="42"/>
      <c r="J482" s="42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</row>
    <row r="483" spans="1:28" x14ac:dyDescent="0.35">
      <c r="A483" s="41"/>
      <c r="B483" s="41"/>
      <c r="C483" s="41"/>
      <c r="D483" s="47"/>
      <c r="E483" s="42"/>
      <c r="F483" s="42"/>
      <c r="G483" s="42"/>
      <c r="H483" s="42"/>
      <c r="I483" s="42"/>
      <c r="J483" s="42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</row>
    <row r="484" spans="1:28" x14ac:dyDescent="0.35">
      <c r="A484" s="41"/>
      <c r="B484" s="41"/>
      <c r="C484" s="41"/>
      <c r="D484" s="47"/>
      <c r="E484" s="42"/>
      <c r="F484" s="42"/>
      <c r="G484" s="42"/>
      <c r="H484" s="42"/>
      <c r="I484" s="42"/>
      <c r="J484" s="42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</row>
    <row r="485" spans="1:28" x14ac:dyDescent="0.35">
      <c r="A485" s="41"/>
      <c r="B485" s="41"/>
      <c r="C485" s="41"/>
      <c r="D485" s="47"/>
      <c r="E485" s="42"/>
      <c r="F485" s="42"/>
      <c r="G485" s="42"/>
      <c r="H485" s="42"/>
      <c r="I485" s="42"/>
      <c r="J485" s="42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</row>
    <row r="486" spans="1:28" x14ac:dyDescent="0.35">
      <c r="A486" s="41"/>
      <c r="B486" s="41"/>
      <c r="C486" s="41"/>
      <c r="D486" s="47"/>
      <c r="E486" s="42"/>
      <c r="F486" s="42"/>
      <c r="G486" s="42"/>
      <c r="H486" s="42"/>
      <c r="I486" s="42"/>
      <c r="J486" s="42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</row>
    <row r="487" spans="1:28" x14ac:dyDescent="0.35">
      <c r="A487" s="41"/>
      <c r="B487" s="41"/>
      <c r="C487" s="41"/>
      <c r="D487" s="47"/>
      <c r="E487" s="42"/>
      <c r="F487" s="42"/>
      <c r="G487" s="42"/>
      <c r="H487" s="42"/>
      <c r="I487" s="42"/>
      <c r="J487" s="42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</row>
    <row r="488" spans="1:28" x14ac:dyDescent="0.35">
      <c r="A488" s="41"/>
      <c r="B488" s="41"/>
      <c r="C488" s="41"/>
      <c r="D488" s="47"/>
      <c r="E488" s="42"/>
      <c r="F488" s="42"/>
      <c r="G488" s="42"/>
      <c r="H488" s="42"/>
      <c r="I488" s="42"/>
      <c r="J488" s="42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</row>
    <row r="489" spans="1:28" x14ac:dyDescent="0.35">
      <c r="A489" s="41"/>
      <c r="B489" s="41"/>
      <c r="C489" s="41"/>
      <c r="D489" s="47"/>
      <c r="E489" s="42"/>
      <c r="F489" s="42"/>
      <c r="G489" s="42"/>
      <c r="H489" s="42"/>
      <c r="I489" s="42"/>
      <c r="J489" s="42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</row>
    <row r="490" spans="1:28" x14ac:dyDescent="0.35">
      <c r="A490" s="41"/>
      <c r="B490" s="41"/>
      <c r="C490" s="41"/>
      <c r="D490" s="47"/>
      <c r="E490" s="42"/>
      <c r="F490" s="42"/>
      <c r="G490" s="42"/>
      <c r="H490" s="42"/>
      <c r="I490" s="42"/>
      <c r="J490" s="42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</row>
    <row r="491" spans="1:28" x14ac:dyDescent="0.35">
      <c r="A491" s="41"/>
      <c r="B491" s="41"/>
      <c r="C491" s="41"/>
      <c r="D491" s="47"/>
      <c r="E491" s="42"/>
      <c r="F491" s="42"/>
      <c r="G491" s="42"/>
      <c r="H491" s="42"/>
      <c r="I491" s="42"/>
      <c r="J491" s="42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</row>
    <row r="492" spans="1:28" x14ac:dyDescent="0.35">
      <c r="A492" s="41"/>
      <c r="B492" s="41"/>
      <c r="C492" s="41"/>
      <c r="D492" s="47"/>
      <c r="E492" s="42"/>
      <c r="F492" s="42"/>
      <c r="G492" s="42"/>
      <c r="H492" s="42"/>
      <c r="I492" s="42"/>
      <c r="J492" s="42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</row>
    <row r="493" spans="1:28" x14ac:dyDescent="0.35">
      <c r="A493" s="41"/>
      <c r="B493" s="41"/>
      <c r="C493" s="41"/>
      <c r="D493" s="47"/>
      <c r="E493" s="42"/>
      <c r="F493" s="42"/>
      <c r="G493" s="42"/>
      <c r="H493" s="42"/>
      <c r="I493" s="42"/>
      <c r="J493" s="42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</row>
    <row r="494" spans="1:28" x14ac:dyDescent="0.35">
      <c r="A494" s="41"/>
      <c r="B494" s="41"/>
      <c r="C494" s="41"/>
      <c r="D494" s="47"/>
      <c r="E494" s="42"/>
      <c r="F494" s="42"/>
      <c r="G494" s="42"/>
      <c r="H494" s="42"/>
      <c r="I494" s="42"/>
      <c r="J494" s="42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</row>
    <row r="495" spans="1:28" x14ac:dyDescent="0.35">
      <c r="A495" s="41"/>
      <c r="B495" s="41"/>
      <c r="C495" s="41"/>
      <c r="D495" s="47"/>
      <c r="E495" s="42"/>
      <c r="F495" s="42"/>
      <c r="G495" s="42"/>
      <c r="H495" s="42"/>
      <c r="I495" s="42"/>
      <c r="J495" s="42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</row>
    <row r="496" spans="1:28" x14ac:dyDescent="0.35">
      <c r="A496" s="41"/>
      <c r="B496" s="41"/>
      <c r="C496" s="41"/>
      <c r="D496" s="47"/>
      <c r="E496" s="42"/>
      <c r="F496" s="42"/>
      <c r="G496" s="42"/>
      <c r="H496" s="42"/>
      <c r="I496" s="42"/>
      <c r="J496" s="42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</row>
    <row r="497" spans="1:28" x14ac:dyDescent="0.35">
      <c r="A497" s="41"/>
      <c r="B497" s="41"/>
      <c r="C497" s="41"/>
      <c r="D497" s="47"/>
      <c r="E497" s="42"/>
      <c r="F497" s="42"/>
      <c r="G497" s="42"/>
      <c r="H497" s="42"/>
      <c r="I497" s="42"/>
      <c r="J497" s="42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</row>
    <row r="498" spans="1:28" x14ac:dyDescent="0.35">
      <c r="A498" s="41"/>
      <c r="B498" s="41"/>
      <c r="C498" s="41"/>
      <c r="D498" s="47"/>
      <c r="E498" s="42"/>
      <c r="F498" s="42"/>
      <c r="G498" s="42"/>
      <c r="H498" s="42"/>
      <c r="I498" s="42"/>
      <c r="J498" s="42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</row>
    <row r="499" spans="1:28" x14ac:dyDescent="0.35">
      <c r="A499" s="41"/>
      <c r="B499" s="41"/>
      <c r="C499" s="41"/>
      <c r="D499" s="47"/>
      <c r="E499" s="42"/>
      <c r="F499" s="42"/>
      <c r="G499" s="42"/>
      <c r="H499" s="42"/>
      <c r="I499" s="42"/>
      <c r="J499" s="42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</row>
    <row r="500" spans="1:28" x14ac:dyDescent="0.35">
      <c r="A500" s="41"/>
      <c r="B500" s="41"/>
      <c r="C500" s="41"/>
      <c r="D500" s="47"/>
      <c r="E500" s="42"/>
      <c r="F500" s="42"/>
      <c r="G500" s="42"/>
      <c r="H500" s="42"/>
      <c r="I500" s="42"/>
      <c r="J500" s="42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</row>
    <row r="501" spans="1:28" x14ac:dyDescent="0.35">
      <c r="A501" s="41"/>
      <c r="B501" s="41"/>
      <c r="C501" s="41"/>
      <c r="D501" s="47"/>
      <c r="E501" s="42"/>
      <c r="F501" s="42"/>
      <c r="G501" s="42"/>
      <c r="H501" s="42"/>
      <c r="I501" s="42"/>
      <c r="J501" s="42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</row>
    <row r="502" spans="1:28" x14ac:dyDescent="0.35">
      <c r="A502" s="41"/>
      <c r="B502" s="41"/>
      <c r="C502" s="41"/>
      <c r="D502" s="47"/>
      <c r="E502" s="42"/>
      <c r="F502" s="42"/>
      <c r="G502" s="42"/>
      <c r="H502" s="42"/>
      <c r="I502" s="42"/>
      <c r="J502" s="42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</row>
    <row r="503" spans="1:28" x14ac:dyDescent="0.35">
      <c r="A503" s="41"/>
      <c r="B503" s="41"/>
      <c r="C503" s="41"/>
      <c r="D503" s="47"/>
      <c r="E503" s="42"/>
      <c r="F503" s="42"/>
      <c r="G503" s="42"/>
      <c r="H503" s="42"/>
      <c r="I503" s="42"/>
      <c r="J503" s="42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</row>
    <row r="504" spans="1:28" x14ac:dyDescent="0.35">
      <c r="A504" s="41"/>
      <c r="B504" s="41"/>
      <c r="C504" s="41"/>
      <c r="D504" s="47"/>
      <c r="E504" s="42"/>
      <c r="F504" s="42"/>
      <c r="G504" s="42"/>
      <c r="H504" s="42"/>
      <c r="I504" s="42"/>
      <c r="J504" s="42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</row>
    <row r="505" spans="1:28" x14ac:dyDescent="0.35">
      <c r="A505" s="41"/>
      <c r="B505" s="41"/>
      <c r="C505" s="41"/>
      <c r="D505" s="47"/>
      <c r="E505" s="42"/>
      <c r="F505" s="42"/>
      <c r="G505" s="42"/>
      <c r="H505" s="42"/>
      <c r="I505" s="42"/>
      <c r="J505" s="42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</row>
    <row r="506" spans="1:28" x14ac:dyDescent="0.35">
      <c r="A506" s="41"/>
      <c r="B506" s="41"/>
      <c r="C506" s="41"/>
      <c r="D506" s="47"/>
      <c r="E506" s="42"/>
      <c r="F506" s="42"/>
      <c r="G506" s="42"/>
      <c r="H506" s="42"/>
      <c r="I506" s="42"/>
      <c r="J506" s="42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</row>
    <row r="507" spans="1:28" x14ac:dyDescent="0.35">
      <c r="A507" s="41"/>
      <c r="B507" s="41"/>
      <c r="C507" s="41"/>
      <c r="D507" s="47"/>
      <c r="E507" s="42"/>
      <c r="F507" s="42"/>
      <c r="G507" s="42"/>
      <c r="H507" s="42"/>
      <c r="I507" s="42"/>
      <c r="J507" s="42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</row>
    <row r="508" spans="1:28" x14ac:dyDescent="0.35">
      <c r="A508" s="41"/>
      <c r="B508" s="41"/>
      <c r="C508" s="41"/>
      <c r="D508" s="47"/>
      <c r="E508" s="42"/>
      <c r="F508" s="42"/>
      <c r="G508" s="42"/>
      <c r="H508" s="42"/>
      <c r="I508" s="42"/>
      <c r="J508" s="42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</row>
    <row r="509" spans="1:28" x14ac:dyDescent="0.35">
      <c r="A509" s="41"/>
      <c r="B509" s="41"/>
      <c r="C509" s="41"/>
      <c r="D509" s="47"/>
      <c r="E509" s="42"/>
      <c r="F509" s="42"/>
      <c r="G509" s="42"/>
      <c r="H509" s="42"/>
      <c r="I509" s="42"/>
      <c r="J509" s="42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</row>
    <row r="510" spans="1:28" x14ac:dyDescent="0.35">
      <c r="A510" s="41"/>
      <c r="B510" s="41"/>
      <c r="C510" s="41"/>
      <c r="D510" s="47"/>
      <c r="E510" s="42"/>
      <c r="F510" s="42"/>
      <c r="G510" s="42"/>
      <c r="H510" s="42"/>
      <c r="I510" s="42"/>
      <c r="J510" s="42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</row>
    <row r="511" spans="1:28" x14ac:dyDescent="0.35">
      <c r="A511" s="41"/>
      <c r="B511" s="41"/>
      <c r="C511" s="41"/>
      <c r="D511" s="47"/>
      <c r="E511" s="42"/>
      <c r="F511" s="42"/>
      <c r="G511" s="42"/>
      <c r="H511" s="42"/>
      <c r="I511" s="42"/>
      <c r="J511" s="42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</row>
    <row r="512" spans="1:28" x14ac:dyDescent="0.35">
      <c r="A512" s="41"/>
      <c r="B512" s="41"/>
      <c r="C512" s="41"/>
      <c r="D512" s="47"/>
      <c r="E512" s="42"/>
      <c r="F512" s="42"/>
      <c r="G512" s="42"/>
      <c r="H512" s="42"/>
      <c r="I512" s="42"/>
      <c r="J512" s="42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</row>
    <row r="513" spans="1:28" x14ac:dyDescent="0.35">
      <c r="A513" s="41"/>
      <c r="B513" s="41"/>
      <c r="C513" s="41"/>
      <c r="D513" s="47"/>
      <c r="E513" s="42"/>
      <c r="F513" s="42"/>
      <c r="G513" s="42"/>
      <c r="H513" s="42"/>
      <c r="I513" s="42"/>
      <c r="J513" s="42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</row>
    <row r="514" spans="1:28" x14ac:dyDescent="0.35">
      <c r="A514" s="41"/>
      <c r="B514" s="41"/>
      <c r="C514" s="41"/>
      <c r="D514" s="47"/>
      <c r="E514" s="42"/>
      <c r="F514" s="42"/>
      <c r="G514" s="42"/>
      <c r="H514" s="42"/>
      <c r="I514" s="42"/>
      <c r="J514" s="42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</row>
    <row r="515" spans="1:28" x14ac:dyDescent="0.35">
      <c r="A515" s="41"/>
      <c r="B515" s="41"/>
      <c r="C515" s="41"/>
      <c r="D515" s="47"/>
      <c r="E515" s="42"/>
      <c r="F515" s="42"/>
      <c r="G515" s="42"/>
      <c r="H515" s="42"/>
      <c r="I515" s="42"/>
      <c r="J515" s="42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</row>
    <row r="516" spans="1:28" x14ac:dyDescent="0.35">
      <c r="A516" s="41"/>
      <c r="B516" s="41"/>
      <c r="C516" s="41"/>
      <c r="D516" s="47"/>
      <c r="E516" s="42"/>
      <c r="F516" s="42"/>
      <c r="G516" s="42"/>
      <c r="H516" s="42"/>
      <c r="I516" s="42"/>
      <c r="J516" s="42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</row>
    <row r="517" spans="1:28" x14ac:dyDescent="0.35">
      <c r="A517" s="41"/>
      <c r="B517" s="41"/>
      <c r="C517" s="41"/>
      <c r="D517" s="47"/>
      <c r="E517" s="42"/>
      <c r="F517" s="42"/>
      <c r="G517" s="42"/>
      <c r="H517" s="42"/>
      <c r="I517" s="42"/>
      <c r="J517" s="42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</row>
    <row r="518" spans="1:28" x14ac:dyDescent="0.35">
      <c r="A518" s="41"/>
      <c r="B518" s="41"/>
      <c r="C518" s="41"/>
      <c r="D518" s="47"/>
      <c r="E518" s="42"/>
      <c r="F518" s="42"/>
      <c r="G518" s="42"/>
      <c r="H518" s="42"/>
      <c r="I518" s="42"/>
      <c r="J518" s="42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</row>
    <row r="519" spans="1:28" x14ac:dyDescent="0.35">
      <c r="A519" s="41"/>
      <c r="B519" s="41"/>
      <c r="C519" s="41"/>
      <c r="D519" s="47"/>
      <c r="E519" s="42"/>
      <c r="F519" s="42"/>
      <c r="G519" s="42"/>
      <c r="H519" s="42"/>
      <c r="I519" s="42"/>
      <c r="J519" s="42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</row>
    <row r="520" spans="1:28" x14ac:dyDescent="0.35">
      <c r="A520" s="41"/>
      <c r="B520" s="41"/>
      <c r="C520" s="41"/>
      <c r="D520" s="47"/>
      <c r="E520" s="42"/>
      <c r="F520" s="42"/>
      <c r="G520" s="42"/>
      <c r="H520" s="42"/>
      <c r="I520" s="42"/>
      <c r="J520" s="42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</row>
    <row r="521" spans="1:28" x14ac:dyDescent="0.35">
      <c r="A521" s="41"/>
      <c r="B521" s="41"/>
      <c r="C521" s="41"/>
      <c r="D521" s="47"/>
      <c r="E521" s="42"/>
      <c r="F521" s="42"/>
      <c r="G521" s="42"/>
      <c r="H521" s="42"/>
      <c r="I521" s="42"/>
      <c r="J521" s="42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</row>
    <row r="522" spans="1:28" x14ac:dyDescent="0.35">
      <c r="A522" s="41"/>
      <c r="B522" s="41"/>
      <c r="C522" s="41"/>
      <c r="D522" s="47"/>
      <c r="E522" s="42"/>
      <c r="F522" s="42"/>
      <c r="G522" s="42"/>
      <c r="H522" s="42"/>
      <c r="I522" s="42"/>
      <c r="J522" s="42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</row>
    <row r="523" spans="1:28" x14ac:dyDescent="0.35">
      <c r="A523" s="41"/>
      <c r="B523" s="41"/>
      <c r="C523" s="41"/>
      <c r="D523" s="47"/>
      <c r="E523" s="42"/>
      <c r="F523" s="42"/>
      <c r="G523" s="42"/>
      <c r="H523" s="42"/>
      <c r="I523" s="42"/>
      <c r="J523" s="42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</row>
    <row r="524" spans="1:28" x14ac:dyDescent="0.35">
      <c r="A524" s="41"/>
      <c r="B524" s="41"/>
      <c r="C524" s="41"/>
      <c r="D524" s="47"/>
      <c r="E524" s="42"/>
      <c r="F524" s="42"/>
      <c r="G524" s="42"/>
      <c r="H524" s="42"/>
      <c r="I524" s="42"/>
      <c r="J524" s="42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</row>
    <row r="525" spans="1:28" x14ac:dyDescent="0.35">
      <c r="A525" s="41"/>
      <c r="B525" s="41"/>
      <c r="C525" s="41"/>
      <c r="D525" s="47"/>
      <c r="E525" s="42"/>
      <c r="F525" s="42"/>
      <c r="G525" s="42"/>
      <c r="H525" s="42"/>
      <c r="I525" s="42"/>
      <c r="J525" s="42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</row>
    <row r="526" spans="1:28" x14ac:dyDescent="0.35">
      <c r="A526" s="41"/>
      <c r="B526" s="41"/>
      <c r="C526" s="41"/>
      <c r="D526" s="47"/>
      <c r="E526" s="42"/>
      <c r="F526" s="42"/>
      <c r="G526" s="42"/>
      <c r="H526" s="42"/>
      <c r="I526" s="42"/>
      <c r="J526" s="42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</row>
    <row r="527" spans="1:28" x14ac:dyDescent="0.35">
      <c r="A527" s="41"/>
      <c r="B527" s="41"/>
      <c r="C527" s="41"/>
      <c r="D527" s="47"/>
      <c r="E527" s="42"/>
      <c r="F527" s="42"/>
      <c r="G527" s="42"/>
      <c r="H527" s="42"/>
      <c r="I527" s="42"/>
      <c r="J527" s="42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</row>
    <row r="528" spans="1:28" x14ac:dyDescent="0.35">
      <c r="A528" s="41"/>
      <c r="B528" s="41"/>
      <c r="C528" s="41"/>
      <c r="D528" s="47"/>
      <c r="E528" s="42"/>
      <c r="F528" s="42"/>
      <c r="G528" s="42"/>
      <c r="H528" s="42"/>
      <c r="I528" s="42"/>
      <c r="J528" s="42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</row>
    <row r="529" spans="1:28" x14ac:dyDescent="0.35">
      <c r="A529" s="41"/>
      <c r="B529" s="41"/>
      <c r="C529" s="41"/>
      <c r="D529" s="47"/>
      <c r="E529" s="42"/>
      <c r="F529" s="42"/>
      <c r="G529" s="42"/>
      <c r="H529" s="42"/>
      <c r="I529" s="42"/>
      <c r="J529" s="42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</row>
    <row r="530" spans="1:28" x14ac:dyDescent="0.35">
      <c r="A530" s="41"/>
      <c r="B530" s="41"/>
      <c r="C530" s="41"/>
      <c r="D530" s="47"/>
      <c r="E530" s="42"/>
      <c r="F530" s="42"/>
      <c r="G530" s="42"/>
      <c r="H530" s="42"/>
      <c r="I530" s="42"/>
      <c r="J530" s="42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</row>
    <row r="531" spans="1:28" x14ac:dyDescent="0.35">
      <c r="A531" s="41"/>
      <c r="B531" s="41"/>
      <c r="C531" s="41"/>
      <c r="D531" s="47"/>
      <c r="E531" s="42"/>
      <c r="F531" s="42"/>
      <c r="G531" s="42"/>
      <c r="H531" s="42"/>
      <c r="I531" s="42"/>
      <c r="J531" s="42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</row>
    <row r="532" spans="1:28" x14ac:dyDescent="0.35">
      <c r="A532" s="41"/>
      <c r="B532" s="41"/>
      <c r="C532" s="41"/>
      <c r="D532" s="47"/>
      <c r="E532" s="42"/>
      <c r="F532" s="42"/>
      <c r="G532" s="42"/>
      <c r="H532" s="42"/>
      <c r="I532" s="42"/>
      <c r="J532" s="42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</row>
    <row r="533" spans="1:28" x14ac:dyDescent="0.35">
      <c r="A533" s="41"/>
      <c r="B533" s="41"/>
      <c r="C533" s="41"/>
      <c r="D533" s="47"/>
      <c r="E533" s="42"/>
      <c r="F533" s="42"/>
      <c r="G533" s="42"/>
      <c r="H533" s="42"/>
      <c r="I533" s="42"/>
      <c r="J533" s="42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</row>
    <row r="534" spans="1:28" x14ac:dyDescent="0.35">
      <c r="A534" s="41"/>
      <c r="B534" s="41"/>
      <c r="C534" s="41"/>
      <c r="D534" s="47"/>
      <c r="E534" s="42"/>
      <c r="F534" s="42"/>
      <c r="G534" s="42"/>
      <c r="H534" s="42"/>
      <c r="I534" s="42"/>
      <c r="J534" s="42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</row>
    <row r="535" spans="1:28" x14ac:dyDescent="0.35">
      <c r="A535" s="41"/>
      <c r="B535" s="41"/>
      <c r="C535" s="41"/>
      <c r="D535" s="47"/>
      <c r="E535" s="42"/>
      <c r="F535" s="42"/>
      <c r="G535" s="42"/>
      <c r="H535" s="42"/>
      <c r="I535" s="42"/>
      <c r="J535" s="42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</row>
    <row r="536" spans="1:28" x14ac:dyDescent="0.35">
      <c r="A536" s="41"/>
      <c r="B536" s="41"/>
      <c r="C536" s="41"/>
      <c r="D536" s="47"/>
      <c r="E536" s="42"/>
      <c r="F536" s="42"/>
      <c r="G536" s="42"/>
      <c r="H536" s="42"/>
      <c r="I536" s="42"/>
      <c r="J536" s="42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</row>
    <row r="537" spans="1:28" x14ac:dyDescent="0.35">
      <c r="A537" s="41"/>
      <c r="B537" s="41"/>
      <c r="C537" s="41"/>
      <c r="D537" s="47"/>
      <c r="E537" s="42"/>
      <c r="F537" s="42"/>
      <c r="G537" s="42"/>
      <c r="H537" s="42"/>
      <c r="I537" s="42"/>
      <c r="J537" s="42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</row>
    <row r="538" spans="1:28" x14ac:dyDescent="0.35">
      <c r="A538" s="41"/>
      <c r="B538" s="41"/>
      <c r="C538" s="41"/>
      <c r="D538" s="47"/>
      <c r="E538" s="42"/>
      <c r="F538" s="42"/>
      <c r="G538" s="42"/>
      <c r="H538" s="42"/>
      <c r="I538" s="42"/>
      <c r="J538" s="42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</row>
    <row r="539" spans="1:28" x14ac:dyDescent="0.35">
      <c r="A539" s="41"/>
      <c r="B539" s="41"/>
      <c r="C539" s="41"/>
      <c r="D539" s="47"/>
      <c r="E539" s="42"/>
      <c r="F539" s="42"/>
      <c r="G539" s="42"/>
      <c r="H539" s="42"/>
      <c r="I539" s="42"/>
      <c r="J539" s="42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</row>
    <row r="540" spans="1:28" x14ac:dyDescent="0.35">
      <c r="A540" s="41"/>
      <c r="B540" s="41"/>
      <c r="C540" s="41"/>
      <c r="D540" s="47"/>
      <c r="E540" s="42"/>
      <c r="F540" s="42"/>
      <c r="G540" s="42"/>
      <c r="H540" s="42"/>
      <c r="I540" s="42"/>
      <c r="J540" s="42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</row>
    <row r="541" spans="1:28" x14ac:dyDescent="0.35">
      <c r="A541" s="41"/>
      <c r="B541" s="41"/>
      <c r="C541" s="41"/>
      <c r="D541" s="47"/>
      <c r="E541" s="42"/>
      <c r="F541" s="42"/>
      <c r="G541" s="42"/>
      <c r="H541" s="42"/>
      <c r="I541" s="42"/>
      <c r="J541" s="42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</row>
    <row r="542" spans="1:28" x14ac:dyDescent="0.35">
      <c r="A542" s="41"/>
      <c r="B542" s="41"/>
      <c r="C542" s="41"/>
      <c r="D542" s="47"/>
      <c r="E542" s="42"/>
      <c r="F542" s="42"/>
      <c r="G542" s="42"/>
      <c r="H542" s="42"/>
      <c r="I542" s="42"/>
      <c r="J542" s="42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</row>
    <row r="543" spans="1:28" x14ac:dyDescent="0.35">
      <c r="A543" s="41"/>
      <c r="B543" s="41"/>
      <c r="C543" s="41"/>
      <c r="D543" s="47"/>
      <c r="E543" s="42"/>
      <c r="F543" s="42"/>
      <c r="G543" s="42"/>
      <c r="H543" s="42"/>
      <c r="I543" s="42"/>
      <c r="J543" s="42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</row>
    <row r="544" spans="1:28" x14ac:dyDescent="0.35">
      <c r="A544" s="41"/>
      <c r="B544" s="41"/>
      <c r="C544" s="41"/>
      <c r="D544" s="47"/>
      <c r="E544" s="42"/>
      <c r="F544" s="42"/>
      <c r="G544" s="42"/>
      <c r="H544" s="42"/>
      <c r="I544" s="42"/>
      <c r="J544" s="42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</row>
    <row r="545" spans="1:28" x14ac:dyDescent="0.35">
      <c r="A545" s="41"/>
      <c r="B545" s="41"/>
      <c r="C545" s="41"/>
      <c r="D545" s="47"/>
      <c r="E545" s="42"/>
      <c r="F545" s="42"/>
      <c r="G545" s="42"/>
      <c r="H545" s="42"/>
      <c r="I545" s="42"/>
      <c r="J545" s="42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</row>
    <row r="546" spans="1:28" x14ac:dyDescent="0.35">
      <c r="A546" s="41"/>
      <c r="B546" s="41"/>
      <c r="C546" s="41"/>
      <c r="D546" s="47"/>
      <c r="E546" s="42"/>
      <c r="F546" s="42"/>
      <c r="G546" s="42"/>
      <c r="H546" s="42"/>
      <c r="I546" s="42"/>
      <c r="J546" s="42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</row>
    <row r="547" spans="1:28" x14ac:dyDescent="0.35">
      <c r="A547" s="41"/>
      <c r="B547" s="41"/>
      <c r="C547" s="41"/>
      <c r="D547" s="47"/>
      <c r="E547" s="42"/>
      <c r="F547" s="42"/>
      <c r="G547" s="42"/>
      <c r="H547" s="42"/>
      <c r="I547" s="42"/>
      <c r="J547" s="42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</row>
    <row r="548" spans="1:28" x14ac:dyDescent="0.35">
      <c r="A548" s="41"/>
      <c r="B548" s="41"/>
      <c r="C548" s="41"/>
      <c r="D548" s="47"/>
      <c r="E548" s="42"/>
      <c r="F548" s="42"/>
      <c r="G548" s="42"/>
      <c r="H548" s="42"/>
      <c r="I548" s="42"/>
      <c r="J548" s="42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</row>
    <row r="549" spans="1:28" x14ac:dyDescent="0.35">
      <c r="A549" s="41"/>
      <c r="B549" s="41"/>
      <c r="C549" s="41"/>
      <c r="D549" s="47"/>
      <c r="E549" s="42"/>
      <c r="F549" s="42"/>
      <c r="G549" s="42"/>
      <c r="H549" s="42"/>
      <c r="I549" s="42"/>
      <c r="J549" s="42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</row>
    <row r="550" spans="1:28" x14ac:dyDescent="0.35">
      <c r="A550" s="41"/>
      <c r="B550" s="41"/>
      <c r="C550" s="41"/>
      <c r="D550" s="47"/>
      <c r="E550" s="42"/>
      <c r="F550" s="42"/>
      <c r="G550" s="42"/>
      <c r="H550" s="42"/>
      <c r="I550" s="42"/>
      <c r="J550" s="42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</row>
    <row r="551" spans="1:28" x14ac:dyDescent="0.35">
      <c r="A551" s="41"/>
      <c r="B551" s="41"/>
      <c r="C551" s="41"/>
      <c r="D551" s="47"/>
      <c r="E551" s="42"/>
      <c r="F551" s="42"/>
      <c r="G551" s="42"/>
      <c r="H551" s="42"/>
      <c r="I551" s="42"/>
      <c r="J551" s="42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</row>
    <row r="552" spans="1:28" x14ac:dyDescent="0.35">
      <c r="A552" s="41"/>
      <c r="B552" s="41"/>
      <c r="C552" s="41"/>
      <c r="D552" s="47"/>
      <c r="E552" s="42"/>
      <c r="F552" s="42"/>
      <c r="G552" s="42"/>
      <c r="H552" s="42"/>
      <c r="I552" s="42"/>
      <c r="J552" s="42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</row>
    <row r="553" spans="1:28" x14ac:dyDescent="0.35">
      <c r="A553" s="41"/>
      <c r="B553" s="41"/>
      <c r="C553" s="41"/>
      <c r="D553" s="47"/>
      <c r="E553" s="42"/>
      <c r="F553" s="42"/>
      <c r="G553" s="42"/>
      <c r="H553" s="42"/>
      <c r="I553" s="42"/>
      <c r="J553" s="42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</row>
    <row r="554" spans="1:28" x14ac:dyDescent="0.35">
      <c r="A554" s="41"/>
      <c r="B554" s="41"/>
      <c r="C554" s="41"/>
      <c r="D554" s="47"/>
      <c r="E554" s="42"/>
      <c r="F554" s="42"/>
      <c r="G554" s="42"/>
      <c r="H554" s="42"/>
      <c r="I554" s="42"/>
      <c r="J554" s="42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</row>
    <row r="555" spans="1:28" x14ac:dyDescent="0.35">
      <c r="A555" s="41"/>
      <c r="B555" s="41"/>
      <c r="C555" s="41"/>
      <c r="D555" s="47"/>
      <c r="E555" s="42"/>
      <c r="F555" s="42"/>
      <c r="G555" s="42"/>
      <c r="H555" s="42"/>
      <c r="I555" s="42"/>
      <c r="J555" s="42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</row>
    <row r="556" spans="1:28" x14ac:dyDescent="0.35">
      <c r="A556" s="41"/>
      <c r="B556" s="41"/>
      <c r="C556" s="41"/>
      <c r="D556" s="47"/>
      <c r="E556" s="42"/>
      <c r="F556" s="42"/>
      <c r="G556" s="42"/>
      <c r="H556" s="42"/>
      <c r="I556" s="42"/>
      <c r="J556" s="42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</row>
    <row r="557" spans="1:28" x14ac:dyDescent="0.35">
      <c r="A557" s="41"/>
      <c r="B557" s="41"/>
      <c r="C557" s="41"/>
      <c r="D557" s="47"/>
      <c r="E557" s="42"/>
      <c r="F557" s="42"/>
      <c r="G557" s="42"/>
      <c r="H557" s="42"/>
      <c r="I557" s="42"/>
      <c r="J557" s="42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</row>
    <row r="558" spans="1:28" x14ac:dyDescent="0.35">
      <c r="A558" s="41"/>
      <c r="B558" s="41"/>
      <c r="C558" s="41"/>
      <c r="D558" s="47"/>
      <c r="E558" s="42"/>
      <c r="F558" s="42"/>
      <c r="G558" s="42"/>
      <c r="H558" s="42"/>
      <c r="I558" s="42"/>
      <c r="J558" s="42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</row>
    <row r="559" spans="1:28" x14ac:dyDescent="0.35">
      <c r="A559" s="41"/>
      <c r="B559" s="41"/>
      <c r="C559" s="41"/>
      <c r="D559" s="47"/>
      <c r="E559" s="42"/>
      <c r="F559" s="42"/>
      <c r="G559" s="42"/>
      <c r="H559" s="42"/>
      <c r="I559" s="42"/>
      <c r="J559" s="42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</row>
    <row r="560" spans="1:28" x14ac:dyDescent="0.35">
      <c r="A560" s="41"/>
      <c r="B560" s="41"/>
      <c r="C560" s="41"/>
      <c r="D560" s="47"/>
      <c r="E560" s="42"/>
      <c r="F560" s="42"/>
      <c r="G560" s="42"/>
      <c r="H560" s="42"/>
      <c r="I560" s="42"/>
      <c r="J560" s="42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</row>
    <row r="561" spans="1:28" x14ac:dyDescent="0.35">
      <c r="A561" s="41"/>
      <c r="B561" s="41"/>
      <c r="C561" s="41"/>
      <c r="D561" s="47"/>
      <c r="E561" s="42"/>
      <c r="F561" s="42"/>
      <c r="G561" s="42"/>
      <c r="H561" s="42"/>
      <c r="I561" s="42"/>
      <c r="J561" s="42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</row>
    <row r="562" spans="1:28" x14ac:dyDescent="0.35">
      <c r="A562" s="41"/>
      <c r="B562" s="41"/>
      <c r="C562" s="41"/>
      <c r="D562" s="47"/>
      <c r="E562" s="42"/>
      <c r="F562" s="42"/>
      <c r="G562" s="42"/>
      <c r="H562" s="42"/>
      <c r="I562" s="42"/>
      <c r="J562" s="42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</row>
    <row r="563" spans="1:28" x14ac:dyDescent="0.35">
      <c r="A563" s="41"/>
      <c r="B563" s="41"/>
      <c r="C563" s="41"/>
      <c r="D563" s="47"/>
      <c r="E563" s="42"/>
      <c r="F563" s="42"/>
      <c r="G563" s="42"/>
      <c r="H563" s="42"/>
      <c r="I563" s="42"/>
      <c r="J563" s="42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</row>
    <row r="564" spans="1:28" x14ac:dyDescent="0.35">
      <c r="A564" s="41"/>
      <c r="B564" s="41"/>
      <c r="C564" s="41"/>
      <c r="D564" s="47"/>
      <c r="E564" s="42"/>
      <c r="F564" s="42"/>
      <c r="G564" s="42"/>
      <c r="H564" s="42"/>
      <c r="I564" s="42"/>
      <c r="J564" s="42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</row>
    <row r="565" spans="1:28" x14ac:dyDescent="0.35">
      <c r="A565" s="41"/>
      <c r="B565" s="41"/>
      <c r="C565" s="41"/>
      <c r="D565" s="47"/>
      <c r="E565" s="42"/>
      <c r="F565" s="42"/>
      <c r="G565" s="42"/>
      <c r="H565" s="42"/>
      <c r="I565" s="42"/>
      <c r="J565" s="42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</row>
    <row r="566" spans="1:28" x14ac:dyDescent="0.35">
      <c r="A566" s="41"/>
      <c r="B566" s="41"/>
      <c r="C566" s="41"/>
      <c r="D566" s="47"/>
      <c r="E566" s="42"/>
      <c r="F566" s="42"/>
      <c r="G566" s="42"/>
      <c r="H566" s="42"/>
      <c r="I566" s="42"/>
      <c r="J566" s="42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</row>
    <row r="567" spans="1:28" x14ac:dyDescent="0.35">
      <c r="A567" s="41"/>
      <c r="B567" s="41"/>
      <c r="C567" s="41"/>
      <c r="D567" s="47"/>
      <c r="E567" s="42"/>
      <c r="F567" s="42"/>
      <c r="G567" s="42"/>
      <c r="H567" s="42"/>
      <c r="I567" s="42"/>
      <c r="J567" s="42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</row>
    <row r="568" spans="1:28" x14ac:dyDescent="0.35">
      <c r="A568" s="41"/>
      <c r="B568" s="41"/>
      <c r="C568" s="41"/>
      <c r="D568" s="47"/>
      <c r="E568" s="42"/>
      <c r="F568" s="42"/>
      <c r="G568" s="42"/>
      <c r="H568" s="42"/>
      <c r="I568" s="42"/>
      <c r="J568" s="42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</row>
    <row r="569" spans="1:28" x14ac:dyDescent="0.35">
      <c r="A569" s="41"/>
      <c r="B569" s="41"/>
      <c r="C569" s="41"/>
      <c r="D569" s="47"/>
      <c r="E569" s="42"/>
      <c r="F569" s="42"/>
      <c r="G569" s="42"/>
      <c r="H569" s="42"/>
      <c r="I569" s="42"/>
      <c r="J569" s="42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</row>
    <row r="570" spans="1:28" x14ac:dyDescent="0.35">
      <c r="A570" s="41"/>
      <c r="B570" s="41"/>
      <c r="C570" s="41"/>
      <c r="D570" s="47"/>
      <c r="E570" s="42"/>
      <c r="F570" s="42"/>
      <c r="G570" s="42"/>
      <c r="H570" s="42"/>
      <c r="I570" s="42"/>
      <c r="J570" s="42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</row>
    <row r="571" spans="1:28" x14ac:dyDescent="0.35">
      <c r="A571" s="41"/>
      <c r="B571" s="41"/>
      <c r="C571" s="41"/>
      <c r="D571" s="47"/>
      <c r="E571" s="42"/>
      <c r="F571" s="42"/>
      <c r="G571" s="42"/>
      <c r="H571" s="42"/>
      <c r="I571" s="42"/>
      <c r="J571" s="42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</row>
    <row r="572" spans="1:28" x14ac:dyDescent="0.35">
      <c r="A572" s="41"/>
      <c r="B572" s="41"/>
      <c r="C572" s="41"/>
      <c r="D572" s="47"/>
      <c r="E572" s="42"/>
      <c r="F572" s="42"/>
      <c r="G572" s="42"/>
      <c r="H572" s="42"/>
      <c r="I572" s="42"/>
      <c r="J572" s="42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</row>
    <row r="573" spans="1:28" x14ac:dyDescent="0.35">
      <c r="A573" s="41"/>
      <c r="B573" s="41"/>
      <c r="C573" s="41"/>
      <c r="D573" s="47"/>
      <c r="E573" s="42"/>
      <c r="F573" s="42"/>
      <c r="G573" s="42"/>
      <c r="H573" s="42"/>
      <c r="I573" s="42"/>
      <c r="J573" s="42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</row>
    <row r="574" spans="1:28" x14ac:dyDescent="0.35">
      <c r="A574" s="41"/>
      <c r="B574" s="41"/>
      <c r="C574" s="41"/>
      <c r="D574" s="47"/>
      <c r="E574" s="42"/>
      <c r="F574" s="42"/>
      <c r="G574" s="42"/>
      <c r="H574" s="42"/>
      <c r="I574" s="42"/>
      <c r="J574" s="42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</row>
    <row r="575" spans="1:28" x14ac:dyDescent="0.35">
      <c r="A575" s="41"/>
      <c r="B575" s="41"/>
      <c r="C575" s="41"/>
      <c r="D575" s="47"/>
      <c r="E575" s="42"/>
      <c r="F575" s="42"/>
      <c r="G575" s="42"/>
      <c r="H575" s="42"/>
      <c r="I575" s="42"/>
      <c r="J575" s="42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</row>
    <row r="576" spans="1:28" x14ac:dyDescent="0.35">
      <c r="A576" s="41"/>
      <c r="B576" s="41"/>
      <c r="C576" s="41"/>
      <c r="D576" s="47"/>
      <c r="E576" s="42"/>
      <c r="F576" s="42"/>
      <c r="G576" s="42"/>
      <c r="H576" s="42"/>
      <c r="I576" s="42"/>
      <c r="J576" s="42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</row>
    <row r="577" spans="1:28" x14ac:dyDescent="0.35">
      <c r="A577" s="41"/>
      <c r="B577" s="41"/>
      <c r="C577" s="41"/>
      <c r="D577" s="47"/>
      <c r="E577" s="42"/>
      <c r="F577" s="42"/>
      <c r="G577" s="42"/>
      <c r="H577" s="42"/>
      <c r="I577" s="42"/>
      <c r="J577" s="42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</row>
    <row r="578" spans="1:28" x14ac:dyDescent="0.35">
      <c r="A578" s="41"/>
      <c r="B578" s="41"/>
      <c r="C578" s="41"/>
      <c r="D578" s="47"/>
      <c r="E578" s="42"/>
      <c r="F578" s="42"/>
      <c r="G578" s="42"/>
      <c r="H578" s="42"/>
      <c r="I578" s="42"/>
      <c r="J578" s="42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</row>
    <row r="579" spans="1:28" x14ac:dyDescent="0.35">
      <c r="A579" s="41"/>
      <c r="B579" s="41"/>
      <c r="C579" s="41"/>
      <c r="D579" s="47"/>
      <c r="E579" s="42"/>
      <c r="F579" s="42"/>
      <c r="G579" s="42"/>
      <c r="H579" s="42"/>
      <c r="I579" s="42"/>
      <c r="J579" s="42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</row>
    <row r="580" spans="1:28" x14ac:dyDescent="0.35">
      <c r="A580" s="41"/>
      <c r="B580" s="41"/>
      <c r="C580" s="41"/>
      <c r="D580" s="47"/>
      <c r="E580" s="42"/>
      <c r="F580" s="42"/>
      <c r="G580" s="42"/>
      <c r="H580" s="42"/>
      <c r="I580" s="42"/>
      <c r="J580" s="42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</row>
    <row r="581" spans="1:28" x14ac:dyDescent="0.35">
      <c r="A581" s="41"/>
      <c r="B581" s="41"/>
      <c r="C581" s="41"/>
      <c r="D581" s="47"/>
      <c r="E581" s="42"/>
      <c r="F581" s="42"/>
      <c r="G581" s="42"/>
      <c r="H581" s="42"/>
      <c r="I581" s="42"/>
      <c r="J581" s="42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</row>
    <row r="582" spans="1:28" x14ac:dyDescent="0.35">
      <c r="A582" s="41"/>
      <c r="B582" s="41"/>
      <c r="C582" s="41"/>
      <c r="D582" s="47"/>
      <c r="E582" s="42"/>
      <c r="F582" s="42"/>
      <c r="G582" s="42"/>
      <c r="H582" s="42"/>
      <c r="I582" s="42"/>
      <c r="J582" s="42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</row>
    <row r="583" spans="1:28" x14ac:dyDescent="0.35">
      <c r="A583" s="41"/>
      <c r="B583" s="41"/>
      <c r="C583" s="41"/>
      <c r="D583" s="47"/>
      <c r="E583" s="42"/>
      <c r="F583" s="42"/>
      <c r="G583" s="42"/>
      <c r="H583" s="42"/>
      <c r="I583" s="42"/>
      <c r="J583" s="42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</row>
    <row r="584" spans="1:28" x14ac:dyDescent="0.35">
      <c r="A584" s="41"/>
      <c r="B584" s="41"/>
      <c r="C584" s="41"/>
      <c r="D584" s="47"/>
      <c r="E584" s="42"/>
      <c r="F584" s="42"/>
      <c r="G584" s="42"/>
      <c r="H584" s="42"/>
      <c r="I584" s="42"/>
      <c r="J584" s="42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</row>
    <row r="585" spans="1:28" x14ac:dyDescent="0.35">
      <c r="A585" s="41"/>
      <c r="B585" s="41"/>
      <c r="C585" s="41"/>
      <c r="D585" s="47"/>
      <c r="E585" s="42"/>
      <c r="F585" s="42"/>
      <c r="G585" s="42"/>
      <c r="H585" s="42"/>
      <c r="I585" s="42"/>
      <c r="J585" s="42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</row>
    <row r="586" spans="1:28" x14ac:dyDescent="0.35">
      <c r="A586" s="41"/>
      <c r="B586" s="41"/>
      <c r="C586" s="41"/>
      <c r="D586" s="47"/>
      <c r="E586" s="42"/>
      <c r="F586" s="42"/>
      <c r="G586" s="42"/>
      <c r="H586" s="42"/>
      <c r="I586" s="42"/>
      <c r="J586" s="42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</row>
    <row r="587" spans="1:28" x14ac:dyDescent="0.35">
      <c r="A587" s="41"/>
      <c r="B587" s="41"/>
      <c r="C587" s="41"/>
      <c r="D587" s="47"/>
      <c r="E587" s="42"/>
      <c r="F587" s="42"/>
      <c r="G587" s="42"/>
      <c r="H587" s="42"/>
      <c r="I587" s="42"/>
      <c r="J587" s="42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</row>
    <row r="588" spans="1:28" x14ac:dyDescent="0.35">
      <c r="A588" s="41"/>
      <c r="B588" s="41"/>
      <c r="C588" s="41"/>
      <c r="D588" s="47"/>
      <c r="E588" s="42"/>
      <c r="F588" s="42"/>
      <c r="G588" s="42"/>
      <c r="H588" s="42"/>
      <c r="I588" s="42"/>
      <c r="J588" s="42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</row>
    <row r="589" spans="1:28" x14ac:dyDescent="0.35">
      <c r="A589" s="41"/>
      <c r="B589" s="41"/>
      <c r="C589" s="41"/>
      <c r="D589" s="47"/>
      <c r="E589" s="42"/>
      <c r="F589" s="42"/>
      <c r="G589" s="42"/>
      <c r="H589" s="42"/>
      <c r="I589" s="42"/>
      <c r="J589" s="42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</row>
    <row r="590" spans="1:28" x14ac:dyDescent="0.35">
      <c r="A590" s="41"/>
      <c r="B590" s="41"/>
      <c r="C590" s="41"/>
      <c r="D590" s="47"/>
      <c r="E590" s="42"/>
      <c r="F590" s="42"/>
      <c r="G590" s="42"/>
      <c r="H590" s="42"/>
      <c r="I590" s="42"/>
      <c r="J590" s="42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</row>
    <row r="591" spans="1:28" x14ac:dyDescent="0.35">
      <c r="A591" s="41"/>
      <c r="B591" s="41"/>
      <c r="C591" s="41"/>
      <c r="D591" s="47"/>
      <c r="E591" s="42"/>
      <c r="F591" s="42"/>
      <c r="G591" s="42"/>
      <c r="H591" s="42"/>
      <c r="I591" s="42"/>
      <c r="J591" s="42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</row>
    <row r="592" spans="1:28" x14ac:dyDescent="0.35">
      <c r="A592" s="41"/>
      <c r="B592" s="41"/>
      <c r="C592" s="41"/>
      <c r="D592" s="47"/>
      <c r="E592" s="42"/>
      <c r="F592" s="42"/>
      <c r="G592" s="42"/>
      <c r="H592" s="42"/>
      <c r="I592" s="42"/>
      <c r="J592" s="42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</row>
    <row r="593" spans="1:28" x14ac:dyDescent="0.35">
      <c r="A593" s="41"/>
      <c r="B593" s="41"/>
      <c r="C593" s="41"/>
      <c r="D593" s="47"/>
      <c r="E593" s="42"/>
      <c r="F593" s="42"/>
      <c r="G593" s="42"/>
      <c r="H593" s="42"/>
      <c r="I593" s="42"/>
      <c r="J593" s="42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</row>
    <row r="594" spans="1:28" x14ac:dyDescent="0.35">
      <c r="A594" s="41"/>
      <c r="B594" s="41"/>
      <c r="C594" s="41"/>
      <c r="D594" s="47"/>
      <c r="E594" s="42"/>
      <c r="F594" s="42"/>
      <c r="G594" s="42"/>
      <c r="H594" s="42"/>
      <c r="I594" s="42"/>
      <c r="J594" s="42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</row>
    <row r="595" spans="1:28" x14ac:dyDescent="0.35">
      <c r="A595" s="41"/>
      <c r="B595" s="41"/>
      <c r="C595" s="41"/>
      <c r="D595" s="47"/>
      <c r="E595" s="42"/>
      <c r="F595" s="42"/>
      <c r="G595" s="42"/>
      <c r="H595" s="42"/>
      <c r="I595" s="42"/>
      <c r="J595" s="42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</row>
    <row r="596" spans="1:28" x14ac:dyDescent="0.35">
      <c r="A596" s="41"/>
      <c r="B596" s="41"/>
      <c r="C596" s="41"/>
      <c r="D596" s="47"/>
      <c r="E596" s="42"/>
      <c r="F596" s="42"/>
      <c r="G596" s="42"/>
      <c r="H596" s="42"/>
      <c r="I596" s="42"/>
      <c r="J596" s="42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</row>
    <row r="597" spans="1:28" x14ac:dyDescent="0.35">
      <c r="A597" s="41"/>
      <c r="B597" s="41"/>
      <c r="C597" s="41"/>
      <c r="D597" s="47"/>
      <c r="E597" s="42"/>
      <c r="F597" s="42"/>
      <c r="G597" s="42"/>
      <c r="H597" s="42"/>
      <c r="I597" s="42"/>
      <c r="J597" s="42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</row>
    <row r="598" spans="1:28" x14ac:dyDescent="0.35">
      <c r="A598" s="41"/>
      <c r="B598" s="41"/>
      <c r="C598" s="41"/>
      <c r="D598" s="47"/>
      <c r="E598" s="42"/>
      <c r="F598" s="42"/>
      <c r="G598" s="42"/>
      <c r="H598" s="42"/>
      <c r="I598" s="42"/>
      <c r="J598" s="42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</row>
    <row r="599" spans="1:28" x14ac:dyDescent="0.35">
      <c r="A599" s="41"/>
      <c r="B599" s="41"/>
      <c r="C599" s="41"/>
      <c r="D599" s="47"/>
      <c r="E599" s="42"/>
      <c r="F599" s="42"/>
      <c r="G599" s="42"/>
      <c r="H599" s="42"/>
      <c r="I599" s="42"/>
      <c r="J599" s="42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</row>
    <row r="600" spans="1:28" x14ac:dyDescent="0.35">
      <c r="A600" s="41"/>
      <c r="B600" s="41"/>
      <c r="C600" s="41"/>
      <c r="D600" s="47"/>
      <c r="E600" s="42"/>
      <c r="F600" s="42"/>
      <c r="G600" s="42"/>
      <c r="H600" s="42"/>
      <c r="I600" s="42"/>
      <c r="J600" s="42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</row>
    <row r="601" spans="1:28" x14ac:dyDescent="0.35">
      <c r="A601" s="41"/>
      <c r="B601" s="41"/>
      <c r="C601" s="41"/>
      <c r="D601" s="47"/>
      <c r="E601" s="42"/>
      <c r="F601" s="42"/>
      <c r="G601" s="42"/>
      <c r="H601" s="42"/>
      <c r="I601" s="42"/>
      <c r="J601" s="42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</row>
    <row r="602" spans="1:28" x14ac:dyDescent="0.35">
      <c r="A602" s="41"/>
      <c r="B602" s="41"/>
      <c r="C602" s="41"/>
      <c r="D602" s="47"/>
      <c r="E602" s="42"/>
      <c r="F602" s="42"/>
      <c r="G602" s="42"/>
      <c r="H602" s="42"/>
      <c r="I602" s="42"/>
      <c r="J602" s="42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</row>
    <row r="603" spans="1:28" x14ac:dyDescent="0.35">
      <c r="A603" s="41"/>
      <c r="B603" s="41"/>
      <c r="C603" s="41"/>
      <c r="D603" s="47"/>
      <c r="E603" s="42"/>
      <c r="F603" s="42"/>
      <c r="G603" s="42"/>
      <c r="H603" s="42"/>
      <c r="I603" s="42"/>
      <c r="J603" s="42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</row>
    <row r="604" spans="1:28" x14ac:dyDescent="0.35">
      <c r="A604" s="41"/>
      <c r="B604" s="41"/>
      <c r="C604" s="41"/>
      <c r="D604" s="47"/>
      <c r="E604" s="42"/>
      <c r="F604" s="42"/>
      <c r="G604" s="42"/>
      <c r="H604" s="42"/>
      <c r="I604" s="42"/>
      <c r="J604" s="42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</row>
    <row r="605" spans="1:28" x14ac:dyDescent="0.35">
      <c r="A605" s="41"/>
      <c r="B605" s="41"/>
      <c r="C605" s="41"/>
      <c r="D605" s="47"/>
      <c r="E605" s="42"/>
      <c r="F605" s="42"/>
      <c r="G605" s="42"/>
      <c r="H605" s="42"/>
      <c r="I605" s="42"/>
      <c r="J605" s="42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</row>
    <row r="606" spans="1:28" x14ac:dyDescent="0.35">
      <c r="A606" s="41"/>
      <c r="B606" s="41"/>
      <c r="C606" s="41"/>
      <c r="D606" s="47"/>
      <c r="E606" s="42"/>
      <c r="F606" s="42"/>
      <c r="G606" s="42"/>
      <c r="H606" s="42"/>
      <c r="I606" s="42"/>
      <c r="J606" s="42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</row>
    <row r="607" spans="1:28" x14ac:dyDescent="0.35">
      <c r="A607" s="41"/>
      <c r="B607" s="41"/>
      <c r="C607" s="41"/>
      <c r="D607" s="47"/>
      <c r="E607" s="42"/>
      <c r="F607" s="42"/>
      <c r="G607" s="42"/>
      <c r="H607" s="42"/>
      <c r="I607" s="42"/>
      <c r="J607" s="42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</row>
    <row r="608" spans="1:28" x14ac:dyDescent="0.35">
      <c r="A608" s="41"/>
      <c r="B608" s="41"/>
      <c r="C608" s="41"/>
      <c r="D608" s="47"/>
      <c r="E608" s="42"/>
      <c r="F608" s="42"/>
      <c r="G608" s="42"/>
      <c r="H608" s="42"/>
      <c r="I608" s="42"/>
      <c r="J608" s="42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</row>
    <row r="609" spans="1:28" x14ac:dyDescent="0.35">
      <c r="A609" s="41"/>
      <c r="B609" s="41"/>
      <c r="C609" s="41"/>
      <c r="D609" s="47"/>
      <c r="E609" s="42"/>
      <c r="F609" s="42"/>
      <c r="G609" s="42"/>
      <c r="H609" s="42"/>
      <c r="I609" s="42"/>
      <c r="J609" s="42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</row>
    <row r="610" spans="1:28" x14ac:dyDescent="0.35">
      <c r="A610" s="41"/>
      <c r="B610" s="41"/>
      <c r="C610" s="41"/>
      <c r="D610" s="47"/>
      <c r="E610" s="42"/>
      <c r="F610" s="42"/>
      <c r="G610" s="42"/>
      <c r="H610" s="42"/>
      <c r="I610" s="42"/>
      <c r="J610" s="42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</row>
    <row r="611" spans="1:28" x14ac:dyDescent="0.35">
      <c r="A611" s="41"/>
      <c r="B611" s="41"/>
      <c r="C611" s="41"/>
      <c r="D611" s="47"/>
      <c r="E611" s="42"/>
      <c r="F611" s="42"/>
      <c r="G611" s="42"/>
      <c r="H611" s="42"/>
      <c r="I611" s="42"/>
      <c r="J611" s="42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</row>
    <row r="612" spans="1:28" x14ac:dyDescent="0.35">
      <c r="A612" s="41"/>
      <c r="B612" s="41"/>
      <c r="C612" s="41"/>
      <c r="D612" s="47"/>
      <c r="E612" s="42"/>
      <c r="F612" s="42"/>
      <c r="G612" s="42"/>
      <c r="H612" s="42"/>
      <c r="I612" s="42"/>
      <c r="J612" s="42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</row>
    <row r="613" spans="1:28" x14ac:dyDescent="0.35">
      <c r="A613" s="41"/>
      <c r="B613" s="41"/>
      <c r="C613" s="41"/>
      <c r="D613" s="47"/>
      <c r="E613" s="42"/>
      <c r="F613" s="42"/>
      <c r="G613" s="42"/>
      <c r="H613" s="42"/>
      <c r="I613" s="42"/>
      <c r="J613" s="42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</row>
    <row r="614" spans="1:28" x14ac:dyDescent="0.35">
      <c r="A614" s="41"/>
      <c r="B614" s="41"/>
      <c r="C614" s="41"/>
      <c r="D614" s="47"/>
      <c r="E614" s="42"/>
      <c r="F614" s="42"/>
      <c r="G614" s="42"/>
      <c r="H614" s="42"/>
      <c r="I614" s="42"/>
      <c r="J614" s="42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</row>
    <row r="615" spans="1:28" x14ac:dyDescent="0.35">
      <c r="A615" s="41"/>
      <c r="B615" s="41"/>
      <c r="C615" s="41"/>
      <c r="D615" s="47"/>
      <c r="E615" s="42"/>
      <c r="F615" s="42"/>
      <c r="G615" s="42"/>
      <c r="H615" s="42"/>
      <c r="I615" s="42"/>
      <c r="J615" s="42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</row>
    <row r="616" spans="1:28" x14ac:dyDescent="0.35">
      <c r="A616" s="41"/>
      <c r="B616" s="41"/>
      <c r="C616" s="41"/>
      <c r="D616" s="47"/>
      <c r="E616" s="42"/>
      <c r="F616" s="42"/>
      <c r="G616" s="42"/>
      <c r="H616" s="42"/>
      <c r="I616" s="42"/>
      <c r="J616" s="42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</row>
    <row r="617" spans="1:28" x14ac:dyDescent="0.35">
      <c r="A617" s="41"/>
      <c r="B617" s="41"/>
      <c r="C617" s="41"/>
      <c r="D617" s="47"/>
      <c r="E617" s="42"/>
      <c r="F617" s="42"/>
      <c r="G617" s="42"/>
      <c r="H617" s="42"/>
      <c r="I617" s="42"/>
      <c r="J617" s="42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</row>
    <row r="618" spans="1:28" x14ac:dyDescent="0.35">
      <c r="A618" s="41"/>
      <c r="B618" s="41"/>
      <c r="C618" s="41"/>
      <c r="D618" s="47"/>
      <c r="E618" s="42"/>
      <c r="F618" s="42"/>
      <c r="G618" s="42"/>
      <c r="H618" s="42"/>
      <c r="I618" s="42"/>
      <c r="J618" s="42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</row>
    <row r="619" spans="1:28" x14ac:dyDescent="0.35">
      <c r="A619" s="41"/>
      <c r="B619" s="41"/>
      <c r="C619" s="41"/>
      <c r="D619" s="47"/>
      <c r="E619" s="42"/>
      <c r="F619" s="42"/>
      <c r="G619" s="42"/>
      <c r="H619" s="42"/>
      <c r="I619" s="42"/>
      <c r="J619" s="42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</row>
    <row r="620" spans="1:28" x14ac:dyDescent="0.35">
      <c r="A620" s="41"/>
      <c r="B620" s="41"/>
      <c r="C620" s="41"/>
      <c r="D620" s="47"/>
      <c r="E620" s="42"/>
      <c r="F620" s="42"/>
      <c r="G620" s="42"/>
      <c r="H620" s="42"/>
      <c r="I620" s="42"/>
      <c r="J620" s="42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</row>
    <row r="621" spans="1:28" x14ac:dyDescent="0.35">
      <c r="A621" s="41"/>
      <c r="B621" s="41"/>
      <c r="C621" s="41"/>
      <c r="D621" s="47"/>
      <c r="E621" s="42"/>
      <c r="F621" s="42"/>
      <c r="G621" s="42"/>
      <c r="H621" s="42"/>
      <c r="I621" s="42"/>
      <c r="J621" s="42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</row>
    <row r="622" spans="1:28" x14ac:dyDescent="0.35">
      <c r="A622" s="41"/>
      <c r="B622" s="41"/>
      <c r="C622" s="41"/>
      <c r="D622" s="47"/>
      <c r="E622" s="42"/>
      <c r="F622" s="42"/>
      <c r="G622" s="42"/>
      <c r="H622" s="42"/>
      <c r="I622" s="42"/>
      <c r="J622" s="42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</row>
    <row r="623" spans="1:28" x14ac:dyDescent="0.35">
      <c r="A623" s="41"/>
      <c r="B623" s="41"/>
      <c r="C623" s="41"/>
      <c r="D623" s="47"/>
      <c r="E623" s="42"/>
      <c r="F623" s="42"/>
      <c r="G623" s="42"/>
      <c r="H623" s="42"/>
      <c r="I623" s="42"/>
      <c r="J623" s="42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</row>
    <row r="624" spans="1:28" x14ac:dyDescent="0.35">
      <c r="A624" s="41"/>
      <c r="B624" s="41"/>
      <c r="C624" s="41"/>
      <c r="D624" s="47"/>
      <c r="E624" s="42"/>
      <c r="F624" s="42"/>
      <c r="G624" s="42"/>
      <c r="H624" s="42"/>
      <c r="I624" s="42"/>
      <c r="J624" s="42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</row>
    <row r="625" spans="1:28" x14ac:dyDescent="0.35">
      <c r="A625" s="41"/>
      <c r="B625" s="41"/>
      <c r="C625" s="41"/>
      <c r="D625" s="47"/>
      <c r="E625" s="42"/>
      <c r="F625" s="42"/>
      <c r="G625" s="42"/>
      <c r="H625" s="42"/>
      <c r="I625" s="42"/>
      <c r="J625" s="42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</row>
    <row r="626" spans="1:28" x14ac:dyDescent="0.35">
      <c r="A626" s="41"/>
      <c r="B626" s="41"/>
      <c r="C626" s="41"/>
      <c r="D626" s="47"/>
      <c r="E626" s="42"/>
      <c r="F626" s="42"/>
      <c r="G626" s="42"/>
      <c r="H626" s="42"/>
      <c r="I626" s="42"/>
      <c r="J626" s="42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</row>
    <row r="627" spans="1:28" x14ac:dyDescent="0.35">
      <c r="A627" s="41"/>
      <c r="B627" s="41"/>
      <c r="C627" s="41"/>
      <c r="D627" s="47"/>
      <c r="E627" s="42"/>
      <c r="F627" s="42"/>
      <c r="G627" s="42"/>
      <c r="H627" s="42"/>
      <c r="I627" s="42"/>
      <c r="J627" s="42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</row>
    <row r="628" spans="1:28" x14ac:dyDescent="0.35">
      <c r="A628" s="41"/>
      <c r="B628" s="41"/>
      <c r="C628" s="41"/>
      <c r="D628" s="47"/>
      <c r="E628" s="42"/>
      <c r="F628" s="42"/>
      <c r="G628" s="42"/>
      <c r="H628" s="42"/>
      <c r="I628" s="42"/>
      <c r="J628" s="42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</row>
    <row r="629" spans="1:28" x14ac:dyDescent="0.35">
      <c r="A629" s="41"/>
      <c r="B629" s="41"/>
      <c r="C629" s="41"/>
      <c r="D629" s="47"/>
      <c r="E629" s="42"/>
      <c r="F629" s="42"/>
      <c r="G629" s="42"/>
      <c r="H629" s="42"/>
      <c r="I629" s="42"/>
      <c r="J629" s="42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</row>
    <row r="630" spans="1:28" x14ac:dyDescent="0.35">
      <c r="A630" s="41"/>
      <c r="B630" s="41"/>
      <c r="C630" s="41"/>
      <c r="D630" s="47"/>
      <c r="E630" s="42"/>
      <c r="F630" s="42"/>
      <c r="G630" s="42"/>
      <c r="H630" s="42"/>
      <c r="I630" s="42"/>
      <c r="J630" s="42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</row>
    <row r="631" spans="1:28" x14ac:dyDescent="0.35">
      <c r="A631" s="41"/>
      <c r="B631" s="41"/>
      <c r="C631" s="41"/>
      <c r="D631" s="47"/>
      <c r="E631" s="42"/>
      <c r="F631" s="42"/>
      <c r="G631" s="42"/>
      <c r="H631" s="42"/>
      <c r="I631" s="42"/>
      <c r="J631" s="42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</row>
    <row r="632" spans="1:28" x14ac:dyDescent="0.35">
      <c r="A632" s="41"/>
      <c r="B632" s="41"/>
      <c r="C632" s="41"/>
      <c r="D632" s="47"/>
      <c r="E632" s="42"/>
      <c r="F632" s="42"/>
      <c r="G632" s="42"/>
      <c r="H632" s="42"/>
      <c r="I632" s="42"/>
      <c r="J632" s="42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</row>
    <row r="633" spans="1:28" x14ac:dyDescent="0.35">
      <c r="A633" s="41"/>
      <c r="B633" s="41"/>
      <c r="C633" s="41"/>
      <c r="D633" s="47"/>
      <c r="E633" s="42"/>
      <c r="F633" s="42"/>
      <c r="G633" s="42"/>
      <c r="H633" s="42"/>
      <c r="I633" s="42"/>
      <c r="J633" s="42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</row>
    <row r="634" spans="1:28" x14ac:dyDescent="0.35">
      <c r="A634" s="41"/>
      <c r="B634" s="41"/>
      <c r="C634" s="41"/>
      <c r="D634" s="47"/>
      <c r="E634" s="42"/>
      <c r="F634" s="42"/>
      <c r="G634" s="42"/>
      <c r="H634" s="42"/>
      <c r="I634" s="42"/>
      <c r="J634" s="42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</row>
    <row r="635" spans="1:28" x14ac:dyDescent="0.35">
      <c r="A635" s="41"/>
      <c r="B635" s="41"/>
      <c r="C635" s="41"/>
      <c r="D635" s="47"/>
      <c r="E635" s="42"/>
      <c r="F635" s="42"/>
      <c r="G635" s="42"/>
      <c r="H635" s="42"/>
      <c r="I635" s="42"/>
      <c r="J635" s="42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</row>
    <row r="636" spans="1:28" x14ac:dyDescent="0.35">
      <c r="A636" s="41"/>
      <c r="B636" s="41"/>
      <c r="C636" s="41"/>
      <c r="D636" s="47"/>
      <c r="E636" s="42"/>
      <c r="F636" s="42"/>
      <c r="G636" s="42"/>
      <c r="H636" s="42"/>
      <c r="I636" s="42"/>
      <c r="J636" s="42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</row>
    <row r="637" spans="1:28" x14ac:dyDescent="0.35">
      <c r="A637" s="41"/>
      <c r="B637" s="41"/>
      <c r="C637" s="41"/>
      <c r="D637" s="47"/>
      <c r="E637" s="42"/>
      <c r="F637" s="42"/>
      <c r="G637" s="42"/>
      <c r="H637" s="42"/>
      <c r="I637" s="42"/>
      <c r="J637" s="42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</row>
    <row r="638" spans="1:28" x14ac:dyDescent="0.35">
      <c r="A638" s="41"/>
      <c r="B638" s="41"/>
      <c r="C638" s="41"/>
      <c r="D638" s="47"/>
      <c r="E638" s="42"/>
      <c r="F638" s="42"/>
      <c r="G638" s="42"/>
      <c r="H638" s="42"/>
      <c r="I638" s="42"/>
      <c r="J638" s="42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</row>
    <row r="639" spans="1:28" x14ac:dyDescent="0.35">
      <c r="A639" s="41"/>
      <c r="B639" s="41"/>
      <c r="C639" s="41"/>
      <c r="D639" s="47"/>
      <c r="E639" s="42"/>
      <c r="F639" s="42"/>
      <c r="G639" s="42"/>
      <c r="H639" s="42"/>
      <c r="I639" s="42"/>
      <c r="J639" s="42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</row>
    <row r="640" spans="1:28" x14ac:dyDescent="0.35">
      <c r="A640" s="41"/>
      <c r="B640" s="41"/>
      <c r="C640" s="41"/>
      <c r="D640" s="47"/>
      <c r="E640" s="42"/>
      <c r="F640" s="42"/>
      <c r="G640" s="42"/>
      <c r="H640" s="42"/>
      <c r="I640" s="42"/>
      <c r="J640" s="42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</row>
    <row r="641" spans="1:28" x14ac:dyDescent="0.35">
      <c r="A641" s="41"/>
      <c r="B641" s="41"/>
      <c r="C641" s="41"/>
      <c r="D641" s="47"/>
      <c r="E641" s="42"/>
      <c r="F641" s="42"/>
      <c r="G641" s="42"/>
      <c r="H641" s="42"/>
      <c r="I641" s="42"/>
      <c r="J641" s="42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</row>
    <row r="642" spans="1:28" x14ac:dyDescent="0.35">
      <c r="A642" s="41"/>
      <c r="B642" s="41"/>
      <c r="C642" s="41"/>
      <c r="D642" s="47"/>
      <c r="E642" s="42"/>
      <c r="F642" s="42"/>
      <c r="G642" s="42"/>
      <c r="H642" s="42"/>
      <c r="I642" s="42"/>
      <c r="J642" s="42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</row>
    <row r="643" spans="1:28" x14ac:dyDescent="0.35">
      <c r="A643" s="41"/>
      <c r="B643" s="41"/>
      <c r="C643" s="41"/>
      <c r="D643" s="47"/>
      <c r="E643" s="42"/>
      <c r="F643" s="42"/>
      <c r="G643" s="42"/>
      <c r="H643" s="42"/>
      <c r="I643" s="42"/>
      <c r="J643" s="42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</row>
    <row r="644" spans="1:28" x14ac:dyDescent="0.35">
      <c r="A644" s="41"/>
      <c r="B644" s="41"/>
      <c r="C644" s="41"/>
      <c r="D644" s="47"/>
      <c r="E644" s="42"/>
      <c r="F644" s="42"/>
      <c r="G644" s="42"/>
      <c r="H644" s="42"/>
      <c r="I644" s="42"/>
      <c r="J644" s="42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</row>
    <row r="645" spans="1:28" x14ac:dyDescent="0.35">
      <c r="A645" s="41"/>
      <c r="B645" s="41"/>
      <c r="C645" s="41"/>
      <c r="D645" s="47"/>
      <c r="E645" s="42"/>
      <c r="F645" s="42"/>
      <c r="G645" s="42"/>
      <c r="H645" s="42"/>
      <c r="I645" s="42"/>
      <c r="J645" s="42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</row>
    <row r="646" spans="1:28" x14ac:dyDescent="0.35">
      <c r="A646" s="41"/>
      <c r="B646" s="41"/>
      <c r="C646" s="41"/>
      <c r="D646" s="47"/>
      <c r="E646" s="42"/>
      <c r="F646" s="42"/>
      <c r="G646" s="42"/>
      <c r="H646" s="42"/>
      <c r="I646" s="42"/>
      <c r="J646" s="42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</row>
    <row r="647" spans="1:28" x14ac:dyDescent="0.35">
      <c r="A647" s="41"/>
      <c r="B647" s="41"/>
      <c r="C647" s="41"/>
      <c r="D647" s="47"/>
      <c r="E647" s="42"/>
      <c r="F647" s="42"/>
      <c r="G647" s="42"/>
      <c r="H647" s="42"/>
      <c r="I647" s="42"/>
      <c r="J647" s="42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</row>
    <row r="648" spans="1:28" x14ac:dyDescent="0.35">
      <c r="A648" s="41"/>
      <c r="B648" s="41"/>
      <c r="C648" s="41"/>
      <c r="D648" s="47"/>
      <c r="E648" s="42"/>
      <c r="F648" s="42"/>
      <c r="G648" s="42"/>
      <c r="H648" s="42"/>
      <c r="I648" s="42"/>
      <c r="J648" s="42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</row>
    <row r="649" spans="1:28" x14ac:dyDescent="0.35">
      <c r="A649" s="41"/>
      <c r="B649" s="41"/>
      <c r="C649" s="41"/>
      <c r="D649" s="47"/>
      <c r="E649" s="42"/>
      <c r="F649" s="42"/>
      <c r="G649" s="42"/>
      <c r="H649" s="42"/>
      <c r="I649" s="42"/>
      <c r="J649" s="42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</row>
    <row r="650" spans="1:28" x14ac:dyDescent="0.35">
      <c r="A650" s="41"/>
      <c r="B650" s="41"/>
      <c r="C650" s="41"/>
      <c r="D650" s="47"/>
      <c r="E650" s="42"/>
      <c r="F650" s="42"/>
      <c r="G650" s="42"/>
      <c r="H650" s="42"/>
      <c r="I650" s="42"/>
      <c r="J650" s="42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</row>
    <row r="651" spans="1:28" x14ac:dyDescent="0.35">
      <c r="A651" s="41"/>
      <c r="B651" s="41"/>
      <c r="C651" s="41"/>
      <c r="D651" s="47"/>
      <c r="E651" s="42"/>
      <c r="F651" s="42"/>
      <c r="G651" s="42"/>
      <c r="H651" s="42"/>
      <c r="I651" s="42"/>
      <c r="J651" s="42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</row>
    <row r="652" spans="1:28" x14ac:dyDescent="0.35">
      <c r="A652" s="41"/>
      <c r="B652" s="41"/>
      <c r="C652" s="41"/>
      <c r="D652" s="47"/>
      <c r="E652" s="42"/>
      <c r="F652" s="42"/>
      <c r="G652" s="42"/>
      <c r="H652" s="42"/>
      <c r="I652" s="42"/>
      <c r="J652" s="42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</row>
    <row r="653" spans="1:28" x14ac:dyDescent="0.35">
      <c r="A653" s="41"/>
      <c r="B653" s="41"/>
      <c r="C653" s="41"/>
      <c r="D653" s="47"/>
      <c r="E653" s="42"/>
      <c r="F653" s="42"/>
      <c r="G653" s="42"/>
      <c r="H653" s="42"/>
      <c r="I653" s="42"/>
      <c r="J653" s="42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</row>
    <row r="654" spans="1:28" x14ac:dyDescent="0.35">
      <c r="A654" s="41"/>
      <c r="B654" s="41"/>
      <c r="C654" s="41"/>
      <c r="D654" s="47"/>
      <c r="E654" s="42"/>
      <c r="F654" s="42"/>
      <c r="G654" s="42"/>
      <c r="H654" s="42"/>
      <c r="I654" s="42"/>
      <c r="J654" s="42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</row>
    <row r="655" spans="1:28" x14ac:dyDescent="0.35">
      <c r="A655" s="41"/>
      <c r="B655" s="41"/>
      <c r="C655" s="41"/>
      <c r="D655" s="47"/>
      <c r="E655" s="42"/>
      <c r="F655" s="42"/>
      <c r="G655" s="42"/>
      <c r="H655" s="42"/>
      <c r="I655" s="42"/>
      <c r="J655" s="42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</row>
    <row r="656" spans="1:28" x14ac:dyDescent="0.35">
      <c r="A656" s="41"/>
      <c r="B656" s="41"/>
      <c r="C656" s="41"/>
      <c r="D656" s="47"/>
      <c r="E656" s="42"/>
      <c r="F656" s="42"/>
      <c r="G656" s="42"/>
      <c r="H656" s="42"/>
      <c r="I656" s="42"/>
      <c r="J656" s="42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</row>
    <row r="657" spans="1:28" x14ac:dyDescent="0.35">
      <c r="A657" s="41"/>
      <c r="B657" s="41"/>
      <c r="C657" s="41"/>
      <c r="D657" s="47"/>
      <c r="E657" s="42"/>
      <c r="F657" s="42"/>
      <c r="G657" s="42"/>
      <c r="H657" s="42"/>
      <c r="I657" s="42"/>
      <c r="J657" s="42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</row>
    <row r="658" spans="1:28" x14ac:dyDescent="0.35">
      <c r="A658" s="41"/>
      <c r="B658" s="41"/>
      <c r="C658" s="41"/>
      <c r="D658" s="47"/>
      <c r="E658" s="42"/>
      <c r="F658" s="42"/>
      <c r="G658" s="42"/>
      <c r="H658" s="42"/>
      <c r="I658" s="42"/>
      <c r="J658" s="42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</row>
    <row r="659" spans="1:28" x14ac:dyDescent="0.35">
      <c r="A659" s="41"/>
      <c r="B659" s="41"/>
      <c r="C659" s="41"/>
      <c r="D659" s="47"/>
      <c r="E659" s="42"/>
      <c r="F659" s="42"/>
      <c r="G659" s="42"/>
      <c r="H659" s="42"/>
      <c r="I659" s="42"/>
      <c r="J659" s="42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</row>
    <row r="660" spans="1:28" x14ac:dyDescent="0.35">
      <c r="A660" s="41"/>
      <c r="B660" s="41"/>
      <c r="C660" s="41"/>
      <c r="D660" s="47"/>
      <c r="E660" s="42"/>
      <c r="F660" s="42"/>
      <c r="G660" s="42"/>
      <c r="H660" s="42"/>
      <c r="I660" s="42"/>
      <c r="J660" s="42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</row>
    <row r="661" spans="1:28" x14ac:dyDescent="0.35">
      <c r="A661" s="41"/>
      <c r="B661" s="41"/>
      <c r="C661" s="41"/>
      <c r="D661" s="47"/>
      <c r="E661" s="42"/>
      <c r="F661" s="42"/>
      <c r="G661" s="42"/>
      <c r="H661" s="42"/>
      <c r="I661" s="42"/>
      <c r="J661" s="42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</row>
    <row r="662" spans="1:28" x14ac:dyDescent="0.35">
      <c r="A662" s="41"/>
      <c r="B662" s="41"/>
      <c r="C662" s="41"/>
      <c r="D662" s="47"/>
      <c r="E662" s="42"/>
      <c r="F662" s="42"/>
      <c r="G662" s="42"/>
      <c r="H662" s="42"/>
      <c r="I662" s="42"/>
      <c r="J662" s="42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</row>
    <row r="663" spans="1:28" x14ac:dyDescent="0.35">
      <c r="A663" s="41"/>
      <c r="B663" s="41"/>
      <c r="C663" s="41"/>
      <c r="D663" s="47"/>
      <c r="E663" s="42"/>
      <c r="F663" s="42"/>
      <c r="G663" s="42"/>
      <c r="H663" s="42"/>
      <c r="I663" s="42"/>
      <c r="J663" s="42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</row>
    <row r="664" spans="1:28" x14ac:dyDescent="0.35">
      <c r="A664" s="41"/>
      <c r="B664" s="41"/>
      <c r="C664" s="41"/>
      <c r="D664" s="47"/>
      <c r="E664" s="42"/>
      <c r="F664" s="42"/>
      <c r="G664" s="42"/>
      <c r="H664" s="42"/>
      <c r="I664" s="42"/>
      <c r="J664" s="42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</row>
    <row r="665" spans="1:28" x14ac:dyDescent="0.35">
      <c r="A665" s="41"/>
      <c r="B665" s="41"/>
      <c r="C665" s="41"/>
      <c r="D665" s="47"/>
      <c r="E665" s="42"/>
      <c r="F665" s="42"/>
      <c r="G665" s="42"/>
      <c r="H665" s="42"/>
      <c r="I665" s="42"/>
      <c r="J665" s="42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</row>
    <row r="666" spans="1:28" x14ac:dyDescent="0.35">
      <c r="A666" s="41"/>
      <c r="B666" s="41"/>
      <c r="C666" s="41"/>
      <c r="D666" s="47"/>
      <c r="E666" s="42"/>
      <c r="F666" s="42"/>
      <c r="G666" s="42"/>
      <c r="H666" s="42"/>
      <c r="I666" s="42"/>
      <c r="J666" s="42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</row>
    <row r="667" spans="1:28" x14ac:dyDescent="0.35">
      <c r="A667" s="41"/>
      <c r="B667" s="41"/>
      <c r="C667" s="41"/>
      <c r="D667" s="47"/>
      <c r="E667" s="42"/>
      <c r="F667" s="42"/>
      <c r="G667" s="42"/>
      <c r="H667" s="42"/>
      <c r="I667" s="42"/>
      <c r="J667" s="42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</row>
    <row r="668" spans="1:28" x14ac:dyDescent="0.35">
      <c r="A668" s="41"/>
      <c r="B668" s="41"/>
      <c r="C668" s="41"/>
      <c r="D668" s="47"/>
      <c r="E668" s="42"/>
      <c r="F668" s="42"/>
      <c r="G668" s="42"/>
      <c r="H668" s="42"/>
      <c r="I668" s="42"/>
      <c r="J668" s="42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</row>
    <row r="669" spans="1:28" x14ac:dyDescent="0.35">
      <c r="A669" s="41"/>
      <c r="B669" s="41"/>
      <c r="C669" s="41"/>
      <c r="D669" s="47"/>
      <c r="E669" s="42"/>
      <c r="F669" s="42"/>
      <c r="G669" s="42"/>
      <c r="H669" s="42"/>
      <c r="I669" s="42"/>
      <c r="J669" s="42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</row>
    <row r="670" spans="1:28" x14ac:dyDescent="0.35">
      <c r="A670" s="41"/>
      <c r="B670" s="41"/>
      <c r="C670" s="41"/>
      <c r="D670" s="47"/>
      <c r="E670" s="42"/>
      <c r="F670" s="42"/>
      <c r="G670" s="42"/>
      <c r="H670" s="42"/>
      <c r="I670" s="42"/>
      <c r="J670" s="42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</row>
    <row r="671" spans="1:28" x14ac:dyDescent="0.35">
      <c r="A671" s="41"/>
      <c r="B671" s="41"/>
      <c r="C671" s="41"/>
      <c r="D671" s="47"/>
      <c r="E671" s="42"/>
      <c r="F671" s="42"/>
      <c r="G671" s="42"/>
      <c r="H671" s="42"/>
      <c r="I671" s="42"/>
      <c r="J671" s="42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</row>
    <row r="672" spans="1:28" x14ac:dyDescent="0.35">
      <c r="A672" s="41"/>
      <c r="B672" s="41"/>
      <c r="C672" s="41"/>
      <c r="D672" s="47"/>
      <c r="E672" s="42"/>
      <c r="F672" s="42"/>
      <c r="G672" s="42"/>
      <c r="H672" s="42"/>
      <c r="I672" s="42"/>
      <c r="J672" s="42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</row>
    <row r="673" spans="1:28" x14ac:dyDescent="0.35">
      <c r="A673" s="41"/>
      <c r="B673" s="41"/>
      <c r="C673" s="41"/>
      <c r="D673" s="47"/>
      <c r="E673" s="42"/>
      <c r="F673" s="42"/>
      <c r="G673" s="42"/>
      <c r="H673" s="42"/>
      <c r="I673" s="42"/>
      <c r="J673" s="42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</row>
    <row r="674" spans="1:28" x14ac:dyDescent="0.35">
      <c r="A674" s="41"/>
      <c r="B674" s="41"/>
      <c r="C674" s="41"/>
      <c r="D674" s="47"/>
      <c r="E674" s="42"/>
      <c r="F674" s="42"/>
      <c r="G674" s="42"/>
      <c r="H674" s="42"/>
      <c r="I674" s="42"/>
      <c r="J674" s="42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</row>
    <row r="675" spans="1:28" x14ac:dyDescent="0.35">
      <c r="A675" s="41"/>
      <c r="B675" s="41"/>
      <c r="C675" s="41"/>
      <c r="D675" s="47"/>
      <c r="E675" s="42"/>
      <c r="F675" s="42"/>
      <c r="G675" s="42"/>
      <c r="H675" s="42"/>
      <c r="I675" s="42"/>
      <c r="J675" s="42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</row>
    <row r="676" spans="1:28" x14ac:dyDescent="0.35">
      <c r="A676" s="41"/>
      <c r="B676" s="41"/>
      <c r="C676" s="41"/>
      <c r="D676" s="47"/>
      <c r="E676" s="42"/>
      <c r="F676" s="42"/>
      <c r="G676" s="42"/>
      <c r="H676" s="42"/>
      <c r="I676" s="42"/>
      <c r="J676" s="42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</row>
    <row r="677" spans="1:28" x14ac:dyDescent="0.35">
      <c r="A677" s="41"/>
      <c r="B677" s="41"/>
      <c r="C677" s="41"/>
      <c r="D677" s="47"/>
      <c r="E677" s="42"/>
      <c r="F677" s="42"/>
      <c r="G677" s="42"/>
      <c r="H677" s="42"/>
      <c r="I677" s="42"/>
      <c r="J677" s="42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</row>
    <row r="678" spans="1:28" x14ac:dyDescent="0.35">
      <c r="A678" s="41"/>
      <c r="B678" s="41"/>
      <c r="C678" s="41"/>
      <c r="D678" s="47"/>
      <c r="E678" s="42"/>
      <c r="F678" s="42"/>
      <c r="G678" s="42"/>
      <c r="H678" s="42"/>
      <c r="I678" s="42"/>
      <c r="J678" s="42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</row>
    <row r="679" spans="1:28" x14ac:dyDescent="0.35">
      <c r="A679" s="41"/>
      <c r="B679" s="41"/>
      <c r="C679" s="41"/>
      <c r="D679" s="47"/>
      <c r="E679" s="42"/>
      <c r="F679" s="42"/>
      <c r="G679" s="42"/>
      <c r="H679" s="42"/>
      <c r="I679" s="42"/>
      <c r="J679" s="42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</row>
    <row r="680" spans="1:28" x14ac:dyDescent="0.35">
      <c r="A680" s="41"/>
      <c r="B680" s="41"/>
      <c r="C680" s="41"/>
      <c r="D680" s="47"/>
      <c r="E680" s="42"/>
      <c r="F680" s="42"/>
      <c r="G680" s="42"/>
      <c r="H680" s="42"/>
      <c r="I680" s="42"/>
      <c r="J680" s="42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</row>
    <row r="681" spans="1:28" x14ac:dyDescent="0.35">
      <c r="A681" s="41"/>
      <c r="B681" s="41"/>
      <c r="C681" s="41"/>
      <c r="D681" s="47"/>
      <c r="E681" s="42"/>
      <c r="F681" s="42"/>
      <c r="G681" s="42"/>
      <c r="H681" s="42"/>
      <c r="I681" s="42"/>
      <c r="J681" s="42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</row>
    <row r="682" spans="1:28" x14ac:dyDescent="0.35">
      <c r="A682" s="41"/>
      <c r="B682" s="41"/>
      <c r="C682" s="41"/>
      <c r="D682" s="47"/>
      <c r="E682" s="42"/>
      <c r="F682" s="42"/>
      <c r="G682" s="42"/>
      <c r="H682" s="42"/>
      <c r="I682" s="42"/>
      <c r="J682" s="42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</row>
    <row r="683" spans="1:28" x14ac:dyDescent="0.35">
      <c r="A683" s="41"/>
      <c r="B683" s="41"/>
      <c r="C683" s="41"/>
      <c r="D683" s="47"/>
      <c r="E683" s="42"/>
      <c r="F683" s="42"/>
      <c r="G683" s="42"/>
      <c r="H683" s="42"/>
      <c r="I683" s="42"/>
      <c r="J683" s="42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</row>
    <row r="684" spans="1:28" x14ac:dyDescent="0.35">
      <c r="A684" s="41"/>
      <c r="B684" s="41"/>
      <c r="C684" s="41"/>
      <c r="D684" s="47"/>
      <c r="E684" s="42"/>
      <c r="F684" s="42"/>
      <c r="G684" s="42"/>
      <c r="H684" s="42"/>
      <c r="I684" s="42"/>
      <c r="J684" s="42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</row>
    <row r="685" spans="1:28" x14ac:dyDescent="0.35">
      <c r="A685" s="41"/>
      <c r="B685" s="41"/>
      <c r="C685" s="41"/>
      <c r="D685" s="47"/>
      <c r="E685" s="42"/>
      <c r="F685" s="42"/>
      <c r="G685" s="42"/>
      <c r="H685" s="42"/>
      <c r="I685" s="42"/>
      <c r="J685" s="42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</row>
    <row r="686" spans="1:28" x14ac:dyDescent="0.35">
      <c r="A686" s="41"/>
      <c r="B686" s="41"/>
      <c r="C686" s="41"/>
      <c r="D686" s="47"/>
      <c r="E686" s="42"/>
      <c r="F686" s="42"/>
      <c r="G686" s="42"/>
      <c r="H686" s="42"/>
      <c r="I686" s="42"/>
      <c r="J686" s="42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</row>
    <row r="687" spans="1:28" x14ac:dyDescent="0.35">
      <c r="A687" s="41"/>
      <c r="B687" s="41"/>
      <c r="C687" s="41"/>
      <c r="D687" s="47"/>
      <c r="E687" s="42"/>
      <c r="F687" s="42"/>
      <c r="G687" s="42"/>
      <c r="H687" s="42"/>
      <c r="I687" s="42"/>
      <c r="J687" s="42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</row>
    <row r="688" spans="1:28" x14ac:dyDescent="0.35">
      <c r="A688" s="41"/>
      <c r="B688" s="41"/>
      <c r="C688" s="41"/>
      <c r="D688" s="47"/>
      <c r="E688" s="42"/>
      <c r="F688" s="42"/>
      <c r="G688" s="42"/>
      <c r="H688" s="42"/>
      <c r="I688" s="42"/>
      <c r="J688" s="42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</row>
    <row r="689" spans="1:28" x14ac:dyDescent="0.35">
      <c r="A689" s="41"/>
      <c r="B689" s="41"/>
      <c r="C689" s="41"/>
      <c r="D689" s="47"/>
      <c r="E689" s="42"/>
      <c r="F689" s="42"/>
      <c r="G689" s="42"/>
      <c r="H689" s="42"/>
      <c r="I689" s="42"/>
      <c r="J689" s="42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</row>
    <row r="690" spans="1:28" x14ac:dyDescent="0.35">
      <c r="A690" s="41"/>
      <c r="B690" s="41"/>
      <c r="C690" s="41"/>
      <c r="D690" s="47"/>
      <c r="E690" s="42"/>
      <c r="F690" s="42"/>
      <c r="G690" s="42"/>
      <c r="H690" s="42"/>
      <c r="I690" s="42"/>
      <c r="J690" s="42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</row>
    <row r="691" spans="1:28" x14ac:dyDescent="0.35">
      <c r="A691" s="41"/>
      <c r="B691" s="41"/>
      <c r="C691" s="41"/>
      <c r="D691" s="47"/>
      <c r="E691" s="42"/>
      <c r="F691" s="42"/>
      <c r="G691" s="42"/>
      <c r="H691" s="42"/>
      <c r="I691" s="42"/>
      <c r="J691" s="42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</row>
    <row r="692" spans="1:28" x14ac:dyDescent="0.35">
      <c r="A692" s="41"/>
      <c r="B692" s="41"/>
      <c r="C692" s="41"/>
      <c r="D692" s="47"/>
      <c r="E692" s="42"/>
      <c r="F692" s="42"/>
      <c r="G692" s="42"/>
      <c r="H692" s="42"/>
      <c r="I692" s="42"/>
      <c r="J692" s="42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</row>
    <row r="693" spans="1:28" x14ac:dyDescent="0.35">
      <c r="A693" s="41"/>
      <c r="B693" s="41"/>
      <c r="C693" s="41"/>
      <c r="D693" s="47"/>
      <c r="E693" s="42"/>
      <c r="F693" s="42"/>
      <c r="G693" s="42"/>
      <c r="H693" s="42"/>
      <c r="I693" s="42"/>
      <c r="J693" s="42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</row>
    <row r="694" spans="1:28" x14ac:dyDescent="0.35">
      <c r="A694" s="41"/>
      <c r="B694" s="41"/>
      <c r="C694" s="41"/>
      <c r="D694" s="47"/>
      <c r="E694" s="42"/>
      <c r="F694" s="42"/>
      <c r="G694" s="42"/>
      <c r="H694" s="42"/>
      <c r="I694" s="42"/>
      <c r="J694" s="42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</row>
    <row r="695" spans="1:28" x14ac:dyDescent="0.35">
      <c r="A695" s="41"/>
      <c r="B695" s="41"/>
      <c r="C695" s="41"/>
      <c r="D695" s="47"/>
      <c r="E695" s="42"/>
      <c r="F695" s="42"/>
      <c r="G695" s="42"/>
      <c r="H695" s="42"/>
      <c r="I695" s="42"/>
      <c r="J695" s="42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</row>
    <row r="696" spans="1:28" x14ac:dyDescent="0.35">
      <c r="A696" s="41"/>
      <c r="B696" s="41"/>
      <c r="C696" s="41"/>
      <c r="D696" s="47"/>
      <c r="E696" s="42"/>
      <c r="F696" s="42"/>
      <c r="G696" s="42"/>
      <c r="H696" s="42"/>
      <c r="I696" s="42"/>
      <c r="J696" s="42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</row>
    <row r="697" spans="1:28" x14ac:dyDescent="0.35">
      <c r="A697" s="41"/>
      <c r="B697" s="41"/>
      <c r="C697" s="41"/>
      <c r="D697" s="47"/>
      <c r="E697" s="42"/>
      <c r="F697" s="42"/>
      <c r="G697" s="42"/>
      <c r="H697" s="42"/>
      <c r="I697" s="42"/>
      <c r="J697" s="42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</row>
    <row r="698" spans="1:28" x14ac:dyDescent="0.35">
      <c r="A698" s="41"/>
      <c r="B698" s="41"/>
      <c r="C698" s="41"/>
      <c r="D698" s="47"/>
      <c r="E698" s="42"/>
      <c r="F698" s="42"/>
      <c r="G698" s="42"/>
      <c r="H698" s="42"/>
      <c r="I698" s="42"/>
      <c r="J698" s="42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</row>
    <row r="699" spans="1:28" x14ac:dyDescent="0.35">
      <c r="A699" s="41"/>
      <c r="B699" s="41"/>
      <c r="C699" s="41"/>
      <c r="D699" s="47"/>
      <c r="E699" s="42"/>
      <c r="F699" s="42"/>
      <c r="G699" s="42"/>
      <c r="H699" s="42"/>
      <c r="I699" s="42"/>
      <c r="J699" s="42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</row>
    <row r="700" spans="1:28" x14ac:dyDescent="0.35">
      <c r="A700" s="41"/>
      <c r="B700" s="41"/>
      <c r="C700" s="41"/>
      <c r="D700" s="47"/>
      <c r="E700" s="42"/>
      <c r="F700" s="42"/>
      <c r="G700" s="42"/>
      <c r="H700" s="42"/>
      <c r="I700" s="42"/>
      <c r="J700" s="42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</row>
    <row r="701" spans="1:28" x14ac:dyDescent="0.35">
      <c r="A701" s="41"/>
      <c r="B701" s="41"/>
      <c r="C701" s="41"/>
      <c r="D701" s="47"/>
      <c r="E701" s="42"/>
      <c r="F701" s="42"/>
      <c r="G701" s="42"/>
      <c r="H701" s="42"/>
      <c r="I701" s="42"/>
      <c r="J701" s="42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</row>
    <row r="702" spans="1:28" x14ac:dyDescent="0.35">
      <c r="A702" s="41"/>
      <c r="B702" s="41"/>
      <c r="C702" s="41"/>
      <c r="D702" s="47"/>
      <c r="E702" s="42"/>
      <c r="F702" s="42"/>
      <c r="G702" s="42"/>
      <c r="H702" s="42"/>
      <c r="I702" s="42"/>
      <c r="J702" s="42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</row>
    <row r="703" spans="1:28" x14ac:dyDescent="0.35">
      <c r="A703" s="41"/>
      <c r="B703" s="41"/>
      <c r="C703" s="41"/>
      <c r="D703" s="47"/>
      <c r="E703" s="42"/>
      <c r="F703" s="42"/>
      <c r="G703" s="42"/>
      <c r="H703" s="42"/>
      <c r="I703" s="42"/>
      <c r="J703" s="42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</row>
    <row r="704" spans="1:28" x14ac:dyDescent="0.35">
      <c r="A704" s="41"/>
      <c r="B704" s="41"/>
      <c r="C704" s="41"/>
      <c r="D704" s="47"/>
      <c r="E704" s="42"/>
      <c r="F704" s="42"/>
      <c r="G704" s="42"/>
      <c r="H704" s="42"/>
      <c r="I704" s="42"/>
      <c r="J704" s="42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</row>
    <row r="705" spans="1:28" x14ac:dyDescent="0.35">
      <c r="A705" s="41"/>
      <c r="B705" s="41"/>
      <c r="C705" s="41"/>
      <c r="D705" s="47"/>
      <c r="E705" s="42"/>
      <c r="F705" s="42"/>
      <c r="G705" s="42"/>
      <c r="H705" s="42"/>
      <c r="I705" s="42"/>
      <c r="J705" s="42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</row>
    <row r="706" spans="1:28" x14ac:dyDescent="0.35">
      <c r="A706" s="41"/>
      <c r="B706" s="41"/>
      <c r="C706" s="41"/>
      <c r="D706" s="47"/>
      <c r="E706" s="42"/>
      <c r="F706" s="42"/>
      <c r="G706" s="42"/>
      <c r="H706" s="42"/>
      <c r="I706" s="42"/>
      <c r="J706" s="42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</row>
    <row r="707" spans="1:28" x14ac:dyDescent="0.35">
      <c r="A707" s="41"/>
      <c r="B707" s="41"/>
      <c r="C707" s="41"/>
      <c r="D707" s="47"/>
      <c r="E707" s="42"/>
      <c r="F707" s="42"/>
      <c r="G707" s="42"/>
      <c r="H707" s="42"/>
      <c r="I707" s="42"/>
      <c r="J707" s="42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</row>
    <row r="708" spans="1:28" x14ac:dyDescent="0.35">
      <c r="A708" s="41"/>
      <c r="B708" s="41"/>
      <c r="C708" s="41"/>
      <c r="D708" s="47"/>
      <c r="E708" s="42"/>
      <c r="F708" s="42"/>
      <c r="G708" s="42"/>
      <c r="H708" s="42"/>
      <c r="I708" s="42"/>
      <c r="J708" s="42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</row>
    <row r="709" spans="1:28" x14ac:dyDescent="0.35">
      <c r="A709" s="41"/>
      <c r="B709" s="41"/>
      <c r="C709" s="41"/>
      <c r="D709" s="47"/>
      <c r="E709" s="42"/>
      <c r="F709" s="42"/>
      <c r="G709" s="42"/>
      <c r="H709" s="42"/>
      <c r="I709" s="42"/>
      <c r="J709" s="42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</row>
    <row r="710" spans="1:28" x14ac:dyDescent="0.35">
      <c r="A710" s="41"/>
      <c r="B710" s="41"/>
      <c r="C710" s="41"/>
      <c r="D710" s="47"/>
      <c r="E710" s="42"/>
      <c r="F710" s="42"/>
      <c r="G710" s="42"/>
      <c r="H710" s="42"/>
      <c r="I710" s="42"/>
      <c r="J710" s="42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</row>
    <row r="711" spans="1:28" x14ac:dyDescent="0.35">
      <c r="A711" s="41"/>
      <c r="B711" s="41"/>
      <c r="C711" s="41"/>
      <c r="D711" s="47"/>
      <c r="E711" s="42"/>
      <c r="F711" s="42"/>
      <c r="G711" s="42"/>
      <c r="H711" s="42"/>
      <c r="I711" s="42"/>
      <c r="J711" s="42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</row>
    <row r="712" spans="1:28" x14ac:dyDescent="0.35">
      <c r="A712" s="41"/>
      <c r="B712" s="41"/>
      <c r="C712" s="41"/>
      <c r="D712" s="47"/>
      <c r="E712" s="42"/>
      <c r="F712" s="42"/>
      <c r="G712" s="42"/>
      <c r="H712" s="42"/>
      <c r="I712" s="42"/>
      <c r="J712" s="42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</row>
    <row r="713" spans="1:28" x14ac:dyDescent="0.35">
      <c r="A713" s="41"/>
      <c r="B713" s="41"/>
      <c r="C713" s="41"/>
      <c r="D713" s="47"/>
      <c r="E713" s="42"/>
      <c r="F713" s="42"/>
      <c r="G713" s="42"/>
      <c r="H713" s="42"/>
      <c r="I713" s="42"/>
      <c r="J713" s="42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</row>
    <row r="714" spans="1:28" x14ac:dyDescent="0.35">
      <c r="A714" s="41"/>
      <c r="B714" s="41"/>
      <c r="C714" s="41"/>
      <c r="D714" s="47"/>
      <c r="E714" s="42"/>
      <c r="F714" s="42"/>
      <c r="G714" s="42"/>
      <c r="H714" s="42"/>
      <c r="I714" s="42"/>
      <c r="J714" s="42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</row>
    <row r="715" spans="1:28" x14ac:dyDescent="0.35">
      <c r="A715" s="41"/>
      <c r="B715" s="41"/>
      <c r="C715" s="41"/>
      <c r="D715" s="47"/>
      <c r="E715" s="42"/>
      <c r="F715" s="42"/>
      <c r="G715" s="42"/>
      <c r="H715" s="42"/>
      <c r="I715" s="42"/>
      <c r="J715" s="42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</row>
    <row r="716" spans="1:28" x14ac:dyDescent="0.35">
      <c r="A716" s="41"/>
      <c r="B716" s="41"/>
      <c r="C716" s="41"/>
      <c r="D716" s="47"/>
      <c r="E716" s="42"/>
      <c r="F716" s="42"/>
      <c r="G716" s="42"/>
      <c r="H716" s="42"/>
      <c r="I716" s="42"/>
      <c r="J716" s="42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</row>
    <row r="717" spans="1:28" x14ac:dyDescent="0.35">
      <c r="A717" s="41"/>
      <c r="B717" s="41"/>
      <c r="C717" s="41"/>
      <c r="D717" s="47"/>
      <c r="E717" s="42"/>
      <c r="F717" s="42"/>
      <c r="G717" s="42"/>
      <c r="H717" s="42"/>
      <c r="I717" s="42"/>
      <c r="J717" s="42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</row>
    <row r="718" spans="1:28" x14ac:dyDescent="0.35">
      <c r="A718" s="41"/>
      <c r="B718" s="41"/>
      <c r="C718" s="41"/>
      <c r="D718" s="47"/>
      <c r="E718" s="42"/>
      <c r="F718" s="42"/>
      <c r="G718" s="42"/>
      <c r="H718" s="42"/>
      <c r="I718" s="42"/>
      <c r="J718" s="42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</row>
    <row r="719" spans="1:28" x14ac:dyDescent="0.35">
      <c r="A719" s="41"/>
      <c r="B719" s="41"/>
      <c r="C719" s="41"/>
      <c r="D719" s="47"/>
      <c r="E719" s="42"/>
      <c r="F719" s="42"/>
      <c r="G719" s="42"/>
      <c r="H719" s="42"/>
      <c r="I719" s="42"/>
      <c r="J719" s="42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</row>
    <row r="720" spans="1:28" x14ac:dyDescent="0.35">
      <c r="A720" s="41"/>
      <c r="B720" s="41"/>
      <c r="C720" s="41"/>
      <c r="D720" s="47"/>
      <c r="E720" s="42"/>
      <c r="F720" s="42"/>
      <c r="G720" s="42"/>
      <c r="H720" s="42"/>
      <c r="I720" s="42"/>
      <c r="J720" s="42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</row>
    <row r="721" spans="1:28" x14ac:dyDescent="0.35">
      <c r="A721" s="41"/>
      <c r="B721" s="41"/>
      <c r="C721" s="41"/>
      <c r="D721" s="47"/>
      <c r="E721" s="42"/>
      <c r="F721" s="42"/>
      <c r="G721" s="42"/>
      <c r="H721" s="42"/>
      <c r="I721" s="42"/>
      <c r="J721" s="42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</row>
    <row r="722" spans="1:28" x14ac:dyDescent="0.35">
      <c r="A722" s="41"/>
      <c r="B722" s="41"/>
      <c r="C722" s="41"/>
      <c r="D722" s="47"/>
      <c r="E722" s="42"/>
      <c r="F722" s="42"/>
      <c r="G722" s="42"/>
      <c r="H722" s="42"/>
      <c r="I722" s="42"/>
      <c r="J722" s="42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</row>
    <row r="723" spans="1:28" x14ac:dyDescent="0.35">
      <c r="A723" s="41"/>
      <c r="B723" s="41"/>
      <c r="C723" s="41"/>
      <c r="D723" s="47"/>
      <c r="E723" s="42"/>
      <c r="F723" s="42"/>
      <c r="G723" s="42"/>
      <c r="H723" s="42"/>
      <c r="I723" s="42"/>
      <c r="J723" s="42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</row>
    <row r="724" spans="1:28" x14ac:dyDescent="0.35">
      <c r="A724" s="41"/>
      <c r="B724" s="41"/>
      <c r="C724" s="41"/>
      <c r="D724" s="47"/>
      <c r="E724" s="42"/>
      <c r="F724" s="42"/>
      <c r="G724" s="42"/>
      <c r="H724" s="42"/>
      <c r="I724" s="42"/>
      <c r="J724" s="42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</row>
    <row r="725" spans="1:28" x14ac:dyDescent="0.35">
      <c r="A725" s="41"/>
      <c r="B725" s="41"/>
      <c r="C725" s="41"/>
      <c r="D725" s="47"/>
      <c r="E725" s="42"/>
      <c r="F725" s="42"/>
      <c r="G725" s="42"/>
      <c r="H725" s="42"/>
      <c r="I725" s="42"/>
      <c r="J725" s="42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</row>
    <row r="726" spans="1:28" x14ac:dyDescent="0.35">
      <c r="A726" s="41"/>
      <c r="B726" s="41"/>
      <c r="C726" s="41"/>
      <c r="D726" s="47"/>
      <c r="E726" s="42"/>
      <c r="F726" s="42"/>
      <c r="G726" s="42"/>
      <c r="H726" s="42"/>
      <c r="I726" s="42"/>
      <c r="J726" s="42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</row>
    <row r="727" spans="1:28" x14ac:dyDescent="0.35">
      <c r="A727" s="41"/>
      <c r="B727" s="41"/>
      <c r="C727" s="41"/>
      <c r="D727" s="47"/>
      <c r="E727" s="42"/>
      <c r="F727" s="42"/>
      <c r="G727" s="42"/>
      <c r="H727" s="42"/>
      <c r="I727" s="42"/>
      <c r="J727" s="42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</row>
    <row r="728" spans="1:28" x14ac:dyDescent="0.35">
      <c r="A728" s="41"/>
      <c r="B728" s="41"/>
      <c r="C728" s="41"/>
      <c r="D728" s="47"/>
      <c r="E728" s="42"/>
      <c r="F728" s="42"/>
      <c r="G728" s="42"/>
      <c r="H728" s="42"/>
      <c r="I728" s="42"/>
      <c r="J728" s="42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</row>
    <row r="729" spans="1:28" x14ac:dyDescent="0.35">
      <c r="A729" s="41"/>
      <c r="B729" s="41"/>
      <c r="C729" s="41"/>
      <c r="D729" s="47"/>
      <c r="E729" s="42"/>
      <c r="F729" s="42"/>
      <c r="G729" s="42"/>
      <c r="H729" s="42"/>
      <c r="I729" s="42"/>
      <c r="J729" s="42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</row>
    <row r="730" spans="1:28" x14ac:dyDescent="0.35">
      <c r="A730" s="41"/>
      <c r="B730" s="41"/>
      <c r="C730" s="41"/>
      <c r="D730" s="47"/>
      <c r="E730" s="42"/>
      <c r="F730" s="42"/>
      <c r="G730" s="42"/>
      <c r="H730" s="42"/>
      <c r="I730" s="42"/>
      <c r="J730" s="42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</row>
    <row r="731" spans="1:28" x14ac:dyDescent="0.35">
      <c r="A731" s="41"/>
      <c r="B731" s="41"/>
      <c r="C731" s="41"/>
      <c r="D731" s="47"/>
      <c r="E731" s="42"/>
      <c r="F731" s="42"/>
      <c r="G731" s="42"/>
      <c r="H731" s="42"/>
      <c r="I731" s="42"/>
      <c r="J731" s="42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</row>
    <row r="732" spans="1:28" x14ac:dyDescent="0.35">
      <c r="A732" s="41"/>
      <c r="B732" s="41"/>
      <c r="C732" s="41"/>
      <c r="D732" s="47"/>
      <c r="E732" s="42"/>
      <c r="F732" s="42"/>
      <c r="G732" s="42"/>
      <c r="H732" s="42"/>
      <c r="I732" s="42"/>
      <c r="J732" s="42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</row>
    <row r="733" spans="1:28" x14ac:dyDescent="0.35">
      <c r="A733" s="41"/>
      <c r="B733" s="41"/>
      <c r="C733" s="41"/>
      <c r="D733" s="47"/>
      <c r="E733" s="42"/>
      <c r="F733" s="42"/>
      <c r="G733" s="42"/>
      <c r="H733" s="42"/>
      <c r="I733" s="42"/>
      <c r="J733" s="42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</row>
    <row r="734" spans="1:28" x14ac:dyDescent="0.35">
      <c r="A734" s="41"/>
      <c r="B734" s="41"/>
      <c r="C734" s="41"/>
      <c r="D734" s="47"/>
      <c r="E734" s="42"/>
      <c r="F734" s="42"/>
      <c r="G734" s="42"/>
      <c r="H734" s="42"/>
      <c r="I734" s="42"/>
      <c r="J734" s="42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</row>
    <row r="735" spans="1:28" x14ac:dyDescent="0.35">
      <c r="A735" s="41"/>
      <c r="B735" s="41"/>
      <c r="C735" s="41"/>
      <c r="D735" s="47"/>
      <c r="E735" s="42"/>
      <c r="F735" s="42"/>
      <c r="G735" s="42"/>
      <c r="H735" s="42"/>
      <c r="I735" s="42"/>
      <c r="J735" s="42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</row>
    <row r="736" spans="1:28" x14ac:dyDescent="0.35">
      <c r="A736" s="41"/>
      <c r="B736" s="41"/>
      <c r="C736" s="41"/>
      <c r="D736" s="47"/>
      <c r="E736" s="42"/>
      <c r="F736" s="42"/>
      <c r="G736" s="42"/>
      <c r="H736" s="42"/>
      <c r="I736" s="42"/>
      <c r="J736" s="42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</row>
    <row r="737" spans="1:28" x14ac:dyDescent="0.35">
      <c r="A737" s="41"/>
      <c r="B737" s="41"/>
      <c r="C737" s="41"/>
      <c r="D737" s="47"/>
      <c r="E737" s="42"/>
      <c r="F737" s="42"/>
      <c r="G737" s="42"/>
      <c r="H737" s="42"/>
      <c r="I737" s="42"/>
      <c r="J737" s="42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</row>
    <row r="738" spans="1:28" x14ac:dyDescent="0.35">
      <c r="A738" s="41"/>
      <c r="B738" s="41"/>
      <c r="C738" s="41"/>
      <c r="D738" s="47"/>
      <c r="E738" s="42"/>
      <c r="F738" s="42"/>
      <c r="G738" s="42"/>
      <c r="H738" s="42"/>
      <c r="I738" s="42"/>
      <c r="J738" s="42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</row>
    <row r="739" spans="1:28" x14ac:dyDescent="0.35">
      <c r="A739" s="41"/>
      <c r="B739" s="41"/>
      <c r="C739" s="41"/>
      <c r="D739" s="47"/>
      <c r="E739" s="42"/>
      <c r="F739" s="42"/>
      <c r="G739" s="42"/>
      <c r="H739" s="42"/>
      <c r="I739" s="42"/>
      <c r="J739" s="42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</row>
    <row r="740" spans="1:28" x14ac:dyDescent="0.35">
      <c r="A740" s="41"/>
      <c r="B740" s="41"/>
      <c r="C740" s="41"/>
      <c r="D740" s="47"/>
      <c r="E740" s="42"/>
      <c r="F740" s="42"/>
      <c r="G740" s="42"/>
      <c r="H740" s="42"/>
      <c r="I740" s="42"/>
      <c r="J740" s="42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</row>
    <row r="741" spans="1:28" x14ac:dyDescent="0.35">
      <c r="A741" s="41"/>
      <c r="B741" s="41"/>
      <c r="C741" s="41"/>
      <c r="D741" s="47"/>
      <c r="E741" s="42"/>
      <c r="F741" s="42"/>
      <c r="G741" s="42"/>
      <c r="H741" s="42"/>
      <c r="I741" s="42"/>
      <c r="J741" s="42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</row>
    <row r="742" spans="1:28" x14ac:dyDescent="0.35">
      <c r="A742" s="41"/>
      <c r="B742" s="41"/>
      <c r="C742" s="41"/>
      <c r="D742" s="47"/>
      <c r="E742" s="42"/>
      <c r="F742" s="42"/>
      <c r="G742" s="42"/>
      <c r="H742" s="42"/>
      <c r="I742" s="42"/>
      <c r="J742" s="42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</row>
    <row r="743" spans="1:28" x14ac:dyDescent="0.35">
      <c r="A743" s="41"/>
      <c r="B743" s="41"/>
      <c r="C743" s="41"/>
      <c r="D743" s="47"/>
      <c r="E743" s="42"/>
      <c r="F743" s="42"/>
      <c r="G743" s="42"/>
      <c r="H743" s="42"/>
      <c r="I743" s="42"/>
      <c r="J743" s="42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</row>
    <row r="744" spans="1:28" x14ac:dyDescent="0.35">
      <c r="A744" s="41"/>
      <c r="B744" s="41"/>
      <c r="C744" s="41"/>
      <c r="D744" s="47"/>
      <c r="E744" s="42"/>
      <c r="F744" s="42"/>
      <c r="G744" s="42"/>
      <c r="H744" s="42"/>
      <c r="I744" s="42"/>
      <c r="J744" s="42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</row>
    <row r="745" spans="1:28" x14ac:dyDescent="0.35">
      <c r="A745" s="41"/>
      <c r="B745" s="41"/>
      <c r="C745" s="41"/>
      <c r="D745" s="47"/>
      <c r="E745" s="42"/>
      <c r="F745" s="42"/>
      <c r="G745" s="42"/>
      <c r="H745" s="42"/>
      <c r="I745" s="42"/>
      <c r="J745" s="42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</row>
    <row r="746" spans="1:28" x14ac:dyDescent="0.35">
      <c r="A746" s="41"/>
      <c r="B746" s="41"/>
      <c r="C746" s="41"/>
      <c r="D746" s="47"/>
      <c r="E746" s="42"/>
      <c r="F746" s="42"/>
      <c r="G746" s="42"/>
      <c r="H746" s="42"/>
      <c r="I746" s="42"/>
      <c r="J746" s="42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</row>
    <row r="747" spans="1:28" x14ac:dyDescent="0.35">
      <c r="A747" s="41"/>
      <c r="B747" s="41"/>
      <c r="C747" s="41"/>
      <c r="D747" s="47"/>
      <c r="E747" s="42"/>
      <c r="F747" s="42"/>
      <c r="G747" s="42"/>
      <c r="H747" s="42"/>
      <c r="I747" s="42"/>
      <c r="J747" s="42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</row>
    <row r="748" spans="1:28" x14ac:dyDescent="0.35">
      <c r="A748" s="41"/>
      <c r="B748" s="41"/>
      <c r="C748" s="41"/>
      <c r="D748" s="47"/>
      <c r="E748" s="42"/>
      <c r="F748" s="42"/>
      <c r="G748" s="42"/>
      <c r="H748" s="42"/>
      <c r="I748" s="42"/>
      <c r="J748" s="42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</row>
    <row r="749" spans="1:28" x14ac:dyDescent="0.35">
      <c r="A749" s="41"/>
      <c r="B749" s="41"/>
      <c r="C749" s="41"/>
      <c r="D749" s="47"/>
      <c r="E749" s="42"/>
      <c r="F749" s="42"/>
      <c r="G749" s="42"/>
      <c r="H749" s="42"/>
      <c r="I749" s="42"/>
      <c r="J749" s="42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</row>
    <row r="750" spans="1:28" x14ac:dyDescent="0.35">
      <c r="A750" s="41"/>
      <c r="B750" s="41"/>
      <c r="C750" s="41"/>
      <c r="D750" s="47"/>
      <c r="E750" s="42"/>
      <c r="F750" s="42"/>
      <c r="G750" s="42"/>
      <c r="H750" s="42"/>
      <c r="I750" s="42"/>
      <c r="J750" s="42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</row>
    <row r="751" spans="1:28" x14ac:dyDescent="0.35">
      <c r="A751" s="41"/>
      <c r="B751" s="41"/>
      <c r="C751" s="41"/>
      <c r="D751" s="47"/>
      <c r="E751" s="42"/>
      <c r="F751" s="42"/>
      <c r="G751" s="42"/>
      <c r="H751" s="42"/>
      <c r="I751" s="42"/>
      <c r="J751" s="42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</row>
    <row r="752" spans="1:28" x14ac:dyDescent="0.35">
      <c r="A752" s="41"/>
      <c r="B752" s="41"/>
      <c r="C752" s="41"/>
      <c r="D752" s="47"/>
      <c r="E752" s="42"/>
      <c r="F752" s="42"/>
      <c r="G752" s="42"/>
      <c r="H752" s="42"/>
      <c r="I752" s="42"/>
      <c r="J752" s="42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</row>
    <row r="753" spans="1:28" x14ac:dyDescent="0.35">
      <c r="A753" s="41"/>
      <c r="B753" s="41"/>
      <c r="C753" s="41"/>
      <c r="D753" s="47"/>
      <c r="E753" s="42"/>
      <c r="F753" s="42"/>
      <c r="G753" s="42"/>
      <c r="H753" s="42"/>
      <c r="I753" s="42"/>
      <c r="J753" s="42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</row>
    <row r="754" spans="1:28" x14ac:dyDescent="0.35">
      <c r="A754" s="41"/>
      <c r="B754" s="41"/>
      <c r="C754" s="41"/>
      <c r="D754" s="47"/>
      <c r="E754" s="42"/>
      <c r="F754" s="42"/>
      <c r="G754" s="42"/>
      <c r="H754" s="42"/>
      <c r="I754" s="42"/>
      <c r="J754" s="42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</row>
    <row r="755" spans="1:28" x14ac:dyDescent="0.35">
      <c r="A755" s="41"/>
      <c r="B755" s="41"/>
      <c r="C755" s="41"/>
      <c r="D755" s="47"/>
      <c r="E755" s="42"/>
      <c r="F755" s="42"/>
      <c r="G755" s="42"/>
      <c r="H755" s="42"/>
      <c r="I755" s="42"/>
      <c r="J755" s="42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</row>
    <row r="756" spans="1:28" x14ac:dyDescent="0.35">
      <c r="A756" s="41"/>
      <c r="B756" s="41"/>
      <c r="C756" s="41"/>
      <c r="D756" s="47"/>
      <c r="E756" s="42"/>
      <c r="F756" s="42"/>
      <c r="G756" s="42"/>
      <c r="H756" s="42"/>
      <c r="I756" s="42"/>
      <c r="J756" s="42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</row>
    <row r="757" spans="1:28" x14ac:dyDescent="0.35">
      <c r="A757" s="41"/>
      <c r="B757" s="41"/>
      <c r="C757" s="41"/>
      <c r="D757" s="47"/>
      <c r="E757" s="42"/>
      <c r="F757" s="42"/>
      <c r="G757" s="42"/>
      <c r="H757" s="42"/>
      <c r="I757" s="42"/>
      <c r="J757" s="42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</row>
    <row r="758" spans="1:28" x14ac:dyDescent="0.35">
      <c r="A758" s="41"/>
      <c r="B758" s="41"/>
      <c r="C758" s="41"/>
      <c r="D758" s="47"/>
      <c r="E758" s="42"/>
      <c r="F758" s="42"/>
      <c r="G758" s="42"/>
      <c r="H758" s="42"/>
      <c r="I758" s="42"/>
      <c r="J758" s="42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</row>
    <row r="759" spans="1:28" x14ac:dyDescent="0.35">
      <c r="A759" s="41"/>
      <c r="B759" s="41"/>
      <c r="C759" s="41"/>
      <c r="D759" s="47"/>
      <c r="E759" s="42"/>
      <c r="F759" s="42"/>
      <c r="G759" s="42"/>
      <c r="H759" s="42"/>
      <c r="I759" s="42"/>
      <c r="J759" s="42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</row>
    <row r="760" spans="1:28" x14ac:dyDescent="0.35">
      <c r="A760" s="41"/>
      <c r="B760" s="41"/>
      <c r="C760" s="41"/>
      <c r="D760" s="47"/>
      <c r="E760" s="42"/>
      <c r="F760" s="42"/>
      <c r="G760" s="42"/>
      <c r="H760" s="42"/>
      <c r="I760" s="42"/>
      <c r="J760" s="42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</row>
    <row r="761" spans="1:28" x14ac:dyDescent="0.35">
      <c r="A761" s="41"/>
      <c r="B761" s="41"/>
      <c r="C761" s="41"/>
      <c r="D761" s="47"/>
      <c r="E761" s="42"/>
      <c r="F761" s="42"/>
      <c r="G761" s="42"/>
      <c r="H761" s="42"/>
      <c r="I761" s="42"/>
      <c r="J761" s="42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</row>
    <row r="762" spans="1:28" x14ac:dyDescent="0.35">
      <c r="A762" s="41"/>
      <c r="B762" s="41"/>
      <c r="C762" s="41"/>
      <c r="D762" s="47"/>
      <c r="E762" s="42"/>
      <c r="F762" s="42"/>
      <c r="G762" s="42"/>
      <c r="H762" s="42"/>
      <c r="I762" s="42"/>
      <c r="J762" s="42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</row>
    <row r="763" spans="1:28" x14ac:dyDescent="0.35">
      <c r="A763" s="41"/>
      <c r="B763" s="41"/>
      <c r="C763" s="41"/>
      <c r="D763" s="47"/>
      <c r="E763" s="42"/>
      <c r="F763" s="42"/>
      <c r="G763" s="42"/>
      <c r="H763" s="42"/>
      <c r="I763" s="42"/>
      <c r="J763" s="42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</row>
    <row r="764" spans="1:28" x14ac:dyDescent="0.35">
      <c r="A764" s="41"/>
      <c r="B764" s="41"/>
      <c r="C764" s="41"/>
      <c r="D764" s="47"/>
      <c r="E764" s="42"/>
      <c r="F764" s="42"/>
      <c r="G764" s="42"/>
      <c r="H764" s="42"/>
      <c r="I764" s="42"/>
      <c r="J764" s="42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</row>
    <row r="765" spans="1:28" x14ac:dyDescent="0.35">
      <c r="A765" s="41"/>
      <c r="B765" s="41"/>
      <c r="C765" s="41"/>
      <c r="D765" s="47"/>
      <c r="E765" s="42"/>
      <c r="F765" s="42"/>
      <c r="G765" s="42"/>
      <c r="H765" s="42"/>
      <c r="I765" s="42"/>
      <c r="J765" s="42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</row>
    <row r="766" spans="1:28" x14ac:dyDescent="0.35">
      <c r="A766" s="41"/>
      <c r="B766" s="41"/>
      <c r="C766" s="41"/>
      <c r="D766" s="47"/>
      <c r="E766" s="42"/>
      <c r="F766" s="42"/>
      <c r="G766" s="42"/>
      <c r="H766" s="42"/>
      <c r="I766" s="42"/>
      <c r="J766" s="42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</row>
    <row r="767" spans="1:28" x14ac:dyDescent="0.35">
      <c r="A767" s="41"/>
      <c r="B767" s="41"/>
      <c r="C767" s="41"/>
      <c r="D767" s="47"/>
      <c r="E767" s="42"/>
      <c r="F767" s="42"/>
      <c r="G767" s="42"/>
      <c r="H767" s="42"/>
      <c r="I767" s="42"/>
      <c r="J767" s="42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</row>
    <row r="768" spans="1:28" x14ac:dyDescent="0.35">
      <c r="A768" s="41"/>
      <c r="B768" s="41"/>
      <c r="C768" s="41"/>
      <c r="D768" s="47"/>
      <c r="E768" s="42"/>
      <c r="F768" s="42"/>
      <c r="G768" s="42"/>
      <c r="H768" s="42"/>
      <c r="I768" s="42"/>
      <c r="J768" s="42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</row>
    <row r="769" spans="1:28" x14ac:dyDescent="0.35">
      <c r="A769" s="41"/>
      <c r="B769" s="41"/>
      <c r="C769" s="41"/>
      <c r="D769" s="47"/>
      <c r="E769" s="42"/>
      <c r="F769" s="42"/>
      <c r="G769" s="42"/>
      <c r="H769" s="42"/>
      <c r="I769" s="42"/>
      <c r="J769" s="42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</row>
    <row r="770" spans="1:28" x14ac:dyDescent="0.35">
      <c r="A770" s="41"/>
      <c r="B770" s="41"/>
      <c r="C770" s="41"/>
      <c r="D770" s="47"/>
      <c r="E770" s="42"/>
      <c r="F770" s="42"/>
      <c r="G770" s="42"/>
      <c r="H770" s="42"/>
      <c r="I770" s="42"/>
      <c r="J770" s="42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</row>
    <row r="771" spans="1:28" x14ac:dyDescent="0.35">
      <c r="A771" s="41"/>
      <c r="B771" s="41"/>
      <c r="C771" s="41"/>
      <c r="D771" s="47"/>
      <c r="E771" s="42"/>
      <c r="F771" s="42"/>
      <c r="G771" s="42"/>
      <c r="H771" s="42"/>
      <c r="I771" s="42"/>
      <c r="J771" s="42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</row>
    <row r="772" spans="1:28" x14ac:dyDescent="0.35">
      <c r="A772" s="41"/>
      <c r="B772" s="41"/>
      <c r="C772" s="41"/>
      <c r="D772" s="47"/>
      <c r="E772" s="42"/>
      <c r="F772" s="42"/>
      <c r="G772" s="42"/>
      <c r="H772" s="42"/>
      <c r="I772" s="42"/>
      <c r="J772" s="42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</row>
    <row r="773" spans="1:28" x14ac:dyDescent="0.35">
      <c r="A773" s="41"/>
      <c r="B773" s="41"/>
      <c r="C773" s="41"/>
      <c r="D773" s="47"/>
      <c r="E773" s="42"/>
      <c r="F773" s="42"/>
      <c r="G773" s="42"/>
      <c r="H773" s="42"/>
      <c r="I773" s="42"/>
      <c r="J773" s="42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</row>
    <row r="774" spans="1:28" x14ac:dyDescent="0.35">
      <c r="A774" s="41"/>
      <c r="B774" s="41"/>
      <c r="C774" s="41"/>
      <c r="D774" s="47"/>
      <c r="E774" s="42"/>
      <c r="F774" s="42"/>
      <c r="G774" s="42"/>
      <c r="H774" s="42"/>
      <c r="I774" s="42"/>
      <c r="J774" s="42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</row>
    <row r="775" spans="1:28" x14ac:dyDescent="0.35">
      <c r="A775" s="41"/>
      <c r="B775" s="41"/>
      <c r="C775" s="41"/>
      <c r="D775" s="47"/>
      <c r="E775" s="42"/>
      <c r="F775" s="42"/>
      <c r="G775" s="42"/>
      <c r="H775" s="42"/>
      <c r="I775" s="42"/>
      <c r="J775" s="42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</row>
    <row r="776" spans="1:28" x14ac:dyDescent="0.35">
      <c r="A776" s="41"/>
      <c r="B776" s="41"/>
      <c r="C776" s="41"/>
      <c r="D776" s="47"/>
      <c r="E776" s="42"/>
      <c r="F776" s="42"/>
      <c r="G776" s="42"/>
      <c r="H776" s="42"/>
      <c r="I776" s="42"/>
      <c r="J776" s="42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</row>
    <row r="777" spans="1:28" x14ac:dyDescent="0.35">
      <c r="A777" s="41"/>
      <c r="B777" s="41"/>
      <c r="C777" s="41"/>
      <c r="D777" s="47"/>
      <c r="E777" s="42"/>
      <c r="F777" s="42"/>
      <c r="G777" s="42"/>
      <c r="H777" s="42"/>
      <c r="I777" s="42"/>
      <c r="J777" s="42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</row>
    <row r="778" spans="1:28" x14ac:dyDescent="0.35">
      <c r="A778" s="41"/>
      <c r="B778" s="41"/>
      <c r="C778" s="41"/>
      <c r="D778" s="47"/>
      <c r="E778" s="42"/>
      <c r="F778" s="42"/>
      <c r="G778" s="42"/>
      <c r="H778" s="42"/>
      <c r="I778" s="42"/>
      <c r="J778" s="42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</row>
    <row r="779" spans="1:28" x14ac:dyDescent="0.35">
      <c r="A779" s="41"/>
      <c r="B779" s="41"/>
      <c r="C779" s="41"/>
      <c r="D779" s="47"/>
      <c r="E779" s="42"/>
      <c r="F779" s="42"/>
      <c r="G779" s="42"/>
      <c r="H779" s="42"/>
      <c r="I779" s="42"/>
      <c r="J779" s="42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</row>
    <row r="780" spans="1:28" x14ac:dyDescent="0.35">
      <c r="A780" s="41"/>
      <c r="B780" s="41"/>
      <c r="C780" s="41"/>
      <c r="D780" s="47"/>
      <c r="E780" s="42"/>
      <c r="F780" s="42"/>
      <c r="G780" s="42"/>
      <c r="H780" s="42"/>
      <c r="I780" s="42"/>
      <c r="J780" s="42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</row>
    <row r="781" spans="1:28" x14ac:dyDescent="0.35">
      <c r="A781" s="41"/>
      <c r="B781" s="41"/>
      <c r="C781" s="41"/>
      <c r="D781" s="47"/>
      <c r="E781" s="42"/>
      <c r="F781" s="42"/>
      <c r="G781" s="42"/>
      <c r="H781" s="42"/>
      <c r="I781" s="42"/>
      <c r="J781" s="42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</row>
    <row r="782" spans="1:28" x14ac:dyDescent="0.35">
      <c r="A782" s="41"/>
      <c r="B782" s="41"/>
      <c r="C782" s="41"/>
      <c r="D782" s="47"/>
      <c r="E782" s="42"/>
      <c r="F782" s="42"/>
      <c r="G782" s="42"/>
      <c r="H782" s="42"/>
      <c r="I782" s="42"/>
      <c r="J782" s="42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</row>
    <row r="783" spans="1:28" x14ac:dyDescent="0.35">
      <c r="A783" s="41"/>
      <c r="B783" s="41"/>
      <c r="C783" s="41"/>
      <c r="D783" s="47"/>
      <c r="E783" s="42"/>
      <c r="F783" s="42"/>
      <c r="G783" s="42"/>
      <c r="H783" s="42"/>
      <c r="I783" s="42"/>
      <c r="J783" s="42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</row>
    <row r="784" spans="1:28" x14ac:dyDescent="0.35">
      <c r="A784" s="41"/>
      <c r="B784" s="41"/>
      <c r="C784" s="41"/>
      <c r="D784" s="47"/>
      <c r="E784" s="42"/>
      <c r="F784" s="42"/>
      <c r="G784" s="42"/>
      <c r="H784" s="42"/>
      <c r="I784" s="42"/>
      <c r="J784" s="42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</row>
    <row r="785" spans="1:28" x14ac:dyDescent="0.35">
      <c r="A785" s="41"/>
      <c r="B785" s="41"/>
      <c r="C785" s="41"/>
      <c r="D785" s="47"/>
      <c r="E785" s="42"/>
      <c r="F785" s="42"/>
      <c r="G785" s="42"/>
      <c r="H785" s="42"/>
      <c r="I785" s="42"/>
      <c r="J785" s="42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</row>
    <row r="786" spans="1:28" x14ac:dyDescent="0.35">
      <c r="A786" s="41"/>
      <c r="B786" s="41"/>
      <c r="C786" s="41"/>
      <c r="D786" s="47"/>
      <c r="E786" s="42"/>
      <c r="F786" s="42"/>
      <c r="G786" s="42"/>
      <c r="H786" s="42"/>
      <c r="I786" s="42"/>
      <c r="J786" s="42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</row>
    <row r="787" spans="1:28" x14ac:dyDescent="0.35">
      <c r="A787" s="41"/>
      <c r="B787" s="41"/>
      <c r="C787" s="41"/>
      <c r="D787" s="47"/>
      <c r="E787" s="42"/>
      <c r="F787" s="42"/>
      <c r="G787" s="42"/>
      <c r="H787" s="42"/>
      <c r="I787" s="42"/>
      <c r="J787" s="42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</row>
    <row r="788" spans="1:28" x14ac:dyDescent="0.35">
      <c r="A788" s="41"/>
      <c r="B788" s="41"/>
      <c r="C788" s="41"/>
      <c r="D788" s="47"/>
      <c r="E788" s="42"/>
      <c r="F788" s="42"/>
      <c r="G788" s="42"/>
      <c r="H788" s="42"/>
      <c r="I788" s="42"/>
      <c r="J788" s="42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</row>
    <row r="789" spans="1:28" x14ac:dyDescent="0.35">
      <c r="A789" s="41"/>
      <c r="B789" s="41"/>
      <c r="C789" s="41"/>
      <c r="D789" s="47"/>
      <c r="E789" s="42"/>
      <c r="F789" s="42"/>
      <c r="G789" s="42"/>
      <c r="H789" s="42"/>
      <c r="I789" s="42"/>
      <c r="J789" s="42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</row>
    <row r="790" spans="1:28" x14ac:dyDescent="0.35">
      <c r="A790" s="41"/>
      <c r="B790" s="41"/>
      <c r="C790" s="41"/>
      <c r="D790" s="47"/>
      <c r="E790" s="42"/>
      <c r="F790" s="42"/>
      <c r="G790" s="42"/>
      <c r="H790" s="42"/>
      <c r="I790" s="42"/>
      <c r="J790" s="42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</row>
    <row r="791" spans="1:28" x14ac:dyDescent="0.35">
      <c r="A791" s="41"/>
      <c r="B791" s="41"/>
      <c r="C791" s="41"/>
      <c r="D791" s="47"/>
      <c r="E791" s="42"/>
      <c r="F791" s="42"/>
      <c r="G791" s="42"/>
      <c r="H791" s="42"/>
      <c r="I791" s="42"/>
      <c r="J791" s="42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</row>
    <row r="792" spans="1:28" x14ac:dyDescent="0.35">
      <c r="A792" s="41"/>
      <c r="B792" s="41"/>
      <c r="C792" s="41"/>
      <c r="D792" s="47"/>
      <c r="E792" s="42"/>
      <c r="F792" s="42"/>
      <c r="G792" s="42"/>
      <c r="H792" s="42"/>
      <c r="I792" s="42"/>
      <c r="J792" s="42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</row>
    <row r="793" spans="1:28" x14ac:dyDescent="0.35">
      <c r="A793" s="41"/>
      <c r="B793" s="41"/>
      <c r="C793" s="41"/>
      <c r="D793" s="47"/>
      <c r="E793" s="42"/>
      <c r="F793" s="42"/>
      <c r="G793" s="42"/>
      <c r="H793" s="42"/>
      <c r="I793" s="42"/>
      <c r="J793" s="42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</row>
    <row r="794" spans="1:28" x14ac:dyDescent="0.35">
      <c r="A794" s="41"/>
      <c r="B794" s="41"/>
      <c r="C794" s="41"/>
      <c r="D794" s="47"/>
      <c r="E794" s="42"/>
      <c r="F794" s="42"/>
      <c r="G794" s="42"/>
      <c r="H794" s="42"/>
      <c r="I794" s="42"/>
      <c r="J794" s="42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</row>
    <row r="795" spans="1:28" x14ac:dyDescent="0.35">
      <c r="A795" s="41"/>
      <c r="B795" s="41"/>
      <c r="C795" s="41"/>
      <c r="D795" s="47"/>
      <c r="E795" s="42"/>
      <c r="F795" s="42"/>
      <c r="G795" s="42"/>
      <c r="H795" s="42"/>
      <c r="I795" s="42"/>
      <c r="J795" s="42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</row>
    <row r="796" spans="1:28" x14ac:dyDescent="0.35">
      <c r="A796" s="41"/>
      <c r="B796" s="41"/>
      <c r="C796" s="41"/>
      <c r="D796" s="47"/>
      <c r="E796" s="42"/>
      <c r="F796" s="42"/>
      <c r="G796" s="42"/>
      <c r="H796" s="42"/>
      <c r="I796" s="42"/>
      <c r="J796" s="42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</row>
    <row r="797" spans="1:28" x14ac:dyDescent="0.35">
      <c r="A797" s="41"/>
      <c r="B797" s="41"/>
      <c r="C797" s="41"/>
      <c r="D797" s="47"/>
      <c r="E797" s="42"/>
      <c r="F797" s="42"/>
      <c r="G797" s="42"/>
      <c r="H797" s="42"/>
      <c r="I797" s="42"/>
      <c r="J797" s="42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</row>
    <row r="798" spans="1:28" x14ac:dyDescent="0.35">
      <c r="A798" s="41"/>
      <c r="B798" s="41"/>
      <c r="C798" s="41"/>
      <c r="D798" s="47"/>
      <c r="E798" s="42"/>
      <c r="F798" s="42"/>
      <c r="G798" s="42"/>
      <c r="H798" s="42"/>
      <c r="I798" s="42"/>
      <c r="J798" s="42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</row>
    <row r="799" spans="1:28" x14ac:dyDescent="0.35">
      <c r="A799" s="41"/>
      <c r="B799" s="41"/>
      <c r="C799" s="41"/>
      <c r="D799" s="47"/>
      <c r="E799" s="42"/>
      <c r="F799" s="42"/>
      <c r="G799" s="42"/>
      <c r="H799" s="42"/>
      <c r="I799" s="42"/>
      <c r="J799" s="42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</row>
    <row r="800" spans="1:28" x14ac:dyDescent="0.35">
      <c r="A800" s="41"/>
      <c r="B800" s="41"/>
      <c r="C800" s="41"/>
      <c r="D800" s="47"/>
      <c r="E800" s="42"/>
      <c r="F800" s="42"/>
      <c r="G800" s="42"/>
      <c r="H800" s="42"/>
      <c r="I800" s="42"/>
      <c r="J800" s="42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</row>
    <row r="801" spans="1:28" x14ac:dyDescent="0.35">
      <c r="A801" s="41"/>
      <c r="B801" s="41"/>
      <c r="C801" s="41"/>
      <c r="D801" s="47"/>
      <c r="E801" s="42"/>
      <c r="F801" s="42"/>
      <c r="G801" s="42"/>
      <c r="H801" s="42"/>
      <c r="I801" s="42"/>
      <c r="J801" s="42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</row>
    <row r="802" spans="1:28" x14ac:dyDescent="0.35">
      <c r="A802" s="41"/>
      <c r="B802" s="41"/>
      <c r="C802" s="41"/>
      <c r="D802" s="47"/>
      <c r="E802" s="42"/>
      <c r="F802" s="42"/>
      <c r="G802" s="42"/>
      <c r="H802" s="42"/>
      <c r="I802" s="42"/>
      <c r="J802" s="42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</row>
    <row r="803" spans="1:28" x14ac:dyDescent="0.35">
      <c r="A803" s="41"/>
      <c r="B803" s="41"/>
      <c r="C803" s="41"/>
      <c r="D803" s="47"/>
      <c r="E803" s="42"/>
      <c r="F803" s="42"/>
      <c r="G803" s="42"/>
      <c r="H803" s="42"/>
      <c r="I803" s="42"/>
      <c r="J803" s="42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</row>
    <row r="804" spans="1:28" x14ac:dyDescent="0.35">
      <c r="A804" s="41"/>
      <c r="B804" s="41"/>
      <c r="C804" s="41"/>
      <c r="D804" s="47"/>
      <c r="E804" s="42"/>
      <c r="F804" s="42"/>
      <c r="G804" s="42"/>
      <c r="H804" s="42"/>
      <c r="I804" s="42"/>
      <c r="J804" s="42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</row>
    <row r="805" spans="1:28" x14ac:dyDescent="0.35">
      <c r="A805" s="41"/>
      <c r="B805" s="41"/>
      <c r="C805" s="41"/>
      <c r="D805" s="47"/>
      <c r="E805" s="42"/>
      <c r="F805" s="42"/>
      <c r="G805" s="42"/>
      <c r="H805" s="42"/>
      <c r="I805" s="42"/>
      <c r="J805" s="42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</row>
    <row r="806" spans="1:28" x14ac:dyDescent="0.35">
      <c r="A806" s="41"/>
      <c r="B806" s="41"/>
      <c r="C806" s="41"/>
      <c r="D806" s="47"/>
      <c r="E806" s="42"/>
      <c r="F806" s="42"/>
      <c r="G806" s="42"/>
      <c r="H806" s="42"/>
      <c r="I806" s="42"/>
      <c r="J806" s="42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</row>
    <row r="807" spans="1:28" x14ac:dyDescent="0.35">
      <c r="A807" s="41"/>
      <c r="B807" s="41"/>
      <c r="C807" s="41"/>
      <c r="D807" s="47"/>
      <c r="E807" s="42"/>
      <c r="F807" s="42"/>
      <c r="G807" s="42"/>
      <c r="H807" s="42"/>
      <c r="I807" s="42"/>
      <c r="J807" s="42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</row>
    <row r="808" spans="1:28" x14ac:dyDescent="0.35">
      <c r="A808" s="41"/>
      <c r="B808" s="41"/>
      <c r="C808" s="41"/>
      <c r="D808" s="47"/>
      <c r="E808" s="42"/>
      <c r="F808" s="42"/>
      <c r="G808" s="42"/>
      <c r="H808" s="42"/>
      <c r="I808" s="42"/>
      <c r="J808" s="42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</row>
    <row r="809" spans="1:28" x14ac:dyDescent="0.35">
      <c r="A809" s="41"/>
      <c r="B809" s="41"/>
      <c r="C809" s="41"/>
      <c r="D809" s="47"/>
      <c r="E809" s="42"/>
      <c r="F809" s="42"/>
      <c r="G809" s="42"/>
      <c r="H809" s="42"/>
      <c r="I809" s="42"/>
      <c r="J809" s="42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</row>
    <row r="810" spans="1:28" x14ac:dyDescent="0.35">
      <c r="A810" s="41"/>
      <c r="B810" s="41"/>
      <c r="C810" s="41"/>
      <c r="D810" s="47"/>
      <c r="E810" s="42"/>
      <c r="F810" s="42"/>
      <c r="G810" s="42"/>
      <c r="H810" s="42"/>
      <c r="I810" s="42"/>
      <c r="J810" s="42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</row>
    <row r="811" spans="1:28" x14ac:dyDescent="0.35">
      <c r="A811" s="41"/>
      <c r="B811" s="41"/>
      <c r="C811" s="41"/>
      <c r="D811" s="47"/>
      <c r="E811" s="42"/>
      <c r="F811" s="42"/>
      <c r="G811" s="42"/>
      <c r="H811" s="42"/>
      <c r="I811" s="42"/>
      <c r="J811" s="42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</row>
    <row r="812" spans="1:28" x14ac:dyDescent="0.35">
      <c r="A812" s="41"/>
      <c r="B812" s="41"/>
      <c r="C812" s="41"/>
      <c r="D812" s="47"/>
      <c r="E812" s="42"/>
      <c r="F812" s="42"/>
      <c r="G812" s="42"/>
      <c r="H812" s="42"/>
      <c r="I812" s="42"/>
      <c r="J812" s="42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</row>
    <row r="813" spans="1:28" x14ac:dyDescent="0.35">
      <c r="A813" s="41"/>
      <c r="B813" s="41"/>
      <c r="C813" s="41"/>
      <c r="D813" s="47"/>
      <c r="E813" s="42"/>
      <c r="F813" s="42"/>
      <c r="G813" s="42"/>
      <c r="H813" s="42"/>
      <c r="I813" s="42"/>
      <c r="J813" s="42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</row>
    <row r="814" spans="1:28" x14ac:dyDescent="0.35">
      <c r="A814" s="41"/>
      <c r="B814" s="41"/>
      <c r="C814" s="41"/>
      <c r="D814" s="47"/>
      <c r="E814" s="42"/>
      <c r="F814" s="42"/>
      <c r="G814" s="42"/>
      <c r="H814" s="42"/>
      <c r="I814" s="42"/>
      <c r="J814" s="42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</row>
    <row r="815" spans="1:28" x14ac:dyDescent="0.35">
      <c r="A815" s="41"/>
      <c r="B815" s="41"/>
      <c r="C815" s="41"/>
      <c r="D815" s="47"/>
      <c r="E815" s="42"/>
      <c r="F815" s="42"/>
      <c r="G815" s="42"/>
      <c r="H815" s="42"/>
      <c r="I815" s="42"/>
      <c r="J815" s="42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</row>
    <row r="816" spans="1:28" x14ac:dyDescent="0.35">
      <c r="A816" s="41"/>
      <c r="B816" s="41"/>
      <c r="C816" s="41"/>
      <c r="D816" s="47"/>
      <c r="E816" s="42"/>
      <c r="F816" s="42"/>
      <c r="G816" s="42"/>
      <c r="H816" s="42"/>
      <c r="I816" s="42"/>
      <c r="J816" s="42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</row>
    <row r="817" spans="1:28" x14ac:dyDescent="0.35">
      <c r="A817" s="41"/>
      <c r="B817" s="41"/>
      <c r="C817" s="41"/>
      <c r="D817" s="47"/>
      <c r="E817" s="42"/>
      <c r="F817" s="42"/>
      <c r="G817" s="42"/>
      <c r="H817" s="42"/>
      <c r="I817" s="42"/>
      <c r="J817" s="42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</row>
    <row r="818" spans="1:28" x14ac:dyDescent="0.35">
      <c r="A818" s="41"/>
      <c r="B818" s="41"/>
      <c r="C818" s="41"/>
      <c r="D818" s="47"/>
      <c r="E818" s="42"/>
      <c r="F818" s="42"/>
      <c r="G818" s="42"/>
      <c r="H818" s="42"/>
      <c r="I818" s="42"/>
      <c r="J818" s="42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</row>
    <row r="819" spans="1:28" x14ac:dyDescent="0.35">
      <c r="A819" s="41"/>
      <c r="B819" s="41"/>
      <c r="C819" s="41"/>
      <c r="D819" s="47"/>
      <c r="E819" s="42"/>
      <c r="F819" s="42"/>
      <c r="G819" s="42"/>
      <c r="H819" s="42"/>
      <c r="I819" s="42"/>
      <c r="J819" s="42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</row>
    <row r="820" spans="1:28" x14ac:dyDescent="0.35">
      <c r="A820" s="41"/>
      <c r="B820" s="41"/>
      <c r="C820" s="41"/>
      <c r="D820" s="47"/>
      <c r="E820" s="42"/>
      <c r="F820" s="42"/>
      <c r="G820" s="42"/>
      <c r="H820" s="42"/>
      <c r="I820" s="42"/>
      <c r="J820" s="42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</row>
    <row r="821" spans="1:28" x14ac:dyDescent="0.35">
      <c r="A821" s="41"/>
      <c r="B821" s="41"/>
      <c r="C821" s="41"/>
      <c r="D821" s="47"/>
      <c r="E821" s="42"/>
      <c r="F821" s="42"/>
      <c r="G821" s="42"/>
      <c r="H821" s="42"/>
      <c r="I821" s="42"/>
      <c r="J821" s="42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</row>
    <row r="822" spans="1:28" x14ac:dyDescent="0.35">
      <c r="A822" s="41"/>
      <c r="B822" s="41"/>
      <c r="C822" s="41"/>
      <c r="D822" s="47"/>
      <c r="E822" s="42"/>
      <c r="F822" s="42"/>
      <c r="G822" s="42"/>
      <c r="H822" s="42"/>
      <c r="I822" s="42"/>
      <c r="J822" s="42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</row>
    <row r="823" spans="1:28" x14ac:dyDescent="0.35">
      <c r="A823" s="41"/>
      <c r="B823" s="41"/>
      <c r="C823" s="41"/>
      <c r="D823" s="47"/>
      <c r="E823" s="42"/>
      <c r="F823" s="42"/>
      <c r="G823" s="42"/>
      <c r="H823" s="42"/>
      <c r="I823" s="42"/>
      <c r="J823" s="42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</row>
    <row r="824" spans="1:28" x14ac:dyDescent="0.35">
      <c r="A824" s="41"/>
      <c r="B824" s="41"/>
      <c r="C824" s="41"/>
      <c r="D824" s="47"/>
      <c r="E824" s="42"/>
      <c r="F824" s="42"/>
      <c r="G824" s="42"/>
      <c r="H824" s="42"/>
      <c r="I824" s="42"/>
      <c r="J824" s="42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</row>
    <row r="825" spans="1:28" x14ac:dyDescent="0.35">
      <c r="A825" s="41"/>
      <c r="B825" s="41"/>
      <c r="C825" s="41"/>
      <c r="D825" s="47"/>
      <c r="E825" s="42"/>
      <c r="F825" s="42"/>
      <c r="G825" s="42"/>
      <c r="H825" s="42"/>
      <c r="I825" s="42"/>
      <c r="J825" s="42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</row>
    <row r="826" spans="1:28" x14ac:dyDescent="0.35">
      <c r="A826" s="41"/>
      <c r="B826" s="41"/>
      <c r="C826" s="41"/>
      <c r="D826" s="47"/>
      <c r="E826" s="42"/>
      <c r="F826" s="42"/>
      <c r="G826" s="42"/>
      <c r="H826" s="42"/>
      <c r="I826" s="42"/>
      <c r="J826" s="42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</row>
    <row r="827" spans="1:28" x14ac:dyDescent="0.35">
      <c r="A827" s="41"/>
      <c r="B827" s="41"/>
      <c r="C827" s="41"/>
      <c r="D827" s="47"/>
      <c r="E827" s="42"/>
      <c r="F827" s="42"/>
      <c r="G827" s="42"/>
      <c r="H827" s="42"/>
      <c r="I827" s="42"/>
      <c r="J827" s="42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</row>
    <row r="828" spans="1:28" x14ac:dyDescent="0.35">
      <c r="A828" s="41"/>
      <c r="B828" s="41"/>
      <c r="C828" s="41"/>
      <c r="D828" s="47"/>
      <c r="E828" s="42"/>
      <c r="F828" s="42"/>
      <c r="G828" s="42"/>
      <c r="H828" s="42"/>
      <c r="I828" s="42"/>
      <c r="J828" s="42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</row>
    <row r="829" spans="1:28" x14ac:dyDescent="0.35">
      <c r="A829" s="41"/>
      <c r="B829" s="41"/>
      <c r="C829" s="41"/>
      <c r="D829" s="47"/>
      <c r="E829" s="42"/>
      <c r="F829" s="42"/>
      <c r="G829" s="42"/>
      <c r="H829" s="42"/>
      <c r="I829" s="42"/>
      <c r="J829" s="42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</row>
    <row r="830" spans="1:28" x14ac:dyDescent="0.35">
      <c r="A830" s="41"/>
      <c r="B830" s="41"/>
      <c r="C830" s="41"/>
      <c r="D830" s="47"/>
      <c r="E830" s="42"/>
      <c r="F830" s="42"/>
      <c r="G830" s="42"/>
      <c r="H830" s="42"/>
      <c r="I830" s="42"/>
      <c r="J830" s="42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</row>
    <row r="831" spans="1:28" x14ac:dyDescent="0.35">
      <c r="A831" s="41"/>
      <c r="B831" s="41"/>
      <c r="C831" s="41"/>
      <c r="D831" s="47"/>
      <c r="E831" s="42"/>
      <c r="F831" s="42"/>
      <c r="G831" s="42"/>
      <c r="H831" s="42"/>
      <c r="I831" s="42"/>
      <c r="J831" s="42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</row>
    <row r="832" spans="1:28" x14ac:dyDescent="0.35">
      <c r="A832" s="41"/>
      <c r="B832" s="41"/>
      <c r="C832" s="41"/>
      <c r="D832" s="47"/>
      <c r="E832" s="42"/>
      <c r="F832" s="42"/>
      <c r="G832" s="42"/>
      <c r="H832" s="42"/>
      <c r="I832" s="42"/>
      <c r="J832" s="42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</row>
    <row r="833" spans="1:28" x14ac:dyDescent="0.35">
      <c r="A833" s="41"/>
      <c r="B833" s="41"/>
      <c r="C833" s="41"/>
      <c r="D833" s="47"/>
      <c r="E833" s="42"/>
      <c r="F833" s="42"/>
      <c r="G833" s="42"/>
      <c r="H833" s="42"/>
      <c r="I833" s="42"/>
      <c r="J833" s="42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</row>
    <row r="834" spans="1:28" x14ac:dyDescent="0.35">
      <c r="A834" s="41"/>
      <c r="B834" s="41"/>
      <c r="C834" s="41"/>
      <c r="D834" s="47"/>
      <c r="E834" s="42"/>
      <c r="F834" s="42"/>
      <c r="G834" s="42"/>
      <c r="H834" s="42"/>
      <c r="I834" s="42"/>
      <c r="J834" s="42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</row>
    <row r="835" spans="1:28" x14ac:dyDescent="0.35">
      <c r="A835" s="41"/>
      <c r="B835" s="41"/>
      <c r="C835" s="41"/>
      <c r="D835" s="47"/>
      <c r="E835" s="42"/>
      <c r="F835" s="42"/>
      <c r="G835" s="42"/>
      <c r="H835" s="42"/>
      <c r="I835" s="42"/>
      <c r="J835" s="42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</row>
    <row r="836" spans="1:28" x14ac:dyDescent="0.35">
      <c r="A836" s="41"/>
      <c r="B836" s="41"/>
      <c r="C836" s="41"/>
      <c r="D836" s="47"/>
      <c r="E836" s="42"/>
      <c r="F836" s="42"/>
      <c r="G836" s="42"/>
      <c r="H836" s="42"/>
      <c r="I836" s="42"/>
      <c r="J836" s="42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</row>
    <row r="837" spans="1:28" x14ac:dyDescent="0.35">
      <c r="A837" s="41"/>
      <c r="B837" s="41"/>
      <c r="C837" s="41"/>
      <c r="D837" s="47"/>
      <c r="E837" s="42"/>
      <c r="F837" s="42"/>
      <c r="G837" s="42"/>
      <c r="H837" s="42"/>
      <c r="I837" s="42"/>
      <c r="J837" s="42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</row>
    <row r="838" spans="1:28" x14ac:dyDescent="0.35">
      <c r="A838" s="41"/>
      <c r="B838" s="41"/>
      <c r="C838" s="41"/>
      <c r="D838" s="47"/>
      <c r="E838" s="42"/>
      <c r="F838" s="42"/>
      <c r="G838" s="42"/>
      <c r="H838" s="42"/>
      <c r="I838" s="42"/>
      <c r="J838" s="42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</row>
    <row r="839" spans="1:28" x14ac:dyDescent="0.35">
      <c r="A839" s="41"/>
      <c r="B839" s="41"/>
      <c r="C839" s="41"/>
      <c r="D839" s="47"/>
      <c r="E839" s="42"/>
      <c r="F839" s="42"/>
      <c r="G839" s="42"/>
      <c r="H839" s="42"/>
      <c r="I839" s="42"/>
      <c r="J839" s="42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</row>
    <row r="840" spans="1:28" x14ac:dyDescent="0.35">
      <c r="A840" s="41"/>
      <c r="B840" s="41"/>
      <c r="C840" s="41"/>
      <c r="D840" s="47"/>
      <c r="E840" s="42"/>
      <c r="F840" s="42"/>
      <c r="G840" s="42"/>
      <c r="H840" s="42"/>
      <c r="I840" s="42"/>
      <c r="J840" s="42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</row>
    <row r="841" spans="1:28" x14ac:dyDescent="0.35">
      <c r="A841" s="41"/>
      <c r="B841" s="41"/>
      <c r="C841" s="41"/>
      <c r="D841" s="47"/>
      <c r="E841" s="42"/>
      <c r="F841" s="42"/>
      <c r="G841" s="42"/>
      <c r="H841" s="42"/>
      <c r="I841" s="42"/>
      <c r="J841" s="42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</row>
    <row r="842" spans="1:28" x14ac:dyDescent="0.35">
      <c r="A842" s="41"/>
      <c r="B842" s="41"/>
      <c r="C842" s="41"/>
      <c r="D842" s="47"/>
      <c r="E842" s="42"/>
      <c r="F842" s="42"/>
      <c r="G842" s="42"/>
      <c r="H842" s="42"/>
      <c r="I842" s="42"/>
      <c r="J842" s="42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</row>
    <row r="843" spans="1:28" x14ac:dyDescent="0.35">
      <c r="A843" s="41"/>
      <c r="B843" s="41"/>
      <c r="C843" s="41"/>
      <c r="D843" s="47"/>
      <c r="E843" s="42"/>
      <c r="F843" s="42"/>
      <c r="G843" s="42"/>
      <c r="H843" s="42"/>
      <c r="I843" s="42"/>
      <c r="J843" s="42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</row>
    <row r="844" spans="1:28" x14ac:dyDescent="0.35">
      <c r="A844" s="41"/>
      <c r="B844" s="41"/>
      <c r="C844" s="41"/>
      <c r="D844" s="47"/>
      <c r="E844" s="42"/>
      <c r="F844" s="42"/>
      <c r="G844" s="42"/>
      <c r="H844" s="42"/>
      <c r="I844" s="42"/>
      <c r="J844" s="42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</row>
    <row r="845" spans="1:28" x14ac:dyDescent="0.35">
      <c r="A845" s="41"/>
      <c r="B845" s="41"/>
      <c r="C845" s="41"/>
      <c r="D845" s="47"/>
      <c r="E845" s="42"/>
      <c r="F845" s="42"/>
      <c r="G845" s="42"/>
      <c r="H845" s="42"/>
      <c r="I845" s="42"/>
      <c r="J845" s="42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</row>
    <row r="846" spans="1:28" x14ac:dyDescent="0.35">
      <c r="A846" s="41"/>
      <c r="B846" s="41"/>
      <c r="C846" s="41"/>
      <c r="D846" s="47"/>
      <c r="E846" s="42"/>
      <c r="F846" s="42"/>
      <c r="G846" s="42"/>
      <c r="H846" s="42"/>
      <c r="I846" s="42"/>
      <c r="J846" s="42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</row>
    <row r="847" spans="1:28" x14ac:dyDescent="0.35">
      <c r="A847" s="41"/>
      <c r="B847" s="41"/>
      <c r="C847" s="41"/>
      <c r="D847" s="47"/>
      <c r="E847" s="42"/>
      <c r="F847" s="42"/>
      <c r="G847" s="42"/>
      <c r="H847" s="42"/>
      <c r="I847" s="42"/>
      <c r="J847" s="42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</row>
    <row r="848" spans="1:28" x14ac:dyDescent="0.35">
      <c r="A848" s="41"/>
      <c r="B848" s="41"/>
      <c r="C848" s="41"/>
      <c r="D848" s="47"/>
      <c r="E848" s="42"/>
      <c r="F848" s="42"/>
      <c r="G848" s="42"/>
      <c r="H848" s="42"/>
      <c r="I848" s="42"/>
      <c r="J848" s="42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</row>
    <row r="849" spans="1:28" x14ac:dyDescent="0.35">
      <c r="A849" s="41"/>
      <c r="B849" s="41"/>
      <c r="C849" s="41"/>
      <c r="D849" s="47"/>
      <c r="E849" s="42"/>
      <c r="F849" s="42"/>
      <c r="G849" s="42"/>
      <c r="H849" s="42"/>
      <c r="I849" s="42"/>
      <c r="J849" s="42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</row>
    <row r="850" spans="1:28" x14ac:dyDescent="0.35">
      <c r="A850" s="41"/>
      <c r="B850" s="41"/>
      <c r="C850" s="41"/>
      <c r="D850" s="47"/>
      <c r="E850" s="42"/>
      <c r="F850" s="42"/>
      <c r="G850" s="42"/>
      <c r="H850" s="42"/>
      <c r="I850" s="42"/>
      <c r="J850" s="42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</row>
    <row r="851" spans="1:28" x14ac:dyDescent="0.35">
      <c r="A851" s="41"/>
      <c r="B851" s="41"/>
      <c r="C851" s="41"/>
      <c r="D851" s="47"/>
      <c r="E851" s="42"/>
      <c r="F851" s="42"/>
      <c r="G851" s="42"/>
      <c r="H851" s="42"/>
      <c r="I851" s="42"/>
      <c r="J851" s="42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</row>
    <row r="852" spans="1:28" x14ac:dyDescent="0.35">
      <c r="A852" s="41"/>
      <c r="B852" s="41"/>
      <c r="C852" s="41"/>
      <c r="D852" s="47"/>
      <c r="E852" s="42"/>
      <c r="F852" s="42"/>
      <c r="G852" s="42"/>
      <c r="H852" s="42"/>
      <c r="I852" s="42"/>
      <c r="J852" s="42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</row>
    <row r="853" spans="1:28" x14ac:dyDescent="0.35">
      <c r="A853" s="41"/>
      <c r="B853" s="41"/>
      <c r="C853" s="41"/>
      <c r="D853" s="47"/>
      <c r="E853" s="42"/>
      <c r="F853" s="42"/>
      <c r="G853" s="42"/>
      <c r="H853" s="42"/>
      <c r="I853" s="42"/>
      <c r="J853" s="42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</row>
    <row r="854" spans="1:28" x14ac:dyDescent="0.35">
      <c r="A854" s="41"/>
      <c r="B854" s="41"/>
      <c r="C854" s="41"/>
      <c r="D854" s="47"/>
      <c r="E854" s="42"/>
      <c r="F854" s="42"/>
      <c r="G854" s="42"/>
      <c r="H854" s="42"/>
      <c r="I854" s="42"/>
      <c r="J854" s="42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</row>
    <row r="855" spans="1:28" x14ac:dyDescent="0.35">
      <c r="A855" s="41"/>
      <c r="B855" s="41"/>
      <c r="C855" s="41"/>
      <c r="D855" s="47"/>
      <c r="E855" s="42"/>
      <c r="F855" s="42"/>
      <c r="G855" s="42"/>
      <c r="H855" s="42"/>
      <c r="I855" s="42"/>
      <c r="J855" s="42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</row>
    <row r="856" spans="1:28" x14ac:dyDescent="0.35">
      <c r="A856" s="41"/>
      <c r="B856" s="41"/>
      <c r="C856" s="41"/>
      <c r="D856" s="47"/>
      <c r="E856" s="42"/>
      <c r="F856" s="42"/>
      <c r="G856" s="42"/>
      <c r="H856" s="42"/>
      <c r="I856" s="42"/>
      <c r="J856" s="42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</row>
    <row r="857" spans="1:28" x14ac:dyDescent="0.35">
      <c r="A857" s="41"/>
      <c r="B857" s="41"/>
      <c r="C857" s="41"/>
      <c r="D857" s="47"/>
      <c r="E857" s="42"/>
      <c r="F857" s="42"/>
      <c r="G857" s="42"/>
      <c r="H857" s="42"/>
      <c r="I857" s="42"/>
      <c r="J857" s="42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</row>
    <row r="858" spans="1:28" x14ac:dyDescent="0.35">
      <c r="A858" s="41"/>
      <c r="B858" s="41"/>
      <c r="C858" s="41"/>
      <c r="D858" s="47"/>
      <c r="E858" s="42"/>
      <c r="F858" s="42"/>
      <c r="G858" s="42"/>
      <c r="H858" s="42"/>
      <c r="I858" s="42"/>
      <c r="J858" s="42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</row>
    <row r="859" spans="1:28" x14ac:dyDescent="0.35">
      <c r="A859" s="41"/>
      <c r="B859" s="41"/>
      <c r="C859" s="41"/>
      <c r="D859" s="47"/>
      <c r="E859" s="42"/>
      <c r="F859" s="42"/>
      <c r="G859" s="42"/>
      <c r="H859" s="42"/>
      <c r="I859" s="42"/>
      <c r="J859" s="42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</row>
    <row r="860" spans="1:28" x14ac:dyDescent="0.35">
      <c r="A860" s="41"/>
      <c r="B860" s="41"/>
      <c r="C860" s="41"/>
      <c r="D860" s="47"/>
      <c r="E860" s="42"/>
      <c r="F860" s="42"/>
      <c r="G860" s="42"/>
      <c r="H860" s="42"/>
      <c r="I860" s="42"/>
      <c r="J860" s="42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</row>
    <row r="861" spans="1:28" x14ac:dyDescent="0.35">
      <c r="A861" s="41"/>
      <c r="B861" s="41"/>
      <c r="C861" s="41"/>
      <c r="D861" s="47"/>
      <c r="E861" s="42"/>
      <c r="F861" s="42"/>
      <c r="G861" s="42"/>
      <c r="H861" s="42"/>
      <c r="I861" s="42"/>
      <c r="J861" s="42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</row>
    <row r="862" spans="1:28" x14ac:dyDescent="0.35">
      <c r="A862" s="41"/>
      <c r="B862" s="41"/>
      <c r="C862" s="41"/>
      <c r="D862" s="47"/>
      <c r="E862" s="42"/>
      <c r="F862" s="42"/>
      <c r="G862" s="42"/>
      <c r="H862" s="42"/>
      <c r="I862" s="42"/>
      <c r="J862" s="42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</row>
    <row r="863" spans="1:28" x14ac:dyDescent="0.35">
      <c r="A863" s="41"/>
      <c r="B863" s="41"/>
      <c r="C863" s="41"/>
      <c r="D863" s="47"/>
      <c r="E863" s="42"/>
      <c r="F863" s="42"/>
      <c r="G863" s="42"/>
      <c r="H863" s="42"/>
      <c r="I863" s="42"/>
      <c r="J863" s="42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</row>
    <row r="864" spans="1:28" x14ac:dyDescent="0.35">
      <c r="A864" s="41"/>
      <c r="B864" s="41"/>
      <c r="C864" s="41"/>
      <c r="D864" s="47"/>
      <c r="E864" s="42"/>
      <c r="F864" s="42"/>
      <c r="G864" s="42"/>
      <c r="H864" s="42"/>
      <c r="I864" s="42"/>
      <c r="J864" s="42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</row>
    <row r="865" spans="1:28" x14ac:dyDescent="0.35">
      <c r="A865" s="41"/>
      <c r="B865" s="41"/>
      <c r="C865" s="41"/>
      <c r="D865" s="47"/>
      <c r="E865" s="42"/>
      <c r="F865" s="42"/>
      <c r="G865" s="42"/>
      <c r="H865" s="42"/>
      <c r="I865" s="42"/>
      <c r="J865" s="42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</row>
    <row r="866" spans="1:28" x14ac:dyDescent="0.35">
      <c r="A866" s="41"/>
      <c r="B866" s="41"/>
      <c r="C866" s="41"/>
      <c r="D866" s="47"/>
      <c r="E866" s="42"/>
      <c r="F866" s="42"/>
      <c r="G866" s="42"/>
      <c r="H866" s="42"/>
      <c r="I866" s="42"/>
      <c r="J866" s="42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</row>
    <row r="867" spans="1:28" x14ac:dyDescent="0.35">
      <c r="A867" s="41"/>
      <c r="B867" s="41"/>
      <c r="C867" s="41"/>
      <c r="D867" s="47"/>
      <c r="E867" s="42"/>
      <c r="F867" s="42"/>
      <c r="G867" s="42"/>
      <c r="H867" s="42"/>
      <c r="I867" s="42"/>
      <c r="J867" s="42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</row>
    <row r="868" spans="1:28" x14ac:dyDescent="0.35">
      <c r="A868" s="41"/>
      <c r="B868" s="41"/>
      <c r="C868" s="41"/>
      <c r="D868" s="47"/>
      <c r="E868" s="42"/>
      <c r="F868" s="42"/>
      <c r="G868" s="42"/>
      <c r="H868" s="42"/>
      <c r="I868" s="42"/>
      <c r="J868" s="42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</row>
    <row r="869" spans="1:28" x14ac:dyDescent="0.35">
      <c r="A869" s="41"/>
      <c r="B869" s="41"/>
      <c r="C869" s="41"/>
      <c r="D869" s="47"/>
      <c r="E869" s="42"/>
      <c r="F869" s="42"/>
      <c r="G869" s="42"/>
      <c r="H869" s="42"/>
      <c r="I869" s="42"/>
      <c r="J869" s="42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</row>
    <row r="870" spans="1:28" x14ac:dyDescent="0.35">
      <c r="A870" s="41"/>
      <c r="B870" s="41"/>
      <c r="C870" s="41"/>
      <c r="D870" s="47"/>
      <c r="E870" s="42"/>
      <c r="F870" s="42"/>
      <c r="G870" s="42"/>
      <c r="H870" s="42"/>
      <c r="I870" s="42"/>
      <c r="J870" s="42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</row>
    <row r="871" spans="1:28" x14ac:dyDescent="0.35">
      <c r="A871" s="41"/>
      <c r="B871" s="41"/>
      <c r="C871" s="41"/>
      <c r="D871" s="47"/>
      <c r="E871" s="42"/>
      <c r="F871" s="42"/>
      <c r="G871" s="42"/>
      <c r="H871" s="42"/>
      <c r="I871" s="42"/>
      <c r="J871" s="42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</row>
    <row r="872" spans="1:28" x14ac:dyDescent="0.35">
      <c r="A872" s="41"/>
      <c r="B872" s="41"/>
      <c r="C872" s="41"/>
      <c r="D872" s="47"/>
      <c r="E872" s="42"/>
      <c r="F872" s="42"/>
      <c r="G872" s="42"/>
      <c r="H872" s="42"/>
      <c r="I872" s="42"/>
      <c r="J872" s="42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</row>
    <row r="873" spans="1:28" x14ac:dyDescent="0.35">
      <c r="A873" s="41"/>
      <c r="B873" s="41"/>
      <c r="C873" s="41"/>
      <c r="D873" s="47"/>
      <c r="E873" s="42"/>
      <c r="F873" s="42"/>
      <c r="G873" s="42"/>
      <c r="H873" s="42"/>
      <c r="I873" s="42"/>
      <c r="J873" s="42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</row>
    <row r="874" spans="1:28" x14ac:dyDescent="0.35">
      <c r="A874" s="41"/>
      <c r="B874" s="41"/>
      <c r="C874" s="41"/>
      <c r="D874" s="47"/>
      <c r="E874" s="42"/>
      <c r="F874" s="42"/>
      <c r="G874" s="42"/>
      <c r="H874" s="42"/>
      <c r="I874" s="42"/>
      <c r="J874" s="42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</row>
    <row r="875" spans="1:28" x14ac:dyDescent="0.35">
      <c r="A875" s="41"/>
      <c r="B875" s="41"/>
      <c r="C875" s="41"/>
      <c r="D875" s="47"/>
      <c r="E875" s="42"/>
      <c r="F875" s="42"/>
      <c r="G875" s="42"/>
      <c r="H875" s="42"/>
      <c r="I875" s="42"/>
      <c r="J875" s="42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</row>
    <row r="876" spans="1:28" x14ac:dyDescent="0.35">
      <c r="A876" s="41"/>
      <c r="B876" s="41"/>
      <c r="C876" s="41"/>
      <c r="D876" s="47"/>
      <c r="E876" s="42"/>
      <c r="F876" s="42"/>
      <c r="G876" s="42"/>
      <c r="H876" s="42"/>
      <c r="I876" s="42"/>
      <c r="J876" s="42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</row>
    <row r="877" spans="1:28" x14ac:dyDescent="0.35">
      <c r="A877" s="41"/>
      <c r="B877" s="41"/>
      <c r="C877" s="41"/>
      <c r="D877" s="47"/>
      <c r="E877" s="42"/>
      <c r="F877" s="42"/>
      <c r="G877" s="42"/>
      <c r="H877" s="42"/>
      <c r="I877" s="42"/>
      <c r="J877" s="42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</row>
    <row r="878" spans="1:28" x14ac:dyDescent="0.35">
      <c r="A878" s="41"/>
      <c r="B878" s="41"/>
      <c r="C878" s="41"/>
      <c r="D878" s="47"/>
      <c r="E878" s="42"/>
      <c r="F878" s="42"/>
      <c r="G878" s="42"/>
      <c r="H878" s="42"/>
      <c r="I878" s="42"/>
      <c r="J878" s="42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</row>
    <row r="879" spans="1:28" x14ac:dyDescent="0.35">
      <c r="A879" s="41"/>
      <c r="B879" s="41"/>
      <c r="C879" s="41"/>
      <c r="D879" s="47"/>
      <c r="E879" s="42"/>
      <c r="F879" s="42"/>
      <c r="G879" s="42"/>
      <c r="H879" s="42"/>
      <c r="I879" s="42"/>
      <c r="J879" s="42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</row>
    <row r="880" spans="1:28" x14ac:dyDescent="0.35">
      <c r="A880" s="41"/>
      <c r="B880" s="41"/>
      <c r="C880" s="41"/>
      <c r="D880" s="47"/>
      <c r="E880" s="42"/>
      <c r="F880" s="42"/>
      <c r="G880" s="42"/>
      <c r="H880" s="42"/>
      <c r="I880" s="42"/>
      <c r="J880" s="42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</row>
    <row r="881" spans="1:28" x14ac:dyDescent="0.35">
      <c r="A881" s="41"/>
      <c r="B881" s="41"/>
      <c r="C881" s="41"/>
      <c r="D881" s="47"/>
      <c r="E881" s="42"/>
      <c r="F881" s="42"/>
      <c r="G881" s="42"/>
      <c r="H881" s="42"/>
      <c r="I881" s="42"/>
      <c r="J881" s="42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</row>
    <row r="882" spans="1:28" x14ac:dyDescent="0.35">
      <c r="A882" s="41"/>
      <c r="B882" s="41"/>
      <c r="C882" s="41"/>
      <c r="D882" s="47"/>
      <c r="E882" s="42"/>
      <c r="F882" s="42"/>
      <c r="G882" s="42"/>
      <c r="H882" s="42"/>
      <c r="I882" s="42"/>
      <c r="J882" s="42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</row>
    <row r="883" spans="1:28" x14ac:dyDescent="0.35">
      <c r="A883" s="41"/>
      <c r="B883" s="41"/>
      <c r="C883" s="41"/>
      <c r="D883" s="47"/>
      <c r="E883" s="42"/>
      <c r="F883" s="42"/>
      <c r="G883" s="42"/>
      <c r="H883" s="42"/>
      <c r="I883" s="42"/>
      <c r="J883" s="42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</row>
    <row r="884" spans="1:28" x14ac:dyDescent="0.35">
      <c r="A884" s="41"/>
      <c r="B884" s="41"/>
      <c r="C884" s="41"/>
      <c r="D884" s="47"/>
      <c r="E884" s="42"/>
      <c r="F884" s="42"/>
      <c r="G884" s="42"/>
      <c r="H884" s="42"/>
      <c r="I884" s="42"/>
      <c r="J884" s="42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</row>
    <row r="885" spans="1:28" x14ac:dyDescent="0.35">
      <c r="A885" s="41"/>
      <c r="B885" s="41"/>
      <c r="C885" s="41"/>
      <c r="D885" s="47"/>
      <c r="E885" s="42"/>
      <c r="F885" s="42"/>
      <c r="G885" s="42"/>
      <c r="H885" s="42"/>
      <c r="I885" s="42"/>
      <c r="J885" s="42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</row>
    <row r="886" spans="1:28" x14ac:dyDescent="0.35">
      <c r="A886" s="41"/>
      <c r="B886" s="41"/>
      <c r="C886" s="41"/>
      <c r="D886" s="47"/>
      <c r="E886" s="42"/>
      <c r="F886" s="42"/>
      <c r="G886" s="42"/>
      <c r="H886" s="42"/>
      <c r="I886" s="42"/>
      <c r="J886" s="42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</row>
    <row r="887" spans="1:28" x14ac:dyDescent="0.35">
      <c r="A887" s="41"/>
      <c r="B887" s="41"/>
      <c r="C887" s="41"/>
      <c r="D887" s="47"/>
      <c r="E887" s="42"/>
      <c r="F887" s="42"/>
      <c r="G887" s="42"/>
      <c r="H887" s="42"/>
      <c r="I887" s="42"/>
      <c r="J887" s="42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</row>
    <row r="888" spans="1:28" x14ac:dyDescent="0.35">
      <c r="A888" s="41"/>
      <c r="B888" s="41"/>
      <c r="C888" s="41"/>
      <c r="D888" s="47"/>
      <c r="E888" s="42"/>
      <c r="F888" s="42"/>
      <c r="G888" s="42"/>
      <c r="H888" s="42"/>
      <c r="I888" s="42"/>
      <c r="J888" s="42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</row>
    <row r="889" spans="1:28" x14ac:dyDescent="0.35">
      <c r="A889" s="41"/>
      <c r="B889" s="41"/>
      <c r="C889" s="41"/>
      <c r="D889" s="47"/>
      <c r="E889" s="42"/>
      <c r="F889" s="42"/>
      <c r="G889" s="42"/>
      <c r="H889" s="42"/>
      <c r="I889" s="42"/>
      <c r="J889" s="42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</row>
    <row r="890" spans="1:28" x14ac:dyDescent="0.35">
      <c r="A890" s="41"/>
      <c r="B890" s="41"/>
      <c r="C890" s="41"/>
      <c r="D890" s="47"/>
      <c r="E890" s="42"/>
      <c r="F890" s="42"/>
      <c r="G890" s="42"/>
      <c r="H890" s="42"/>
      <c r="I890" s="42"/>
      <c r="J890" s="42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</row>
    <row r="891" spans="1:28" x14ac:dyDescent="0.35">
      <c r="A891" s="41"/>
      <c r="B891" s="41"/>
      <c r="C891" s="41"/>
      <c r="D891" s="47"/>
      <c r="E891" s="42"/>
      <c r="F891" s="42"/>
      <c r="G891" s="42"/>
      <c r="H891" s="42"/>
      <c r="I891" s="42"/>
      <c r="J891" s="42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</row>
    <row r="892" spans="1:28" x14ac:dyDescent="0.35">
      <c r="A892" s="41"/>
      <c r="B892" s="41"/>
      <c r="C892" s="41"/>
      <c r="D892" s="47"/>
      <c r="E892" s="42"/>
      <c r="F892" s="42"/>
      <c r="G892" s="42"/>
      <c r="H892" s="42"/>
      <c r="I892" s="42"/>
      <c r="J892" s="42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</row>
    <row r="893" spans="1:28" x14ac:dyDescent="0.35">
      <c r="A893" s="41"/>
      <c r="B893" s="41"/>
      <c r="C893" s="41"/>
      <c r="D893" s="47"/>
      <c r="E893" s="42"/>
      <c r="F893" s="42"/>
      <c r="G893" s="42"/>
      <c r="H893" s="42"/>
      <c r="I893" s="42"/>
      <c r="J893" s="42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</row>
    <row r="894" spans="1:28" x14ac:dyDescent="0.35">
      <c r="A894" s="41"/>
      <c r="B894" s="41"/>
      <c r="C894" s="41"/>
      <c r="D894" s="47"/>
      <c r="E894" s="42"/>
      <c r="F894" s="42"/>
      <c r="G894" s="42"/>
      <c r="H894" s="42"/>
      <c r="I894" s="42"/>
      <c r="J894" s="42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</row>
    <row r="895" spans="1:28" x14ac:dyDescent="0.35">
      <c r="A895" s="41"/>
      <c r="B895" s="41"/>
      <c r="C895" s="41"/>
      <c r="D895" s="47"/>
      <c r="E895" s="42"/>
      <c r="F895" s="42"/>
      <c r="G895" s="42"/>
      <c r="H895" s="42"/>
      <c r="I895" s="42"/>
      <c r="J895" s="42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</row>
    <row r="896" spans="1:28" x14ac:dyDescent="0.35">
      <c r="A896" s="41"/>
      <c r="B896" s="41"/>
      <c r="C896" s="41"/>
      <c r="D896" s="47"/>
      <c r="E896" s="42"/>
      <c r="F896" s="42"/>
      <c r="G896" s="42"/>
      <c r="H896" s="42"/>
      <c r="I896" s="42"/>
      <c r="J896" s="42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</row>
    <row r="897" spans="1:28" x14ac:dyDescent="0.35">
      <c r="A897" s="41"/>
      <c r="B897" s="41"/>
      <c r="C897" s="41"/>
      <c r="D897" s="47"/>
      <c r="E897" s="42"/>
      <c r="F897" s="42"/>
      <c r="G897" s="42"/>
      <c r="H897" s="42"/>
      <c r="I897" s="42"/>
      <c r="J897" s="42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</row>
    <row r="898" spans="1:28" x14ac:dyDescent="0.35">
      <c r="A898" s="41"/>
      <c r="B898" s="41"/>
      <c r="C898" s="41"/>
      <c r="D898" s="47"/>
      <c r="E898" s="42"/>
      <c r="F898" s="42"/>
      <c r="G898" s="42"/>
      <c r="H898" s="42"/>
      <c r="I898" s="42"/>
      <c r="J898" s="42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</row>
    <row r="899" spans="1:28" x14ac:dyDescent="0.35">
      <c r="A899" s="41"/>
      <c r="B899" s="41"/>
      <c r="C899" s="41"/>
      <c r="D899" s="47"/>
      <c r="E899" s="42"/>
      <c r="F899" s="42"/>
      <c r="G899" s="42"/>
      <c r="H899" s="42"/>
      <c r="I899" s="42"/>
      <c r="J899" s="42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</row>
    <row r="900" spans="1:28" x14ac:dyDescent="0.35">
      <c r="A900" s="41"/>
      <c r="B900" s="41"/>
      <c r="C900" s="41"/>
      <c r="D900" s="47"/>
      <c r="E900" s="42"/>
      <c r="F900" s="42"/>
      <c r="G900" s="42"/>
      <c r="H900" s="42"/>
      <c r="I900" s="42"/>
      <c r="J900" s="42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</row>
    <row r="901" spans="1:28" x14ac:dyDescent="0.35">
      <c r="A901" s="41"/>
      <c r="B901" s="41"/>
      <c r="C901" s="41"/>
      <c r="D901" s="47"/>
      <c r="E901" s="42"/>
      <c r="F901" s="42"/>
      <c r="G901" s="42"/>
      <c r="H901" s="42"/>
      <c r="I901" s="42"/>
      <c r="J901" s="42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</row>
    <row r="902" spans="1:28" x14ac:dyDescent="0.35">
      <c r="A902" s="41"/>
      <c r="B902" s="41"/>
      <c r="C902" s="41"/>
      <c r="D902" s="47"/>
      <c r="E902" s="42"/>
      <c r="F902" s="42"/>
      <c r="G902" s="42"/>
      <c r="H902" s="42"/>
      <c r="I902" s="42"/>
      <c r="J902" s="42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</row>
    <row r="903" spans="1:28" x14ac:dyDescent="0.35">
      <c r="A903" s="41"/>
      <c r="B903" s="41"/>
      <c r="C903" s="41"/>
      <c r="D903" s="47"/>
      <c r="E903" s="42"/>
      <c r="F903" s="42"/>
      <c r="G903" s="42"/>
      <c r="H903" s="42"/>
      <c r="I903" s="42"/>
      <c r="J903" s="42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</row>
    <row r="904" spans="1:28" x14ac:dyDescent="0.35">
      <c r="A904" s="41"/>
      <c r="B904" s="41"/>
      <c r="C904" s="41"/>
      <c r="D904" s="47"/>
      <c r="E904" s="42"/>
      <c r="F904" s="42"/>
      <c r="G904" s="42"/>
      <c r="H904" s="42"/>
      <c r="I904" s="42"/>
      <c r="J904" s="42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</row>
    <row r="905" spans="1:28" x14ac:dyDescent="0.35">
      <c r="A905" s="41"/>
      <c r="B905" s="41"/>
      <c r="C905" s="41"/>
      <c r="D905" s="47"/>
      <c r="E905" s="42"/>
      <c r="F905" s="42"/>
      <c r="G905" s="42"/>
      <c r="H905" s="42"/>
      <c r="I905" s="42"/>
      <c r="J905" s="42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</row>
    <row r="906" spans="1:28" x14ac:dyDescent="0.35">
      <c r="A906" s="41"/>
      <c r="B906" s="41"/>
      <c r="C906" s="41"/>
      <c r="D906" s="47"/>
      <c r="E906" s="42"/>
      <c r="F906" s="42"/>
      <c r="G906" s="42"/>
      <c r="H906" s="42"/>
      <c r="I906" s="42"/>
      <c r="J906" s="42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</row>
    <row r="907" spans="1:28" x14ac:dyDescent="0.35">
      <c r="A907" s="41"/>
      <c r="B907" s="41"/>
      <c r="C907" s="41"/>
      <c r="D907" s="47"/>
      <c r="E907" s="42"/>
      <c r="F907" s="42"/>
      <c r="G907" s="42"/>
      <c r="H907" s="42"/>
      <c r="I907" s="42"/>
      <c r="J907" s="42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</row>
    <row r="908" spans="1:28" x14ac:dyDescent="0.35">
      <c r="A908" s="41"/>
      <c r="B908" s="41"/>
      <c r="C908" s="41"/>
      <c r="D908" s="47"/>
      <c r="E908" s="42"/>
      <c r="F908" s="42"/>
      <c r="G908" s="42"/>
      <c r="H908" s="42"/>
      <c r="I908" s="42"/>
      <c r="J908" s="42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</row>
    <row r="909" spans="1:28" x14ac:dyDescent="0.35">
      <c r="A909" s="41"/>
      <c r="B909" s="41"/>
      <c r="C909" s="41"/>
      <c r="D909" s="47"/>
      <c r="E909" s="42"/>
      <c r="F909" s="42"/>
      <c r="G909" s="42"/>
      <c r="H909" s="42"/>
      <c r="I909" s="42"/>
      <c r="J909" s="42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</row>
    <row r="910" spans="1:28" x14ac:dyDescent="0.35">
      <c r="A910" s="41"/>
      <c r="B910" s="41"/>
      <c r="C910" s="41"/>
      <c r="D910" s="47"/>
      <c r="E910" s="42"/>
      <c r="F910" s="42"/>
      <c r="G910" s="42"/>
      <c r="H910" s="42"/>
      <c r="I910" s="42"/>
      <c r="J910" s="42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</row>
    <row r="911" spans="1:28" x14ac:dyDescent="0.35">
      <c r="A911" s="41"/>
      <c r="B911" s="41"/>
      <c r="C911" s="41"/>
      <c r="D911" s="47"/>
      <c r="E911" s="42"/>
      <c r="F911" s="42"/>
      <c r="G911" s="42"/>
      <c r="H911" s="42"/>
      <c r="I911" s="42"/>
      <c r="J911" s="42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</row>
    <row r="912" spans="1:28" x14ac:dyDescent="0.35">
      <c r="A912" s="41"/>
      <c r="B912" s="41"/>
      <c r="C912" s="41"/>
      <c r="D912" s="47"/>
      <c r="E912" s="42"/>
      <c r="F912" s="42"/>
      <c r="G912" s="42"/>
      <c r="H912" s="42"/>
      <c r="I912" s="42"/>
      <c r="J912" s="42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</row>
    <row r="913" spans="1:28" x14ac:dyDescent="0.35">
      <c r="A913" s="41"/>
      <c r="B913" s="41"/>
      <c r="C913" s="41"/>
      <c r="D913" s="47"/>
      <c r="E913" s="42"/>
      <c r="F913" s="42"/>
      <c r="G913" s="42"/>
      <c r="H913" s="42"/>
      <c r="I913" s="42"/>
      <c r="J913" s="42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</row>
    <row r="914" spans="1:28" x14ac:dyDescent="0.35">
      <c r="A914" s="41"/>
      <c r="B914" s="41"/>
      <c r="C914" s="41"/>
      <c r="D914" s="47"/>
      <c r="E914" s="42"/>
      <c r="F914" s="42"/>
      <c r="G914" s="42"/>
      <c r="H914" s="42"/>
      <c r="I914" s="42"/>
      <c r="J914" s="42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</row>
    <row r="915" spans="1:28" x14ac:dyDescent="0.35">
      <c r="A915" s="41"/>
      <c r="B915" s="41"/>
      <c r="C915" s="41"/>
      <c r="D915" s="47"/>
      <c r="E915" s="42"/>
      <c r="F915" s="42"/>
      <c r="G915" s="42"/>
      <c r="H915" s="42"/>
      <c r="I915" s="42"/>
      <c r="J915" s="42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</row>
    <row r="916" spans="1:28" x14ac:dyDescent="0.35">
      <c r="A916" s="41"/>
      <c r="B916" s="41"/>
      <c r="C916" s="41"/>
      <c r="D916" s="47"/>
      <c r="E916" s="42"/>
      <c r="F916" s="42"/>
      <c r="G916" s="42"/>
      <c r="H916" s="42"/>
      <c r="I916" s="42"/>
      <c r="J916" s="42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</row>
    <row r="917" spans="1:28" x14ac:dyDescent="0.35">
      <c r="A917" s="41"/>
      <c r="B917" s="41"/>
      <c r="C917" s="41"/>
      <c r="D917" s="47"/>
      <c r="E917" s="42"/>
      <c r="F917" s="42"/>
      <c r="G917" s="42"/>
      <c r="H917" s="42"/>
      <c r="I917" s="42"/>
      <c r="J917" s="42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</row>
    <row r="918" spans="1:28" x14ac:dyDescent="0.35">
      <c r="A918" s="41"/>
      <c r="B918" s="41"/>
      <c r="C918" s="41"/>
      <c r="D918" s="47"/>
      <c r="E918" s="42"/>
      <c r="F918" s="42"/>
      <c r="G918" s="42"/>
      <c r="H918" s="42"/>
      <c r="I918" s="42"/>
      <c r="J918" s="42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</row>
    <row r="919" spans="1:28" x14ac:dyDescent="0.35">
      <c r="A919" s="41"/>
      <c r="B919" s="41"/>
      <c r="C919" s="41"/>
      <c r="D919" s="47"/>
      <c r="E919" s="42"/>
      <c r="F919" s="42"/>
      <c r="G919" s="42"/>
      <c r="H919" s="42"/>
      <c r="I919" s="42"/>
      <c r="J919" s="42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</row>
    <row r="920" spans="1:28" x14ac:dyDescent="0.35">
      <c r="A920" s="41"/>
      <c r="B920" s="41"/>
      <c r="C920" s="41"/>
      <c r="D920" s="47"/>
      <c r="E920" s="42"/>
      <c r="F920" s="42"/>
      <c r="G920" s="42"/>
      <c r="H920" s="42"/>
      <c r="I920" s="42"/>
      <c r="J920" s="42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</row>
    <row r="921" spans="1:28" x14ac:dyDescent="0.35">
      <c r="A921" s="41"/>
      <c r="B921" s="41"/>
      <c r="C921" s="41"/>
      <c r="D921" s="47"/>
      <c r="E921" s="42"/>
      <c r="F921" s="42"/>
      <c r="G921" s="42"/>
      <c r="H921" s="42"/>
      <c r="I921" s="42"/>
      <c r="J921" s="42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</row>
    <row r="922" spans="1:28" x14ac:dyDescent="0.35">
      <c r="A922" s="41"/>
      <c r="B922" s="41"/>
      <c r="C922" s="41"/>
      <c r="D922" s="47"/>
      <c r="E922" s="42"/>
      <c r="F922" s="42"/>
      <c r="G922" s="42"/>
      <c r="H922" s="42"/>
      <c r="I922" s="42"/>
      <c r="J922" s="42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</row>
    <row r="923" spans="1:28" x14ac:dyDescent="0.35">
      <c r="A923" s="41"/>
      <c r="B923" s="41"/>
      <c r="C923" s="41"/>
      <c r="D923" s="47"/>
      <c r="E923" s="42"/>
      <c r="F923" s="42"/>
      <c r="G923" s="42"/>
      <c r="H923" s="42"/>
      <c r="I923" s="42"/>
      <c r="J923" s="42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</row>
    <row r="924" spans="1:28" x14ac:dyDescent="0.35">
      <c r="A924" s="41"/>
      <c r="B924" s="41"/>
      <c r="C924" s="41"/>
      <c r="D924" s="47"/>
      <c r="E924" s="42"/>
      <c r="F924" s="42"/>
      <c r="G924" s="42"/>
      <c r="H924" s="42"/>
      <c r="I924" s="42"/>
      <c r="J924" s="42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</row>
    <row r="925" spans="1:28" x14ac:dyDescent="0.35">
      <c r="A925" s="41"/>
      <c r="B925" s="41"/>
      <c r="C925" s="41"/>
      <c r="D925" s="47"/>
      <c r="E925" s="42"/>
      <c r="F925" s="42"/>
      <c r="G925" s="42"/>
      <c r="H925" s="42"/>
      <c r="I925" s="42"/>
      <c r="J925" s="42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</row>
    <row r="926" spans="1:28" x14ac:dyDescent="0.35">
      <c r="A926" s="41"/>
      <c r="B926" s="41"/>
      <c r="C926" s="41"/>
      <c r="D926" s="47"/>
      <c r="E926" s="42"/>
      <c r="F926" s="42"/>
      <c r="G926" s="42"/>
      <c r="H926" s="42"/>
      <c r="I926" s="42"/>
      <c r="J926" s="42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</row>
    <row r="927" spans="1:28" x14ac:dyDescent="0.35">
      <c r="A927" s="41"/>
      <c r="B927" s="41"/>
      <c r="C927" s="41"/>
      <c r="D927" s="47"/>
      <c r="E927" s="42"/>
      <c r="F927" s="42"/>
      <c r="G927" s="42"/>
      <c r="H927" s="42"/>
      <c r="I927" s="42"/>
      <c r="J927" s="42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</row>
    <row r="928" spans="1:28" x14ac:dyDescent="0.35">
      <c r="A928" s="41"/>
      <c r="B928" s="41"/>
      <c r="C928" s="41"/>
      <c r="D928" s="47"/>
      <c r="E928" s="42"/>
      <c r="F928" s="42"/>
      <c r="G928" s="42"/>
      <c r="H928" s="42"/>
      <c r="I928" s="42"/>
      <c r="J928" s="42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</row>
    <row r="929" spans="1:28" x14ac:dyDescent="0.35">
      <c r="A929" s="41"/>
      <c r="B929" s="41"/>
      <c r="C929" s="41"/>
      <c r="D929" s="47"/>
      <c r="E929" s="42"/>
      <c r="F929" s="42"/>
      <c r="G929" s="42"/>
      <c r="H929" s="42"/>
      <c r="I929" s="42"/>
      <c r="J929" s="42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</row>
    <row r="930" spans="1:28" x14ac:dyDescent="0.35">
      <c r="A930" s="41"/>
      <c r="B930" s="41"/>
      <c r="C930" s="41"/>
      <c r="D930" s="47"/>
      <c r="E930" s="42"/>
      <c r="F930" s="42"/>
      <c r="G930" s="42"/>
      <c r="H930" s="42"/>
      <c r="I930" s="42"/>
      <c r="J930" s="42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</row>
    <row r="931" spans="1:28" x14ac:dyDescent="0.35">
      <c r="A931" s="41"/>
      <c r="B931" s="41"/>
      <c r="C931" s="41"/>
      <c r="D931" s="47"/>
      <c r="E931" s="42"/>
      <c r="F931" s="42"/>
      <c r="G931" s="42"/>
      <c r="H931" s="42"/>
      <c r="I931" s="42"/>
      <c r="J931" s="42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</row>
    <row r="932" spans="1:28" x14ac:dyDescent="0.35">
      <c r="A932" s="41"/>
      <c r="B932" s="41"/>
      <c r="C932" s="41"/>
      <c r="D932" s="47"/>
      <c r="E932" s="42"/>
      <c r="F932" s="42"/>
      <c r="G932" s="42"/>
      <c r="H932" s="42"/>
      <c r="I932" s="42"/>
      <c r="J932" s="42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</row>
    <row r="933" spans="1:28" x14ac:dyDescent="0.35">
      <c r="A933" s="41"/>
      <c r="B933" s="41"/>
      <c r="C933" s="41"/>
      <c r="D933" s="47"/>
      <c r="E933" s="42"/>
      <c r="F933" s="42"/>
      <c r="G933" s="42"/>
      <c r="H933" s="42"/>
      <c r="I933" s="42"/>
      <c r="J933" s="42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</row>
    <row r="934" spans="1:28" x14ac:dyDescent="0.35">
      <c r="A934" s="41"/>
      <c r="B934" s="41"/>
      <c r="C934" s="41"/>
      <c r="D934" s="47"/>
      <c r="E934" s="42"/>
      <c r="F934" s="42"/>
      <c r="G934" s="42"/>
      <c r="H934" s="42"/>
      <c r="I934" s="42"/>
      <c r="J934" s="42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</row>
    <row r="935" spans="1:28" x14ac:dyDescent="0.35">
      <c r="A935" s="41"/>
      <c r="B935" s="41"/>
      <c r="C935" s="41"/>
      <c r="D935" s="47"/>
      <c r="E935" s="42"/>
      <c r="F935" s="42"/>
      <c r="G935" s="42"/>
      <c r="H935" s="42"/>
      <c r="I935" s="42"/>
      <c r="J935" s="42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</row>
    <row r="936" spans="1:28" x14ac:dyDescent="0.35">
      <c r="A936" s="41"/>
      <c r="B936" s="41"/>
      <c r="C936" s="41"/>
      <c r="D936" s="47"/>
      <c r="E936" s="42"/>
      <c r="F936" s="42"/>
      <c r="G936" s="42"/>
      <c r="H936" s="42"/>
      <c r="I936" s="42"/>
      <c r="J936" s="42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</row>
    <row r="937" spans="1:28" x14ac:dyDescent="0.35">
      <c r="A937" s="41"/>
      <c r="B937" s="41"/>
      <c r="C937" s="41"/>
      <c r="D937" s="47"/>
      <c r="E937" s="42"/>
      <c r="F937" s="42"/>
      <c r="G937" s="42"/>
      <c r="H937" s="42"/>
      <c r="I937" s="42"/>
      <c r="J937" s="42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</row>
    <row r="938" spans="1:28" x14ac:dyDescent="0.35">
      <c r="A938" s="41"/>
      <c r="B938" s="41"/>
      <c r="C938" s="41"/>
      <c r="D938" s="47"/>
      <c r="E938" s="42"/>
      <c r="F938" s="42"/>
      <c r="G938" s="42"/>
      <c r="H938" s="42"/>
      <c r="I938" s="42"/>
      <c r="J938" s="42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</row>
    <row r="939" spans="1:28" x14ac:dyDescent="0.35">
      <c r="A939" s="41"/>
      <c r="B939" s="41"/>
      <c r="C939" s="41"/>
      <c r="D939" s="47"/>
      <c r="E939" s="42"/>
      <c r="F939" s="42"/>
      <c r="G939" s="42"/>
      <c r="H939" s="42"/>
      <c r="I939" s="42"/>
      <c r="J939" s="42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</row>
    <row r="940" spans="1:28" x14ac:dyDescent="0.35">
      <c r="A940" s="41"/>
      <c r="B940" s="41"/>
      <c r="C940" s="41"/>
      <c r="D940" s="47"/>
      <c r="E940" s="42"/>
      <c r="F940" s="42"/>
      <c r="G940" s="42"/>
      <c r="H940" s="42"/>
      <c r="I940" s="42"/>
      <c r="J940" s="42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</row>
    <row r="941" spans="1:28" x14ac:dyDescent="0.35">
      <c r="A941" s="41"/>
      <c r="B941" s="41"/>
      <c r="C941" s="41"/>
      <c r="D941" s="47"/>
      <c r="E941" s="42"/>
      <c r="F941" s="42"/>
      <c r="G941" s="42"/>
      <c r="H941" s="42"/>
      <c r="I941" s="42"/>
      <c r="J941" s="42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</row>
    <row r="942" spans="1:28" x14ac:dyDescent="0.35">
      <c r="A942" s="41"/>
      <c r="B942" s="41"/>
      <c r="C942" s="41"/>
      <c r="D942" s="47"/>
      <c r="E942" s="42"/>
      <c r="F942" s="42"/>
      <c r="G942" s="42"/>
      <c r="H942" s="42"/>
      <c r="I942" s="42"/>
      <c r="J942" s="42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</row>
    <row r="943" spans="1:28" x14ac:dyDescent="0.35">
      <c r="A943" s="41"/>
      <c r="B943" s="41"/>
      <c r="C943" s="41"/>
      <c r="D943" s="47"/>
      <c r="E943" s="42"/>
      <c r="F943" s="42"/>
      <c r="G943" s="42"/>
      <c r="H943" s="42"/>
      <c r="I943" s="42"/>
      <c r="J943" s="42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</row>
    <row r="944" spans="1:28" x14ac:dyDescent="0.35">
      <c r="A944" s="41"/>
      <c r="B944" s="41"/>
      <c r="C944" s="41"/>
      <c r="D944" s="47"/>
      <c r="E944" s="42"/>
      <c r="F944" s="42"/>
      <c r="G944" s="42"/>
      <c r="H944" s="42"/>
      <c r="I944" s="42"/>
      <c r="J944" s="42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</row>
    <row r="945" spans="1:28" x14ac:dyDescent="0.35">
      <c r="A945" s="41"/>
      <c r="B945" s="41"/>
      <c r="C945" s="41"/>
      <c r="D945" s="47"/>
      <c r="E945" s="42"/>
      <c r="F945" s="42"/>
      <c r="G945" s="42"/>
      <c r="H945" s="42"/>
      <c r="I945" s="42"/>
      <c r="J945" s="42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</row>
    <row r="946" spans="1:28" x14ac:dyDescent="0.35">
      <c r="A946" s="41"/>
      <c r="B946" s="41"/>
      <c r="C946" s="41"/>
      <c r="D946" s="47"/>
      <c r="E946" s="42"/>
      <c r="F946" s="42"/>
      <c r="G946" s="42"/>
      <c r="H946" s="42"/>
      <c r="I946" s="42"/>
      <c r="J946" s="42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</row>
    <row r="947" spans="1:28" x14ac:dyDescent="0.35">
      <c r="A947" s="41"/>
      <c r="B947" s="41"/>
      <c r="C947" s="41"/>
      <c r="D947" s="47"/>
      <c r="E947" s="42"/>
      <c r="F947" s="42"/>
      <c r="G947" s="42"/>
      <c r="H947" s="42"/>
      <c r="I947" s="42"/>
      <c r="J947" s="42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</row>
    <row r="948" spans="1:28" x14ac:dyDescent="0.35">
      <c r="A948" s="41"/>
      <c r="B948" s="41"/>
      <c r="C948" s="41"/>
      <c r="D948" s="47"/>
      <c r="E948" s="42"/>
      <c r="F948" s="42"/>
      <c r="G948" s="42"/>
      <c r="H948" s="42"/>
      <c r="I948" s="42"/>
      <c r="J948" s="42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</row>
    <row r="949" spans="1:28" x14ac:dyDescent="0.35">
      <c r="A949" s="41"/>
      <c r="B949" s="41"/>
      <c r="C949" s="41"/>
      <c r="D949" s="47"/>
      <c r="E949" s="42"/>
      <c r="F949" s="42"/>
      <c r="G949" s="42"/>
      <c r="H949" s="42"/>
      <c r="I949" s="42"/>
      <c r="J949" s="42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</row>
    <row r="950" spans="1:28" x14ac:dyDescent="0.35">
      <c r="A950" s="41"/>
      <c r="B950" s="41"/>
      <c r="C950" s="41"/>
      <c r="D950" s="47"/>
      <c r="E950" s="42"/>
      <c r="F950" s="42"/>
      <c r="G950" s="42"/>
      <c r="H950" s="42"/>
      <c r="I950" s="42"/>
      <c r="J950" s="42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</row>
    <row r="951" spans="1:28" x14ac:dyDescent="0.35">
      <c r="A951" s="41"/>
      <c r="B951" s="41"/>
      <c r="C951" s="41"/>
      <c r="D951" s="47"/>
      <c r="E951" s="42"/>
      <c r="F951" s="42"/>
      <c r="G951" s="42"/>
      <c r="H951" s="42"/>
      <c r="I951" s="42"/>
      <c r="J951" s="42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</row>
    <row r="952" spans="1:28" x14ac:dyDescent="0.35">
      <c r="A952" s="41"/>
      <c r="B952" s="41"/>
      <c r="C952" s="41"/>
      <c r="D952" s="47"/>
      <c r="E952" s="42"/>
      <c r="F952" s="42"/>
      <c r="G952" s="42"/>
      <c r="H952" s="42"/>
      <c r="I952" s="42"/>
      <c r="J952" s="42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</row>
    <row r="953" spans="1:28" x14ac:dyDescent="0.35">
      <c r="A953" s="41"/>
      <c r="B953" s="41"/>
      <c r="C953" s="41"/>
      <c r="D953" s="47"/>
      <c r="E953" s="42"/>
      <c r="F953" s="42"/>
      <c r="G953" s="42"/>
      <c r="H953" s="42"/>
      <c r="I953" s="42"/>
      <c r="J953" s="42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</row>
    <row r="954" spans="1:28" x14ac:dyDescent="0.35">
      <c r="A954" s="41"/>
      <c r="B954" s="41"/>
      <c r="C954" s="41"/>
      <c r="D954" s="47"/>
      <c r="E954" s="42"/>
      <c r="F954" s="42"/>
      <c r="G954" s="42"/>
      <c r="H954" s="42"/>
      <c r="I954" s="42"/>
      <c r="J954" s="42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</row>
    <row r="955" spans="1:28" x14ac:dyDescent="0.35">
      <c r="A955" s="41"/>
      <c r="B955" s="41"/>
      <c r="C955" s="41"/>
      <c r="D955" s="47"/>
      <c r="E955" s="42"/>
      <c r="F955" s="42"/>
      <c r="G955" s="42"/>
      <c r="H955" s="42"/>
      <c r="I955" s="42"/>
      <c r="J955" s="42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</row>
    <row r="956" spans="1:28" x14ac:dyDescent="0.35">
      <c r="A956" s="41"/>
      <c r="B956" s="41"/>
      <c r="C956" s="41"/>
      <c r="D956" s="47"/>
      <c r="E956" s="42"/>
      <c r="F956" s="42"/>
      <c r="G956" s="42"/>
      <c r="H956" s="42"/>
      <c r="I956" s="42"/>
      <c r="J956" s="42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</row>
    <row r="957" spans="1:28" x14ac:dyDescent="0.35">
      <c r="A957" s="41"/>
      <c r="B957" s="41"/>
      <c r="C957" s="41"/>
      <c r="D957" s="47"/>
      <c r="E957" s="42"/>
      <c r="F957" s="42"/>
      <c r="G957" s="42"/>
      <c r="H957" s="42"/>
      <c r="I957" s="42"/>
      <c r="J957" s="42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</row>
    <row r="958" spans="1:28" x14ac:dyDescent="0.35">
      <c r="A958" s="41"/>
      <c r="B958" s="41"/>
      <c r="C958" s="41"/>
      <c r="D958" s="47"/>
      <c r="E958" s="42"/>
      <c r="F958" s="42"/>
      <c r="G958" s="42"/>
      <c r="H958" s="42"/>
      <c r="I958" s="42"/>
      <c r="J958" s="42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</row>
    <row r="959" spans="1:28" x14ac:dyDescent="0.35">
      <c r="A959" s="41"/>
      <c r="B959" s="41"/>
      <c r="C959" s="41"/>
      <c r="D959" s="47"/>
      <c r="E959" s="42"/>
      <c r="F959" s="42"/>
      <c r="G959" s="42"/>
      <c r="H959" s="42"/>
      <c r="I959" s="42"/>
      <c r="J959" s="42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</row>
    <row r="960" spans="1:28" x14ac:dyDescent="0.35">
      <c r="A960" s="41"/>
      <c r="B960" s="41"/>
      <c r="C960" s="41"/>
      <c r="D960" s="47"/>
      <c r="E960" s="42"/>
      <c r="F960" s="42"/>
      <c r="G960" s="42"/>
      <c r="H960" s="42"/>
      <c r="I960" s="42"/>
      <c r="J960" s="42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</row>
    <row r="961" spans="1:28" x14ac:dyDescent="0.35">
      <c r="A961" s="41"/>
      <c r="B961" s="41"/>
      <c r="C961" s="41"/>
      <c r="D961" s="47"/>
      <c r="E961" s="42"/>
      <c r="F961" s="42"/>
      <c r="G961" s="42"/>
      <c r="H961" s="42"/>
      <c r="I961" s="42"/>
      <c r="J961" s="42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</row>
    <row r="962" spans="1:28" x14ac:dyDescent="0.35">
      <c r="A962" s="41"/>
      <c r="B962" s="41"/>
      <c r="C962" s="41"/>
      <c r="D962" s="47"/>
      <c r="E962" s="42"/>
      <c r="F962" s="42"/>
      <c r="G962" s="42"/>
      <c r="H962" s="42"/>
      <c r="I962" s="42"/>
      <c r="J962" s="42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</row>
    <row r="963" spans="1:28" x14ac:dyDescent="0.35">
      <c r="A963" s="41"/>
      <c r="B963" s="41"/>
      <c r="C963" s="41"/>
      <c r="D963" s="47"/>
      <c r="E963" s="42"/>
      <c r="F963" s="42"/>
      <c r="G963" s="42"/>
      <c r="H963" s="42"/>
      <c r="I963" s="42"/>
      <c r="J963" s="42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</row>
    <row r="964" spans="1:28" x14ac:dyDescent="0.35">
      <c r="A964" s="41"/>
      <c r="B964" s="41"/>
      <c r="C964" s="41"/>
      <c r="D964" s="47"/>
      <c r="E964" s="42"/>
      <c r="F964" s="42"/>
      <c r="G964" s="42"/>
      <c r="H964" s="42"/>
      <c r="I964" s="42"/>
      <c r="J964" s="42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</row>
    <row r="965" spans="1:28" x14ac:dyDescent="0.35">
      <c r="A965" s="41"/>
      <c r="B965" s="41"/>
      <c r="C965" s="41"/>
      <c r="D965" s="47"/>
      <c r="E965" s="42"/>
      <c r="F965" s="42"/>
      <c r="G965" s="42"/>
      <c r="H965" s="42"/>
      <c r="I965" s="42"/>
      <c r="J965" s="42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</row>
    <row r="966" spans="1:28" x14ac:dyDescent="0.35">
      <c r="A966" s="41"/>
      <c r="B966" s="41"/>
      <c r="C966" s="41"/>
      <c r="D966" s="47"/>
      <c r="E966" s="42"/>
      <c r="F966" s="42"/>
      <c r="G966" s="42"/>
      <c r="H966" s="42"/>
      <c r="I966" s="42"/>
      <c r="J966" s="42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</row>
    <row r="967" spans="1:28" x14ac:dyDescent="0.35">
      <c r="A967" s="41"/>
      <c r="B967" s="41"/>
      <c r="C967" s="41"/>
      <c r="D967" s="47"/>
      <c r="E967" s="42"/>
      <c r="F967" s="42"/>
      <c r="G967" s="42"/>
      <c r="H967" s="42"/>
      <c r="I967" s="42"/>
      <c r="J967" s="42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</row>
    <row r="968" spans="1:28" x14ac:dyDescent="0.35">
      <c r="A968" s="41"/>
      <c r="B968" s="41"/>
      <c r="C968" s="41"/>
      <c r="D968" s="47"/>
      <c r="E968" s="42"/>
      <c r="F968" s="42"/>
      <c r="G968" s="42"/>
      <c r="H968" s="42"/>
      <c r="I968" s="42"/>
      <c r="J968" s="42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</row>
    <row r="969" spans="1:28" x14ac:dyDescent="0.35">
      <c r="A969" s="41"/>
      <c r="B969" s="41"/>
      <c r="C969" s="41"/>
      <c r="D969" s="47"/>
      <c r="E969" s="42"/>
      <c r="F969" s="42"/>
      <c r="G969" s="42"/>
      <c r="H969" s="42"/>
      <c r="I969" s="42"/>
      <c r="J969" s="42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</row>
    <row r="970" spans="1:28" x14ac:dyDescent="0.35">
      <c r="A970" s="41"/>
      <c r="B970" s="41"/>
      <c r="C970" s="41"/>
      <c r="D970" s="47"/>
      <c r="E970" s="42"/>
      <c r="F970" s="42"/>
      <c r="G970" s="42"/>
      <c r="H970" s="42"/>
      <c r="I970" s="42"/>
      <c r="J970" s="42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</row>
    <row r="971" spans="1:28" x14ac:dyDescent="0.35">
      <c r="A971" s="41"/>
      <c r="B971" s="41"/>
      <c r="C971" s="41"/>
      <c r="D971" s="47"/>
      <c r="E971" s="42"/>
      <c r="F971" s="42"/>
      <c r="G971" s="42"/>
      <c r="H971" s="42"/>
      <c r="I971" s="42"/>
      <c r="J971" s="42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</row>
    <row r="972" spans="1:28" x14ac:dyDescent="0.35">
      <c r="A972" s="41"/>
      <c r="B972" s="41"/>
      <c r="C972" s="41"/>
      <c r="D972" s="47"/>
      <c r="E972" s="42"/>
      <c r="F972" s="42"/>
      <c r="G972" s="42"/>
      <c r="H972" s="42"/>
      <c r="I972" s="42"/>
      <c r="J972" s="42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</row>
    <row r="973" spans="1:28" x14ac:dyDescent="0.35">
      <c r="A973" s="41"/>
      <c r="B973" s="41"/>
      <c r="C973" s="41"/>
      <c r="D973" s="47"/>
      <c r="E973" s="42"/>
      <c r="F973" s="42"/>
      <c r="G973" s="42"/>
      <c r="H973" s="42"/>
      <c r="I973" s="42"/>
      <c r="J973" s="42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</row>
    <row r="974" spans="1:28" x14ac:dyDescent="0.35">
      <c r="A974" s="41"/>
      <c r="B974" s="41"/>
      <c r="C974" s="41"/>
      <c r="D974" s="47"/>
      <c r="E974" s="42"/>
      <c r="F974" s="42"/>
      <c r="G974" s="42"/>
      <c r="H974" s="42"/>
      <c r="I974" s="42"/>
      <c r="J974" s="42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</row>
    <row r="975" spans="1:28" x14ac:dyDescent="0.35">
      <c r="A975" s="41"/>
      <c r="B975" s="41"/>
      <c r="C975" s="41"/>
      <c r="D975" s="47"/>
      <c r="E975" s="42"/>
      <c r="F975" s="42"/>
      <c r="G975" s="42"/>
      <c r="H975" s="42"/>
      <c r="I975" s="42"/>
      <c r="J975" s="42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</row>
    <row r="976" spans="1:28" x14ac:dyDescent="0.35">
      <c r="A976" s="41"/>
      <c r="B976" s="41"/>
      <c r="C976" s="41"/>
      <c r="D976" s="47"/>
      <c r="E976" s="42"/>
      <c r="F976" s="42"/>
      <c r="G976" s="42"/>
      <c r="H976" s="42"/>
      <c r="I976" s="42"/>
      <c r="J976" s="42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</row>
    <row r="977" spans="1:28" x14ac:dyDescent="0.35">
      <c r="A977" s="41"/>
      <c r="B977" s="41"/>
      <c r="C977" s="41"/>
      <c r="D977" s="47"/>
      <c r="E977" s="42"/>
      <c r="F977" s="42"/>
      <c r="G977" s="42"/>
      <c r="H977" s="42"/>
      <c r="I977" s="42"/>
      <c r="J977" s="42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</row>
    <row r="978" spans="1:28" x14ac:dyDescent="0.35">
      <c r="A978" s="41"/>
      <c r="B978" s="41"/>
      <c r="C978" s="41"/>
      <c r="D978" s="47"/>
      <c r="E978" s="42"/>
      <c r="F978" s="42"/>
      <c r="G978" s="42"/>
      <c r="H978" s="42"/>
      <c r="I978" s="42"/>
      <c r="J978" s="42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</row>
    <row r="979" spans="1:28" x14ac:dyDescent="0.35">
      <c r="A979" s="41"/>
      <c r="B979" s="41"/>
      <c r="C979" s="41"/>
      <c r="D979" s="47"/>
      <c r="E979" s="42"/>
      <c r="F979" s="42"/>
      <c r="G979" s="42"/>
      <c r="H979" s="42"/>
      <c r="I979" s="42"/>
      <c r="J979" s="42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</row>
    <row r="980" spans="1:28" x14ac:dyDescent="0.35">
      <c r="A980" s="41"/>
      <c r="B980" s="41"/>
      <c r="C980" s="41"/>
      <c r="D980" s="47"/>
      <c r="E980" s="42"/>
      <c r="F980" s="42"/>
      <c r="G980" s="42"/>
      <c r="H980" s="42"/>
      <c r="I980" s="42"/>
      <c r="J980" s="42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</row>
    <row r="981" spans="1:28" x14ac:dyDescent="0.35">
      <c r="A981" s="41"/>
      <c r="B981" s="41"/>
      <c r="C981" s="41"/>
      <c r="D981" s="47"/>
      <c r="E981" s="42"/>
      <c r="F981" s="42"/>
      <c r="G981" s="42"/>
      <c r="H981" s="42"/>
      <c r="I981" s="42"/>
      <c r="J981" s="42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</row>
    <row r="982" spans="1:28" x14ac:dyDescent="0.35">
      <c r="A982" s="41"/>
      <c r="B982" s="41"/>
      <c r="C982" s="41"/>
      <c r="D982" s="47"/>
      <c r="E982" s="42"/>
      <c r="F982" s="42"/>
      <c r="G982" s="42"/>
      <c r="H982" s="42"/>
      <c r="I982" s="42"/>
      <c r="J982" s="42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</row>
    <row r="983" spans="1:28" x14ac:dyDescent="0.35">
      <c r="A983" s="41"/>
      <c r="B983" s="41"/>
      <c r="C983" s="41"/>
      <c r="D983" s="47"/>
      <c r="E983" s="42"/>
      <c r="F983" s="42"/>
      <c r="G983" s="42"/>
      <c r="H983" s="42"/>
      <c r="I983" s="42"/>
      <c r="J983" s="42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</row>
    <row r="984" spans="1:28" x14ac:dyDescent="0.35">
      <c r="A984" s="41"/>
      <c r="B984" s="41"/>
      <c r="C984" s="41"/>
      <c r="D984" s="47"/>
      <c r="E984" s="42"/>
      <c r="F984" s="42"/>
      <c r="G984" s="42"/>
      <c r="H984" s="42"/>
      <c r="I984" s="42"/>
      <c r="J984" s="42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</row>
    <row r="985" spans="1:28" x14ac:dyDescent="0.35">
      <c r="A985" s="41"/>
      <c r="B985" s="41"/>
      <c r="C985" s="41"/>
      <c r="D985" s="47"/>
      <c r="E985" s="42"/>
      <c r="F985" s="42"/>
      <c r="G985" s="42"/>
      <c r="H985" s="42"/>
      <c r="I985" s="42"/>
      <c r="J985" s="42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</row>
    <row r="986" spans="1:28" x14ac:dyDescent="0.35">
      <c r="A986" s="41"/>
      <c r="B986" s="41"/>
      <c r="C986" s="41"/>
      <c r="D986" s="47"/>
      <c r="E986" s="42"/>
      <c r="F986" s="42"/>
      <c r="G986" s="42"/>
      <c r="H986" s="42"/>
      <c r="I986" s="42"/>
      <c r="J986" s="42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</row>
    <row r="987" spans="1:28" x14ac:dyDescent="0.35">
      <c r="A987" s="41"/>
      <c r="B987" s="41"/>
      <c r="C987" s="41"/>
      <c r="D987" s="47"/>
      <c r="E987" s="42"/>
      <c r="F987" s="42"/>
      <c r="G987" s="42"/>
      <c r="H987" s="42"/>
      <c r="I987" s="42"/>
      <c r="J987" s="42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</row>
    <row r="988" spans="1:28" x14ac:dyDescent="0.35">
      <c r="A988" s="41"/>
      <c r="B988" s="41"/>
      <c r="C988" s="41"/>
      <c r="D988" s="47"/>
      <c r="E988" s="42"/>
      <c r="F988" s="42"/>
      <c r="G988" s="42"/>
      <c r="H988" s="42"/>
      <c r="I988" s="42"/>
      <c r="J988" s="42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</row>
    <row r="989" spans="1:28" x14ac:dyDescent="0.35">
      <c r="A989" s="41"/>
      <c r="B989" s="41"/>
      <c r="C989" s="41"/>
      <c r="D989" s="47"/>
      <c r="E989" s="42"/>
      <c r="F989" s="42"/>
      <c r="G989" s="42"/>
      <c r="H989" s="42"/>
      <c r="I989" s="42"/>
      <c r="J989" s="42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</row>
    <row r="990" spans="1:28" x14ac:dyDescent="0.35">
      <c r="A990" s="48"/>
      <c r="B990" s="48"/>
      <c r="C990" s="48"/>
      <c r="D990" s="49"/>
      <c r="E990" s="48"/>
      <c r="F990" s="48"/>
      <c r="G990" s="48"/>
      <c r="H990" s="48"/>
      <c r="I990" s="48"/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</row>
    <row r="991" spans="1:28" x14ac:dyDescent="0.35">
      <c r="A991" s="48"/>
      <c r="B991" s="48"/>
      <c r="C991" s="48"/>
      <c r="D991" s="49"/>
      <c r="E991" s="48"/>
      <c r="F991" s="48"/>
      <c r="G991" s="48"/>
      <c r="H991" s="48"/>
      <c r="I991" s="48"/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</row>
  </sheetData>
  <sortState xmlns:xlrd2="http://schemas.microsoft.com/office/spreadsheetml/2017/richdata2" ref="A2:AB104">
    <sortCondition ref="C2:C104"/>
  </sortState>
  <conditionalFormatting sqref="AB2:AB88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93:AB94 AB96 AB98:AB104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rintOptions horizontalCentered="1" gridLines="1"/>
  <pageMargins left="0.23622047244094491" right="0.23622047244094491" top="0.74803149606299213" bottom="0.74803149606299213" header="0" footer="0"/>
  <pageSetup paperSize="9" fitToHeight="0" orientation="landscape"/>
  <headerFooter>
    <oddHeader>&amp;L&amp;D&amp;CLIST OF STUDENTS PAYMENT STATUS&amp;R&amp;T</oddHead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0F7D-F112-455C-A25B-7F389486A779}">
  <dimension ref="A1:Z99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" sqref="C2"/>
    </sheetView>
  </sheetViews>
  <sheetFormatPr defaultColWidth="14.453125" defaultRowHeight="15" customHeight="1" x14ac:dyDescent="0.35"/>
  <cols>
    <col min="1" max="1" width="21.6328125" bestFit="1" customWidth="1"/>
    <col min="2" max="2" width="12.54296875" bestFit="1" customWidth="1"/>
    <col min="3" max="3" width="14.1796875" bestFit="1" customWidth="1"/>
    <col min="4" max="4" width="19.90625" bestFit="1" customWidth="1"/>
    <col min="5" max="5" width="10.26953125" bestFit="1" customWidth="1"/>
    <col min="6" max="6" width="12.1796875" bestFit="1" customWidth="1"/>
    <col min="7" max="7" width="5.08984375" customWidth="1"/>
    <col min="8" max="8" width="4.81640625" customWidth="1"/>
    <col min="9" max="24" width="24.08984375" customWidth="1"/>
  </cols>
  <sheetData>
    <row r="1" spans="1:25" ht="17.5" x14ac:dyDescent="0.35">
      <c r="A1" s="30" t="s">
        <v>141</v>
      </c>
      <c r="B1" s="30" t="s">
        <v>553</v>
      </c>
      <c r="C1" s="31" t="s">
        <v>142</v>
      </c>
      <c r="D1" s="31" t="s">
        <v>143</v>
      </c>
      <c r="E1" s="32" t="s">
        <v>144</v>
      </c>
      <c r="F1" s="32" t="s">
        <v>554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t="14.5" x14ac:dyDescent="0.35">
      <c r="A2" s="37">
        <v>45658</v>
      </c>
      <c r="B2" s="37" t="s">
        <v>555</v>
      </c>
      <c r="C2" s="19" t="s">
        <v>708</v>
      </c>
      <c r="D2" s="28">
        <v>0</v>
      </c>
      <c r="E2" s="19" t="s">
        <v>708</v>
      </c>
      <c r="F2" s="19" t="s">
        <v>148</v>
      </c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3" spans="1:25" ht="14.5" x14ac:dyDescent="0.35">
      <c r="A3" s="50">
        <v>45658</v>
      </c>
      <c r="B3" s="50" t="s">
        <v>690</v>
      </c>
      <c r="C3" s="19" t="s">
        <v>708</v>
      </c>
      <c r="D3" s="52">
        <v>0</v>
      </c>
      <c r="E3" s="3" t="s">
        <v>708</v>
      </c>
      <c r="F3" s="3" t="s">
        <v>148</v>
      </c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</row>
    <row r="4" spans="1:25" ht="14.5" x14ac:dyDescent="0.35">
      <c r="A4" s="37"/>
      <c r="B4" s="37"/>
      <c r="C4" s="19"/>
      <c r="D4" s="28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</row>
    <row r="5" spans="1:25" ht="14.5" x14ac:dyDescent="0.35">
      <c r="A5" s="37"/>
      <c r="B5" s="37"/>
      <c r="C5" s="19"/>
      <c r="D5" s="28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</row>
    <row r="6" spans="1:25" ht="14.5" x14ac:dyDescent="0.35">
      <c r="A6" s="37"/>
      <c r="B6" s="37"/>
      <c r="C6" s="19"/>
      <c r="D6" s="28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</row>
    <row r="7" spans="1:25" ht="14.5" x14ac:dyDescent="0.35">
      <c r="A7" s="37"/>
      <c r="B7" s="37"/>
      <c r="C7" s="19"/>
      <c r="D7" s="28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</row>
    <row r="8" spans="1:25" ht="14.5" x14ac:dyDescent="0.35">
      <c r="A8" s="37"/>
      <c r="B8" s="37"/>
      <c r="C8" s="19"/>
      <c r="D8" s="28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</row>
    <row r="9" spans="1:25" ht="14.5" x14ac:dyDescent="0.35">
      <c r="A9" s="37"/>
      <c r="B9" s="37"/>
      <c r="C9" s="19"/>
      <c r="D9" s="2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</row>
    <row r="10" spans="1:25" ht="14.5" x14ac:dyDescent="0.35">
      <c r="A10" s="37"/>
      <c r="B10" s="37"/>
      <c r="C10" s="19"/>
      <c r="D10" s="2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</row>
    <row r="11" spans="1:25" ht="14.5" x14ac:dyDescent="0.35">
      <c r="A11" s="37"/>
      <c r="B11" s="37"/>
      <c r="C11" s="19"/>
      <c r="D11" s="2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</row>
    <row r="12" spans="1:25" ht="14.5" x14ac:dyDescent="0.35">
      <c r="A12" s="37"/>
      <c r="B12" s="37"/>
      <c r="C12" s="19"/>
      <c r="D12" s="2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</row>
    <row r="13" spans="1:25" ht="14.5" x14ac:dyDescent="0.35">
      <c r="A13" s="37"/>
      <c r="B13" s="37"/>
      <c r="C13" s="19"/>
      <c r="D13" s="2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</row>
    <row r="14" spans="1:25" ht="14.5" x14ac:dyDescent="0.35">
      <c r="A14" s="37"/>
      <c r="B14" s="37"/>
      <c r="C14" s="19"/>
      <c r="D14" s="2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</row>
    <row r="15" spans="1:25" ht="14.5" x14ac:dyDescent="0.35">
      <c r="A15" s="37"/>
      <c r="B15" s="37"/>
      <c r="C15" s="19"/>
      <c r="D15" s="28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</row>
    <row r="16" spans="1:25" ht="14.5" x14ac:dyDescent="0.35">
      <c r="A16" s="37"/>
      <c r="B16" s="37"/>
      <c r="C16" s="19"/>
      <c r="D16" s="28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</row>
    <row r="17" spans="1:26" ht="14.5" x14ac:dyDescent="0.35">
      <c r="A17" s="37"/>
      <c r="B17" s="37"/>
      <c r="C17" s="19"/>
      <c r="D17" s="28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</row>
    <row r="18" spans="1:26" ht="14.5" x14ac:dyDescent="0.35">
      <c r="A18" s="37"/>
      <c r="B18" s="37"/>
      <c r="C18" s="19"/>
      <c r="D18" s="28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  <row r="19" spans="1:26" ht="14.5" x14ac:dyDescent="0.35">
      <c r="A19" s="37"/>
      <c r="B19" s="37"/>
      <c r="C19" s="19"/>
      <c r="D19" s="28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</row>
    <row r="20" spans="1:26" ht="14.5" x14ac:dyDescent="0.35">
      <c r="A20" s="37"/>
      <c r="B20" s="37"/>
      <c r="C20" s="19"/>
      <c r="D20" s="28"/>
      <c r="E20" s="19"/>
      <c r="F20" s="19"/>
      <c r="G20" s="53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</row>
    <row r="21" spans="1:26" ht="15.75" customHeight="1" x14ac:dyDescent="0.35">
      <c r="A21" s="37"/>
      <c r="B21" s="37"/>
      <c r="C21" s="19"/>
      <c r="D21" s="28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</row>
    <row r="22" spans="1:26" ht="15.75" customHeight="1" x14ac:dyDescent="0.35">
      <c r="A22" s="37"/>
      <c r="B22" s="37"/>
      <c r="C22" s="19"/>
      <c r="D22" s="28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</row>
    <row r="23" spans="1:26" ht="15.75" customHeight="1" x14ac:dyDescent="0.35">
      <c r="A23" s="37"/>
      <c r="B23" s="37"/>
      <c r="C23" s="19"/>
      <c r="D23" s="28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</row>
    <row r="24" spans="1:26" ht="15.75" customHeight="1" x14ac:dyDescent="0.35">
      <c r="A24" s="37"/>
      <c r="B24" s="37"/>
      <c r="C24" s="19"/>
      <c r="D24" s="2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</row>
    <row r="25" spans="1:26" ht="15.75" customHeight="1" x14ac:dyDescent="0.35">
      <c r="A25" s="37"/>
      <c r="B25" s="37"/>
      <c r="C25" s="19"/>
      <c r="D25" s="2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</row>
    <row r="26" spans="1:26" ht="15.75" customHeight="1" x14ac:dyDescent="0.35">
      <c r="A26" s="37"/>
      <c r="B26" s="37"/>
      <c r="C26" s="19"/>
      <c r="D26" s="28"/>
      <c r="E26" s="19"/>
      <c r="F26" s="19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8"/>
    </row>
    <row r="27" spans="1:26" ht="15.75" customHeight="1" x14ac:dyDescent="0.35">
      <c r="A27" s="37"/>
      <c r="B27" s="37"/>
      <c r="C27" s="19"/>
      <c r="D27" s="2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</row>
    <row r="28" spans="1:26" ht="15.75" customHeight="1" x14ac:dyDescent="0.35">
      <c r="A28" s="37"/>
      <c r="B28" s="37"/>
      <c r="C28" s="19"/>
      <c r="D28" s="2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</row>
    <row r="29" spans="1:26" ht="15.75" customHeight="1" x14ac:dyDescent="0.35">
      <c r="A29" s="37"/>
      <c r="B29" s="37"/>
      <c r="C29" s="19"/>
      <c r="D29" s="2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</row>
    <row r="30" spans="1:26" ht="15.75" customHeight="1" x14ac:dyDescent="0.35">
      <c r="A30" s="37"/>
      <c r="B30" s="37"/>
      <c r="C30" s="19"/>
      <c r="D30" s="2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</row>
    <row r="31" spans="1:26" ht="15.75" customHeight="1" x14ac:dyDescent="0.35">
      <c r="A31" s="37"/>
      <c r="B31" s="37"/>
      <c r="C31" s="19"/>
      <c r="D31" s="28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  <row r="32" spans="1:26" ht="15.75" customHeight="1" x14ac:dyDescent="0.35">
      <c r="A32" s="37"/>
      <c r="B32" s="37"/>
      <c r="C32" s="19"/>
      <c r="D32" s="2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</row>
    <row r="33" spans="1:19" ht="15.75" customHeight="1" x14ac:dyDescent="0.35">
      <c r="A33" s="37"/>
      <c r="B33" s="37"/>
      <c r="C33" s="19"/>
      <c r="D33" s="28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</row>
    <row r="34" spans="1:19" ht="15.75" customHeight="1" x14ac:dyDescent="0.35">
      <c r="A34" s="37"/>
      <c r="B34" s="37"/>
      <c r="C34" s="19"/>
      <c r="D34" s="28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</row>
    <row r="35" spans="1:19" ht="15.75" customHeight="1" x14ac:dyDescent="0.35">
      <c r="A35" s="37"/>
      <c r="B35" s="37"/>
      <c r="C35" s="19"/>
      <c r="D35" s="28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</row>
    <row r="36" spans="1:19" ht="15.75" customHeight="1" x14ac:dyDescent="0.35">
      <c r="A36" s="37"/>
      <c r="B36" s="37"/>
      <c r="C36" s="19"/>
      <c r="D36" s="28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</row>
    <row r="37" spans="1:19" ht="15.75" customHeight="1" x14ac:dyDescent="0.35">
      <c r="A37" s="37"/>
      <c r="B37" s="37"/>
      <c r="C37" s="19"/>
      <c r="D37" s="28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ht="15.75" customHeight="1" x14ac:dyDescent="0.35">
      <c r="A38" s="37"/>
      <c r="B38" s="37"/>
      <c r="C38" s="19"/>
      <c r="D38" s="2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</row>
    <row r="39" spans="1:19" ht="15.75" customHeight="1" x14ac:dyDescent="0.35">
      <c r="A39" s="37"/>
      <c r="B39" s="37"/>
      <c r="C39" s="19"/>
      <c r="D39" s="2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</row>
    <row r="40" spans="1:19" ht="15.75" customHeight="1" x14ac:dyDescent="0.35">
      <c r="A40" s="37"/>
      <c r="B40" s="37"/>
      <c r="C40" s="19"/>
      <c r="D40" s="2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</row>
    <row r="41" spans="1:19" ht="15.75" customHeight="1" x14ac:dyDescent="0.35">
      <c r="A41" s="37"/>
      <c r="B41" s="37"/>
      <c r="C41" s="19"/>
      <c r="D41" s="28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</row>
    <row r="42" spans="1:19" ht="15.75" customHeight="1" x14ac:dyDescent="0.35">
      <c r="A42" s="37"/>
      <c r="B42" s="37"/>
      <c r="C42" s="19"/>
      <c r="D42" s="28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</row>
    <row r="43" spans="1:19" ht="15.75" customHeight="1" x14ac:dyDescent="0.35">
      <c r="A43" s="37"/>
      <c r="B43" s="37"/>
      <c r="C43" s="19"/>
      <c r="D43" s="28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</row>
    <row r="44" spans="1:19" ht="15.75" customHeight="1" x14ac:dyDescent="0.35">
      <c r="A44" s="37"/>
      <c r="B44" s="37"/>
      <c r="C44" s="19"/>
      <c r="D44" s="28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</row>
    <row r="45" spans="1:19" ht="15.75" customHeight="1" x14ac:dyDescent="0.35">
      <c r="A45" s="37"/>
      <c r="B45" s="37"/>
      <c r="C45" s="19"/>
      <c r="D45" s="28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</row>
    <row r="46" spans="1:19" ht="15.75" customHeight="1" x14ac:dyDescent="0.35">
      <c r="A46" s="37"/>
      <c r="B46" s="37"/>
      <c r="C46" s="19"/>
      <c r="D46" s="28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</row>
    <row r="47" spans="1:19" ht="15.75" customHeight="1" x14ac:dyDescent="0.35">
      <c r="A47" s="37"/>
      <c r="B47" s="37"/>
      <c r="C47" s="19"/>
      <c r="D47" s="28"/>
      <c r="E47" s="19"/>
      <c r="F47" s="19"/>
      <c r="G47" s="53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</row>
    <row r="48" spans="1:19" ht="15.75" customHeight="1" x14ac:dyDescent="0.35">
      <c r="A48" s="37"/>
      <c r="B48" s="37"/>
      <c r="C48" s="19"/>
      <c r="D48" s="28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</row>
    <row r="49" spans="1:19" ht="15.75" customHeight="1" x14ac:dyDescent="0.35">
      <c r="A49" s="37"/>
      <c r="B49" s="37"/>
      <c r="C49" s="19"/>
      <c r="D49" s="28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</row>
    <row r="50" spans="1:19" ht="15.75" customHeight="1" x14ac:dyDescent="0.35">
      <c r="A50" s="37"/>
      <c r="B50" s="37"/>
      <c r="C50" s="19"/>
      <c r="D50" s="28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</row>
    <row r="51" spans="1:19" ht="15.75" customHeight="1" x14ac:dyDescent="0.35">
      <c r="A51" s="37"/>
      <c r="B51" s="37"/>
      <c r="C51" s="19"/>
      <c r="D51" s="28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</row>
    <row r="52" spans="1:19" ht="15.75" customHeight="1" x14ac:dyDescent="0.35">
      <c r="A52" s="37"/>
      <c r="B52" s="37"/>
      <c r="C52" s="19"/>
      <c r="D52" s="28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</row>
    <row r="53" spans="1:19" ht="15.75" customHeight="1" x14ac:dyDescent="0.35">
      <c r="A53" s="37"/>
      <c r="B53" s="37"/>
      <c r="C53" s="19"/>
      <c r="D53" s="28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</row>
    <row r="54" spans="1:19" ht="15.75" customHeight="1" x14ac:dyDescent="0.35">
      <c r="A54" s="37"/>
      <c r="B54" s="37"/>
      <c r="C54" s="19"/>
      <c r="D54" s="28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</row>
    <row r="55" spans="1:19" ht="15.75" customHeight="1" x14ac:dyDescent="0.35">
      <c r="A55" s="37"/>
      <c r="B55" s="37"/>
      <c r="C55" s="19"/>
      <c r="D55" s="28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</row>
    <row r="56" spans="1:19" ht="15.75" customHeight="1" x14ac:dyDescent="0.35">
      <c r="A56" s="37"/>
      <c r="B56" s="37"/>
      <c r="C56" s="19"/>
      <c r="D56" s="28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</row>
    <row r="57" spans="1:19" ht="15.75" customHeight="1" x14ac:dyDescent="0.35">
      <c r="A57" s="37"/>
      <c r="B57" s="37"/>
      <c r="C57" s="19"/>
      <c r="D57" s="28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</row>
    <row r="58" spans="1:19" ht="15.75" customHeight="1" x14ac:dyDescent="0.35">
      <c r="A58" s="37"/>
      <c r="B58" s="37"/>
      <c r="C58" s="19"/>
      <c r="D58" s="28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</row>
    <row r="59" spans="1:19" ht="15.75" customHeight="1" x14ac:dyDescent="0.35">
      <c r="A59" s="37"/>
      <c r="B59" s="37"/>
      <c r="C59" s="19"/>
      <c r="D59" s="28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</row>
    <row r="60" spans="1:19" ht="15.75" customHeight="1" x14ac:dyDescent="0.35">
      <c r="A60" s="37"/>
      <c r="B60" s="37"/>
      <c r="C60" s="19"/>
      <c r="D60" s="28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</row>
    <row r="61" spans="1:19" ht="15.75" customHeight="1" x14ac:dyDescent="0.35">
      <c r="A61" s="37"/>
      <c r="B61" s="37"/>
      <c r="C61" s="19"/>
      <c r="D61" s="28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</row>
    <row r="62" spans="1:19" ht="15.75" customHeight="1" x14ac:dyDescent="0.35">
      <c r="A62" s="37"/>
      <c r="B62" s="37"/>
      <c r="C62" s="19"/>
      <c r="D62" s="28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</row>
    <row r="63" spans="1:19" ht="15.75" customHeight="1" x14ac:dyDescent="0.35">
      <c r="A63" s="37"/>
      <c r="B63" s="37"/>
      <c r="C63" s="19"/>
      <c r="D63" s="28"/>
      <c r="E63" s="19"/>
      <c r="F63" s="19"/>
      <c r="G63" s="19"/>
      <c r="H63" s="19"/>
      <c r="I63" s="40"/>
      <c r="J63" s="19"/>
      <c r="K63" s="19"/>
      <c r="L63" s="19"/>
      <c r="M63" s="19"/>
      <c r="N63" s="19"/>
      <c r="O63" s="19"/>
      <c r="P63" s="19"/>
      <c r="Q63" s="19"/>
      <c r="R63" s="19"/>
      <c r="S63" s="19"/>
    </row>
    <row r="64" spans="1:19" ht="15.75" customHeight="1" x14ac:dyDescent="0.35">
      <c r="A64" s="37"/>
      <c r="B64" s="37"/>
      <c r="C64" s="19"/>
      <c r="D64" s="28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</row>
    <row r="65" spans="1:19" ht="15.75" customHeight="1" x14ac:dyDescent="0.35">
      <c r="A65" s="37"/>
      <c r="B65" s="37"/>
      <c r="C65" s="19"/>
      <c r="D65" s="28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</row>
    <row r="66" spans="1:19" ht="15.75" customHeight="1" x14ac:dyDescent="0.35">
      <c r="A66" s="37"/>
      <c r="B66" s="37"/>
      <c r="C66" s="19"/>
      <c r="D66" s="28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</row>
    <row r="67" spans="1:19" ht="15.75" customHeight="1" x14ac:dyDescent="0.35">
      <c r="A67" s="37"/>
      <c r="B67" s="37"/>
      <c r="C67" s="19"/>
      <c r="D67" s="28"/>
      <c r="E67" s="19"/>
      <c r="F67" s="19"/>
      <c r="G67" s="19"/>
      <c r="H67" s="19"/>
      <c r="I67" s="40"/>
      <c r="J67" s="19"/>
      <c r="K67" s="19"/>
      <c r="L67" s="19"/>
      <c r="M67" s="19"/>
      <c r="N67" s="19"/>
      <c r="O67" s="19"/>
      <c r="P67" s="19"/>
      <c r="Q67" s="19"/>
      <c r="R67" s="19"/>
      <c r="S67" s="19"/>
    </row>
    <row r="68" spans="1:19" ht="15.75" customHeight="1" x14ac:dyDescent="0.35">
      <c r="A68" s="37"/>
      <c r="B68" s="37"/>
      <c r="C68" s="19"/>
      <c r="D68" s="28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</row>
    <row r="69" spans="1:19" ht="15.75" customHeight="1" x14ac:dyDescent="0.35">
      <c r="A69" s="37"/>
      <c r="B69" s="37"/>
      <c r="C69" s="19"/>
      <c r="D69" s="28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</row>
    <row r="70" spans="1:19" ht="15.75" customHeight="1" x14ac:dyDescent="0.35">
      <c r="A70" s="37"/>
      <c r="B70" s="37"/>
      <c r="C70" s="19"/>
      <c r="D70" s="28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</row>
    <row r="71" spans="1:19" ht="15.75" customHeight="1" x14ac:dyDescent="0.35">
      <c r="A71" s="37"/>
      <c r="B71" s="37"/>
      <c r="C71" s="19"/>
      <c r="D71" s="28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</row>
    <row r="72" spans="1:19" ht="15.75" customHeight="1" x14ac:dyDescent="0.35">
      <c r="A72" s="37"/>
      <c r="B72" s="37"/>
      <c r="C72" s="19"/>
      <c r="D72" s="28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</row>
    <row r="73" spans="1:19" ht="15.75" customHeight="1" x14ac:dyDescent="0.35">
      <c r="A73" s="37"/>
      <c r="B73" s="37"/>
      <c r="C73" s="19"/>
      <c r="D73" s="28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</row>
    <row r="74" spans="1:19" ht="15.75" customHeight="1" x14ac:dyDescent="0.35">
      <c r="A74" s="37"/>
      <c r="B74" s="37"/>
      <c r="C74" s="19"/>
      <c r="D74" s="28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</row>
    <row r="75" spans="1:19" ht="15.75" customHeight="1" x14ac:dyDescent="0.35">
      <c r="A75" s="37"/>
      <c r="B75" s="37"/>
      <c r="C75" s="19"/>
      <c r="D75" s="28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</row>
    <row r="76" spans="1:19" ht="15.75" customHeight="1" x14ac:dyDescent="0.35">
      <c r="A76" s="37"/>
      <c r="B76" s="37"/>
      <c r="C76" s="19"/>
      <c r="D76" s="28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</row>
    <row r="77" spans="1:19" ht="15.75" customHeight="1" x14ac:dyDescent="0.35">
      <c r="A77" s="37"/>
      <c r="B77" s="37"/>
      <c r="C77" s="19"/>
      <c r="D77" s="28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</row>
    <row r="78" spans="1:19" ht="15.75" customHeight="1" x14ac:dyDescent="0.35">
      <c r="A78" s="37"/>
      <c r="B78" s="37"/>
      <c r="C78" s="19"/>
      <c r="D78" s="28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</row>
    <row r="79" spans="1:19" ht="15.75" customHeight="1" x14ac:dyDescent="0.35">
      <c r="A79" s="37"/>
      <c r="B79" s="37"/>
      <c r="C79" s="19"/>
      <c r="D79" s="28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</row>
    <row r="80" spans="1:19" ht="15.75" customHeight="1" x14ac:dyDescent="0.35">
      <c r="A80" s="37"/>
      <c r="B80" s="37"/>
      <c r="C80" s="19"/>
      <c r="D80" s="28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</row>
    <row r="81" spans="1:19" ht="15.75" customHeight="1" x14ac:dyDescent="0.35">
      <c r="A81" s="37"/>
      <c r="B81" s="37"/>
      <c r="C81" s="19"/>
      <c r="D81" s="28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</row>
    <row r="82" spans="1:19" ht="15.75" customHeight="1" x14ac:dyDescent="0.35">
      <c r="A82" s="37"/>
      <c r="B82" s="37"/>
      <c r="C82" s="19"/>
      <c r="D82" s="28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</row>
    <row r="83" spans="1:19" ht="15.75" customHeight="1" x14ac:dyDescent="0.35">
      <c r="A83" s="37"/>
      <c r="B83" s="37"/>
      <c r="C83" s="19"/>
      <c r="D83" s="28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</row>
    <row r="84" spans="1:19" ht="15.75" customHeight="1" x14ac:dyDescent="0.35">
      <c r="A84" s="37"/>
      <c r="B84" s="37"/>
      <c r="C84" s="19"/>
      <c r="D84" s="28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</row>
    <row r="85" spans="1:19" ht="15.75" customHeight="1" x14ac:dyDescent="0.35">
      <c r="A85" s="37"/>
      <c r="B85" s="37"/>
      <c r="C85" s="19"/>
      <c r="D85" s="28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</row>
    <row r="86" spans="1:19" ht="15.75" customHeight="1" x14ac:dyDescent="0.35">
      <c r="A86" s="37"/>
      <c r="B86" s="37"/>
      <c r="C86" s="19"/>
      <c r="D86" s="28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</row>
    <row r="87" spans="1:19" ht="15.75" customHeight="1" x14ac:dyDescent="0.35">
      <c r="A87" s="37"/>
      <c r="B87" s="37"/>
      <c r="C87" s="19"/>
      <c r="D87" s="28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</row>
    <row r="88" spans="1:19" ht="15.75" customHeight="1" x14ac:dyDescent="0.35">
      <c r="A88" s="37"/>
      <c r="B88" s="37"/>
      <c r="C88" s="19"/>
      <c r="D88" s="28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</row>
    <row r="89" spans="1:19" ht="15.75" customHeight="1" x14ac:dyDescent="0.35">
      <c r="A89" s="37"/>
      <c r="B89" s="37"/>
      <c r="C89" s="19"/>
      <c r="D89" s="28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</row>
    <row r="90" spans="1:19" ht="15.75" customHeight="1" x14ac:dyDescent="0.35">
      <c r="A90" s="37"/>
      <c r="B90" s="37"/>
      <c r="C90" s="19"/>
      <c r="D90" s="28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</row>
    <row r="91" spans="1:19" ht="15.75" customHeight="1" x14ac:dyDescent="0.35">
      <c r="A91" s="37"/>
      <c r="B91" s="37"/>
      <c r="C91" s="19"/>
      <c r="D91" s="28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</row>
    <row r="92" spans="1:19" ht="15.75" customHeight="1" x14ac:dyDescent="0.35">
      <c r="A92" s="37"/>
      <c r="B92" s="37"/>
      <c r="C92" s="19"/>
      <c r="D92" s="28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</row>
    <row r="93" spans="1:19" ht="15.75" customHeight="1" x14ac:dyDescent="0.35">
      <c r="A93" s="37"/>
      <c r="B93" s="37"/>
      <c r="C93" s="19"/>
      <c r="D93" s="28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</row>
    <row r="94" spans="1:19" ht="15.75" customHeight="1" x14ac:dyDescent="0.35">
      <c r="A94" s="37"/>
      <c r="B94" s="37"/>
      <c r="C94" s="19"/>
      <c r="D94" s="28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</row>
    <row r="95" spans="1:19" ht="15.75" customHeight="1" x14ac:dyDescent="0.35">
      <c r="A95" s="37"/>
      <c r="B95" s="37"/>
      <c r="C95" s="19"/>
      <c r="D95" s="28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</row>
    <row r="96" spans="1:19" ht="15.75" customHeight="1" x14ac:dyDescent="0.35">
      <c r="A96" s="37"/>
      <c r="B96" s="37"/>
      <c r="C96" s="19"/>
      <c r="D96" s="28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</row>
    <row r="97" spans="1:19" ht="15.75" customHeight="1" x14ac:dyDescent="0.35">
      <c r="A97" s="37"/>
      <c r="B97" s="37"/>
      <c r="C97" s="19"/>
      <c r="D97" s="28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</row>
    <row r="98" spans="1:19" ht="15.75" customHeight="1" x14ac:dyDescent="0.35">
      <c r="A98" s="37"/>
      <c r="B98" s="37"/>
      <c r="C98" s="19"/>
      <c r="D98" s="28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</row>
    <row r="99" spans="1:19" ht="15.75" customHeight="1" x14ac:dyDescent="0.35">
      <c r="A99" s="37"/>
      <c r="B99" s="37"/>
      <c r="C99" s="19"/>
      <c r="D99" s="28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</row>
    <row r="100" spans="1:19" ht="15.75" customHeight="1" x14ac:dyDescent="0.35">
      <c r="A100" s="37"/>
      <c r="B100" s="37"/>
      <c r="C100" s="19"/>
      <c r="D100" s="28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</row>
    <row r="101" spans="1:19" ht="15.75" customHeight="1" x14ac:dyDescent="0.35">
      <c r="A101" s="37"/>
      <c r="B101" s="37"/>
      <c r="C101" s="19"/>
      <c r="D101" s="28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</row>
    <row r="102" spans="1:19" ht="15.75" customHeight="1" x14ac:dyDescent="0.35">
      <c r="A102" s="37"/>
      <c r="B102" s="37"/>
      <c r="C102" s="19"/>
      <c r="D102" s="28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</row>
    <row r="103" spans="1:19" ht="15.75" customHeight="1" x14ac:dyDescent="0.35">
      <c r="A103" s="37"/>
      <c r="B103" s="37"/>
      <c r="C103" s="19"/>
      <c r="D103" s="28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</row>
    <row r="104" spans="1:19" ht="15.75" customHeight="1" x14ac:dyDescent="0.35">
      <c r="A104" s="37"/>
      <c r="B104" s="37"/>
      <c r="C104" s="19"/>
      <c r="D104" s="28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</row>
    <row r="105" spans="1:19" ht="15.75" customHeight="1" x14ac:dyDescent="0.35">
      <c r="A105" s="37"/>
      <c r="B105" s="37"/>
      <c r="C105" s="19"/>
      <c r="D105" s="28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</row>
    <row r="106" spans="1:19" ht="15.75" customHeight="1" x14ac:dyDescent="0.35">
      <c r="A106" s="37"/>
      <c r="B106" s="37"/>
      <c r="C106" s="19"/>
      <c r="D106" s="28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</row>
    <row r="107" spans="1:19" ht="15.75" customHeight="1" x14ac:dyDescent="0.35">
      <c r="A107" s="37"/>
      <c r="B107" s="37"/>
      <c r="C107" s="19"/>
      <c r="D107" s="28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</row>
    <row r="108" spans="1:19" ht="15.75" customHeight="1" x14ac:dyDescent="0.35">
      <c r="A108" s="37"/>
      <c r="B108" s="37"/>
      <c r="C108" s="19"/>
      <c r="D108" s="28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</row>
    <row r="109" spans="1:19" ht="15.75" customHeight="1" x14ac:dyDescent="0.35">
      <c r="A109" s="37"/>
      <c r="B109" s="37"/>
      <c r="C109" s="19"/>
      <c r="D109" s="28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</row>
    <row r="110" spans="1:19" ht="15.75" customHeight="1" x14ac:dyDescent="0.35">
      <c r="A110" s="37"/>
      <c r="B110" s="37"/>
      <c r="C110" s="19"/>
      <c r="D110" s="28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</row>
    <row r="111" spans="1:19" ht="15.75" customHeight="1" x14ac:dyDescent="0.35">
      <c r="A111" s="37"/>
      <c r="B111" s="37"/>
      <c r="C111" s="19"/>
      <c r="D111" s="28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</row>
    <row r="112" spans="1:19" ht="15.75" customHeight="1" x14ac:dyDescent="0.35">
      <c r="A112" s="37"/>
      <c r="B112" s="37"/>
      <c r="C112" s="19"/>
      <c r="D112" s="28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</row>
    <row r="113" spans="1:19" ht="15.75" customHeight="1" x14ac:dyDescent="0.35">
      <c r="A113" s="37"/>
      <c r="B113" s="37"/>
      <c r="C113" s="19"/>
      <c r="D113" s="28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</row>
    <row r="114" spans="1:19" ht="15.75" customHeight="1" x14ac:dyDescent="0.35">
      <c r="A114" s="37"/>
      <c r="B114" s="37"/>
      <c r="C114" s="19"/>
      <c r="D114" s="28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</row>
    <row r="115" spans="1:19" ht="15.75" customHeight="1" x14ac:dyDescent="0.35">
      <c r="A115" s="37"/>
      <c r="B115" s="37"/>
      <c r="C115" s="19"/>
      <c r="D115" s="28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</row>
    <row r="116" spans="1:19" ht="15.75" customHeight="1" x14ac:dyDescent="0.35">
      <c r="A116" s="37"/>
      <c r="B116" s="37"/>
      <c r="C116" s="19"/>
      <c r="D116" s="28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</row>
    <row r="117" spans="1:19" ht="15.75" customHeight="1" x14ac:dyDescent="0.35">
      <c r="A117" s="37"/>
      <c r="B117" s="37"/>
      <c r="C117" s="19"/>
      <c r="D117" s="28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</row>
    <row r="118" spans="1:19" ht="15.75" customHeight="1" x14ac:dyDescent="0.35">
      <c r="A118" s="37"/>
      <c r="B118" s="37"/>
      <c r="C118" s="19"/>
      <c r="D118" s="28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</row>
    <row r="119" spans="1:19" ht="15.75" customHeight="1" x14ac:dyDescent="0.35">
      <c r="A119" s="37"/>
      <c r="B119" s="37"/>
      <c r="C119" s="19"/>
      <c r="D119" s="28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</row>
    <row r="120" spans="1:19" ht="15.75" customHeight="1" x14ac:dyDescent="0.35">
      <c r="A120" s="37"/>
      <c r="B120" s="37"/>
      <c r="C120" s="19"/>
      <c r="D120" s="28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</row>
    <row r="121" spans="1:19" ht="15.75" customHeight="1" x14ac:dyDescent="0.35">
      <c r="A121" s="37"/>
      <c r="B121" s="37"/>
      <c r="C121" s="19"/>
      <c r="D121" s="28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</row>
    <row r="122" spans="1:19" ht="15.75" customHeight="1" x14ac:dyDescent="0.35">
      <c r="A122" s="37"/>
      <c r="B122" s="37"/>
      <c r="C122" s="19"/>
      <c r="D122" s="28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</row>
    <row r="123" spans="1:19" ht="15.75" customHeight="1" x14ac:dyDescent="0.35">
      <c r="A123" s="37"/>
      <c r="B123" s="37"/>
      <c r="C123" s="19"/>
      <c r="D123" s="28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</row>
    <row r="124" spans="1:19" ht="15.75" customHeight="1" x14ac:dyDescent="0.35">
      <c r="A124" s="37"/>
      <c r="B124" s="37"/>
      <c r="C124" s="19"/>
      <c r="D124" s="28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</row>
    <row r="125" spans="1:19" ht="15.75" customHeight="1" x14ac:dyDescent="0.35">
      <c r="A125" s="37"/>
      <c r="B125" s="37"/>
      <c r="C125" s="19"/>
      <c r="D125" s="28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</row>
    <row r="126" spans="1:19" ht="15.75" customHeight="1" x14ac:dyDescent="0.35">
      <c r="A126" s="37"/>
      <c r="B126" s="37"/>
      <c r="C126" s="19"/>
      <c r="D126" s="28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</row>
    <row r="127" spans="1:19" ht="15.75" customHeight="1" x14ac:dyDescent="0.35">
      <c r="A127" s="37"/>
      <c r="B127" s="37"/>
      <c r="C127" s="19"/>
      <c r="D127" s="28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</row>
    <row r="128" spans="1:19" ht="15.75" customHeight="1" x14ac:dyDescent="0.35">
      <c r="A128" s="37"/>
      <c r="B128" s="37"/>
      <c r="C128" s="19"/>
      <c r="D128" s="28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</row>
    <row r="129" spans="1:19" ht="15.75" customHeight="1" x14ac:dyDescent="0.35">
      <c r="A129" s="37"/>
      <c r="B129" s="37"/>
      <c r="C129" s="19"/>
      <c r="D129" s="28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</row>
    <row r="130" spans="1:19" ht="15.75" customHeight="1" x14ac:dyDescent="0.35">
      <c r="A130" s="37"/>
      <c r="B130" s="37"/>
      <c r="C130" s="19"/>
      <c r="D130" s="28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</row>
    <row r="131" spans="1:19" ht="15.75" customHeight="1" x14ac:dyDescent="0.35">
      <c r="A131" s="37"/>
      <c r="B131" s="37"/>
      <c r="C131" s="27"/>
      <c r="D131" s="28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</row>
    <row r="132" spans="1:19" ht="15.75" customHeight="1" x14ac:dyDescent="0.35">
      <c r="A132" s="37"/>
      <c r="B132" s="37"/>
      <c r="C132" s="19"/>
      <c r="D132" s="28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</row>
    <row r="133" spans="1:19" ht="15.75" customHeight="1" x14ac:dyDescent="0.35">
      <c r="A133" s="37"/>
      <c r="B133" s="37"/>
      <c r="C133" s="19"/>
      <c r="D133" s="28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</row>
    <row r="134" spans="1:19" ht="15.75" customHeight="1" x14ac:dyDescent="0.35">
      <c r="A134" s="37"/>
      <c r="B134" s="37"/>
      <c r="C134" s="19"/>
      <c r="D134" s="28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</row>
    <row r="135" spans="1:19" ht="15.75" customHeight="1" x14ac:dyDescent="0.35">
      <c r="A135" s="37"/>
      <c r="B135" s="37"/>
      <c r="C135" s="19"/>
      <c r="D135" s="28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</row>
    <row r="136" spans="1:19" ht="15.75" customHeight="1" x14ac:dyDescent="0.35">
      <c r="A136" s="37"/>
      <c r="B136" s="37"/>
      <c r="C136" s="19"/>
      <c r="D136" s="28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</row>
    <row r="137" spans="1:19" ht="15.75" customHeight="1" x14ac:dyDescent="0.35">
      <c r="A137" s="37"/>
      <c r="B137" s="37"/>
      <c r="C137" s="19"/>
      <c r="D137" s="28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</row>
    <row r="138" spans="1:19" ht="15.75" customHeight="1" x14ac:dyDescent="0.35">
      <c r="A138" s="37"/>
      <c r="B138" s="37"/>
      <c r="C138" s="19"/>
      <c r="D138" s="28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</row>
    <row r="139" spans="1:19" ht="15.75" customHeight="1" x14ac:dyDescent="0.35">
      <c r="A139" s="37"/>
      <c r="B139" s="37"/>
      <c r="C139" s="19"/>
      <c r="D139" s="28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</row>
    <row r="140" spans="1:19" ht="15.75" customHeight="1" x14ac:dyDescent="0.35">
      <c r="A140" s="37"/>
      <c r="B140" s="37"/>
      <c r="C140" s="19"/>
      <c r="D140" s="28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</row>
    <row r="141" spans="1:19" ht="15.75" customHeight="1" x14ac:dyDescent="0.35">
      <c r="A141" s="37"/>
      <c r="B141" s="37"/>
      <c r="C141" s="19"/>
      <c r="D141" s="28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</row>
    <row r="142" spans="1:19" ht="15.75" customHeight="1" x14ac:dyDescent="0.35">
      <c r="A142" s="37"/>
      <c r="B142" s="37"/>
      <c r="C142" s="19"/>
      <c r="D142" s="28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</row>
    <row r="143" spans="1:19" ht="15.75" customHeight="1" x14ac:dyDescent="0.35">
      <c r="A143" s="37"/>
      <c r="B143" s="37"/>
      <c r="C143" s="27"/>
      <c r="D143" s="28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</row>
    <row r="144" spans="1:19" ht="15.75" customHeight="1" x14ac:dyDescent="0.35">
      <c r="A144" s="37"/>
      <c r="B144" s="37"/>
      <c r="C144" s="19"/>
      <c r="D144" s="28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</row>
    <row r="145" spans="1:25" ht="15.75" customHeight="1" x14ac:dyDescent="0.35">
      <c r="A145" s="37"/>
      <c r="B145" s="37"/>
      <c r="C145" s="27"/>
      <c r="D145" s="28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</row>
    <row r="146" spans="1:25" ht="15.75" customHeight="1" x14ac:dyDescent="0.35">
      <c r="A146" s="37"/>
      <c r="B146" s="37"/>
      <c r="C146" s="19"/>
      <c r="D146" s="28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</row>
    <row r="147" spans="1:25" ht="15.75" customHeight="1" x14ac:dyDescent="0.35">
      <c r="A147" s="37"/>
      <c r="B147" s="37"/>
      <c r="C147" s="19"/>
      <c r="D147" s="28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</row>
    <row r="148" spans="1:25" ht="15.75" customHeight="1" x14ac:dyDescent="0.35">
      <c r="A148" s="37"/>
      <c r="B148" s="37"/>
      <c r="C148" s="27"/>
      <c r="D148" s="28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 spans="1:25" ht="15.75" customHeight="1" x14ac:dyDescent="0.35">
      <c r="A149" s="37"/>
      <c r="B149" s="37"/>
      <c r="C149" s="27"/>
      <c r="D149" s="28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 spans="1:25" ht="15.75" customHeight="1" x14ac:dyDescent="0.35">
      <c r="A150" s="37"/>
      <c r="B150" s="37"/>
      <c r="C150" s="27"/>
      <c r="D150" s="28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 spans="1:25" ht="15.75" customHeight="1" x14ac:dyDescent="0.35">
      <c r="A151" s="37"/>
      <c r="B151" s="37"/>
      <c r="C151" s="27"/>
      <c r="D151" s="28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 spans="1:25" ht="15.75" customHeight="1" x14ac:dyDescent="0.35">
      <c r="A152" s="37"/>
      <c r="B152" s="37"/>
      <c r="C152" s="27"/>
      <c r="D152" s="28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 spans="1:25" ht="15.75" customHeight="1" x14ac:dyDescent="0.35">
      <c r="A153" s="37"/>
      <c r="B153" s="37"/>
      <c r="C153" s="27"/>
      <c r="D153" s="28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 spans="1:25" ht="15.75" customHeight="1" x14ac:dyDescent="0.35">
      <c r="A154" s="37"/>
      <c r="B154" s="37"/>
      <c r="C154" s="27"/>
      <c r="D154" s="28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</row>
    <row r="155" spans="1:25" ht="15.75" customHeight="1" x14ac:dyDescent="0.35">
      <c r="A155" s="37"/>
      <c r="B155" s="37"/>
      <c r="C155" s="27"/>
      <c r="D155" s="28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</row>
    <row r="156" spans="1:25" ht="15.75" customHeight="1" x14ac:dyDescent="0.35">
      <c r="A156" s="37"/>
      <c r="B156" s="37"/>
      <c r="C156" s="27"/>
      <c r="D156" s="28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</row>
    <row r="157" spans="1:25" ht="15.75" customHeight="1" x14ac:dyDescent="0.35">
      <c r="A157" s="37"/>
      <c r="B157" s="37"/>
      <c r="C157" s="27"/>
      <c r="D157" s="28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</row>
    <row r="158" spans="1:25" ht="15.75" customHeight="1" x14ac:dyDescent="0.35">
      <c r="A158" s="37"/>
      <c r="B158" s="37"/>
      <c r="C158" s="27"/>
      <c r="D158" s="28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</row>
    <row r="159" spans="1:25" ht="15.75" customHeight="1" x14ac:dyDescent="0.35">
      <c r="A159" s="37"/>
      <c r="B159" s="37"/>
      <c r="C159" s="27"/>
      <c r="D159" s="28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</row>
    <row r="160" spans="1:25" ht="15.75" customHeight="1" x14ac:dyDescent="0.35">
      <c r="A160" s="37"/>
      <c r="B160" s="37"/>
      <c r="C160" s="27"/>
      <c r="D160" s="28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</row>
    <row r="161" spans="1:25" ht="15.75" customHeight="1" x14ac:dyDescent="0.35">
      <c r="A161" s="37"/>
      <c r="B161" s="37"/>
      <c r="C161" s="27"/>
      <c r="D161" s="28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</row>
    <row r="162" spans="1:25" ht="15.75" customHeight="1" x14ac:dyDescent="0.35">
      <c r="A162" s="37"/>
      <c r="B162" s="37"/>
      <c r="C162" s="27"/>
      <c r="D162" s="28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</row>
    <row r="163" spans="1:25" ht="15.75" customHeight="1" x14ac:dyDescent="0.35">
      <c r="A163" s="37"/>
      <c r="B163" s="37"/>
      <c r="C163" s="27"/>
      <c r="D163" s="28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</row>
    <row r="164" spans="1:25" ht="15.75" customHeight="1" x14ac:dyDescent="0.35">
      <c r="A164" s="37"/>
      <c r="B164" s="37"/>
      <c r="C164" s="27"/>
      <c r="D164" s="28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</row>
    <row r="165" spans="1:25" ht="15.75" customHeight="1" x14ac:dyDescent="0.35">
      <c r="A165" s="37"/>
      <c r="B165" s="37"/>
      <c r="C165" s="27"/>
      <c r="D165" s="28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</row>
    <row r="166" spans="1:25" ht="15.75" customHeight="1" x14ac:dyDescent="0.35">
      <c r="A166" s="37"/>
      <c r="B166" s="37"/>
      <c r="C166" s="27"/>
      <c r="D166" s="28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</row>
    <row r="167" spans="1:25" ht="15.75" customHeight="1" x14ac:dyDescent="0.35">
      <c r="A167" s="37"/>
      <c r="B167" s="37"/>
      <c r="C167" s="27"/>
      <c r="D167" s="28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</row>
    <row r="168" spans="1:25" ht="15.75" customHeight="1" x14ac:dyDescent="0.35">
      <c r="A168" s="37"/>
      <c r="B168" s="37"/>
      <c r="C168" s="27"/>
      <c r="D168" s="28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</row>
    <row r="169" spans="1:25" ht="15.75" customHeight="1" x14ac:dyDescent="0.35">
      <c r="A169" s="37"/>
      <c r="B169" s="37"/>
      <c r="C169" s="27"/>
      <c r="D169" s="28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</row>
    <row r="170" spans="1:25" ht="15.75" customHeight="1" x14ac:dyDescent="0.35">
      <c r="A170" s="37"/>
      <c r="B170" s="37"/>
      <c r="C170" s="27"/>
      <c r="D170" s="28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</row>
    <row r="171" spans="1:25" ht="15.75" customHeight="1" x14ac:dyDescent="0.35">
      <c r="A171" s="37"/>
      <c r="B171" s="37"/>
      <c r="C171" s="27"/>
      <c r="D171" s="28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</row>
    <row r="172" spans="1:25" ht="15.75" customHeight="1" x14ac:dyDescent="0.35">
      <c r="A172" s="37"/>
      <c r="B172" s="37"/>
      <c r="C172" s="27"/>
      <c r="D172" s="28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</row>
    <row r="173" spans="1:25" ht="15.75" customHeight="1" x14ac:dyDescent="0.35">
      <c r="A173" s="37"/>
      <c r="B173" s="37"/>
      <c r="C173" s="27"/>
      <c r="D173" s="28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</row>
    <row r="174" spans="1:25" ht="15.75" customHeight="1" x14ac:dyDescent="0.35">
      <c r="A174" s="37"/>
      <c r="B174" s="37"/>
      <c r="C174" s="27"/>
      <c r="D174" s="28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</row>
    <row r="175" spans="1:25" ht="15.75" customHeight="1" x14ac:dyDescent="0.35">
      <c r="A175" s="37"/>
      <c r="B175" s="37"/>
      <c r="C175" s="27"/>
      <c r="D175" s="28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</row>
    <row r="176" spans="1:25" ht="15.75" customHeight="1" x14ac:dyDescent="0.35">
      <c r="A176" s="37"/>
      <c r="B176" s="37"/>
      <c r="C176" s="27"/>
      <c r="D176" s="28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</row>
    <row r="177" spans="1:25" ht="15.75" customHeight="1" x14ac:dyDescent="0.35">
      <c r="A177" s="37"/>
      <c r="B177" s="37"/>
      <c r="C177" s="27"/>
      <c r="D177" s="28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</row>
    <row r="178" spans="1:25" ht="15.75" customHeight="1" x14ac:dyDescent="0.35">
      <c r="A178" s="37"/>
      <c r="B178" s="37"/>
      <c r="C178" s="27"/>
      <c r="D178" s="28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</row>
    <row r="179" spans="1:25" ht="15.75" customHeight="1" x14ac:dyDescent="0.35">
      <c r="A179" s="37"/>
      <c r="B179" s="37"/>
      <c r="C179" s="27"/>
      <c r="D179" s="28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</row>
    <row r="180" spans="1:25" ht="15.75" customHeight="1" x14ac:dyDescent="0.35">
      <c r="A180" s="37"/>
      <c r="B180" s="37"/>
      <c r="C180" s="27"/>
      <c r="D180" s="28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</row>
    <row r="181" spans="1:25" ht="15.75" customHeight="1" x14ac:dyDescent="0.35">
      <c r="A181" s="37"/>
      <c r="B181" s="37"/>
      <c r="C181" s="27"/>
      <c r="D181" s="28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</row>
    <row r="182" spans="1:25" ht="15.75" customHeight="1" x14ac:dyDescent="0.35">
      <c r="A182" s="37"/>
      <c r="B182" s="37"/>
      <c r="C182" s="27"/>
      <c r="D182" s="28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</row>
    <row r="183" spans="1:25" ht="15.75" customHeight="1" x14ac:dyDescent="0.35">
      <c r="A183" s="37"/>
      <c r="B183" s="54"/>
      <c r="C183" s="27"/>
      <c r="D183" s="28"/>
      <c r="E183" s="55"/>
      <c r="F183" s="55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</row>
    <row r="184" spans="1:25" ht="15.75" customHeight="1" x14ac:dyDescent="0.35">
      <c r="A184" s="37"/>
      <c r="B184" s="54"/>
      <c r="C184" s="27"/>
      <c r="D184" s="28"/>
      <c r="E184" s="55"/>
      <c r="F184" s="55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</row>
    <row r="185" spans="1:25" ht="15.75" customHeight="1" x14ac:dyDescent="0.35">
      <c r="A185" s="37"/>
      <c r="B185" s="37"/>
      <c r="C185" s="27"/>
      <c r="D185" s="28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</row>
    <row r="186" spans="1:25" ht="15.75" customHeight="1" x14ac:dyDescent="0.35">
      <c r="A186" s="37"/>
      <c r="B186" s="37"/>
      <c r="C186" s="27"/>
      <c r="D186" s="28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</row>
    <row r="187" spans="1:25" ht="15.75" customHeight="1" x14ac:dyDescent="0.35">
      <c r="A187" s="37"/>
      <c r="B187" s="37"/>
      <c r="C187" s="27"/>
      <c r="D187" s="28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</row>
    <row r="188" spans="1:25" ht="15.75" customHeight="1" x14ac:dyDescent="0.35">
      <c r="A188" s="37"/>
      <c r="B188" s="37"/>
      <c r="C188" s="27"/>
      <c r="D188" s="28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</row>
    <row r="189" spans="1:25" ht="15.75" customHeight="1" x14ac:dyDescent="0.35">
      <c r="A189" s="37"/>
      <c r="B189" s="37"/>
      <c r="C189" s="27"/>
      <c r="D189" s="28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</row>
    <row r="190" spans="1:25" ht="15.75" customHeight="1" x14ac:dyDescent="0.35">
      <c r="A190" s="37"/>
      <c r="B190" s="37"/>
      <c r="C190" s="27"/>
      <c r="D190" s="28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</row>
    <row r="191" spans="1:25" ht="15.75" customHeight="1" x14ac:dyDescent="0.35">
      <c r="A191" s="37"/>
      <c r="B191" s="37"/>
      <c r="C191" s="27"/>
      <c r="D191" s="28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</row>
    <row r="192" spans="1:25" ht="15.75" customHeight="1" x14ac:dyDescent="0.35">
      <c r="A192" s="37"/>
      <c r="B192" s="37"/>
      <c r="C192" s="27"/>
      <c r="D192" s="28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</row>
    <row r="193" spans="1:25" ht="15.75" customHeight="1" x14ac:dyDescent="0.35">
      <c r="A193" s="37"/>
      <c r="B193" s="37"/>
      <c r="C193" s="27"/>
      <c r="D193" s="28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</row>
    <row r="194" spans="1:25" ht="15.75" customHeight="1" x14ac:dyDescent="0.35">
      <c r="A194" s="37"/>
      <c r="B194" s="37"/>
      <c r="C194" s="27"/>
      <c r="D194" s="28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</row>
    <row r="195" spans="1:25" ht="15.75" customHeight="1" x14ac:dyDescent="0.35">
      <c r="A195" s="37"/>
      <c r="B195" s="37"/>
      <c r="C195" s="27"/>
      <c r="D195" s="28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</row>
    <row r="196" spans="1:25" ht="15.75" customHeight="1" x14ac:dyDescent="0.35">
      <c r="A196" s="37"/>
      <c r="B196" s="37"/>
      <c r="C196" s="27"/>
      <c r="D196" s="28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</row>
    <row r="197" spans="1:25" ht="15.75" customHeight="1" x14ac:dyDescent="0.35">
      <c r="A197" s="37"/>
      <c r="B197" s="37"/>
      <c r="C197" s="27"/>
      <c r="D197" s="28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</row>
    <row r="198" spans="1:25" ht="15.75" customHeight="1" x14ac:dyDescent="0.35">
      <c r="A198" s="37"/>
      <c r="B198" s="37"/>
      <c r="C198" s="27"/>
      <c r="D198" s="28"/>
      <c r="E198" s="55"/>
      <c r="F198" s="55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</row>
    <row r="199" spans="1:25" ht="15.75" customHeight="1" x14ac:dyDescent="0.35">
      <c r="A199" s="37"/>
      <c r="B199" s="37"/>
      <c r="C199" s="27"/>
      <c r="D199" s="28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</row>
    <row r="200" spans="1:25" ht="15.75" customHeight="1" x14ac:dyDescent="0.35">
      <c r="A200" s="37"/>
      <c r="B200" s="37"/>
      <c r="C200" s="27"/>
      <c r="D200" s="28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</row>
    <row r="201" spans="1:25" ht="15.75" customHeight="1" x14ac:dyDescent="0.35">
      <c r="A201" s="37"/>
      <c r="B201" s="37"/>
      <c r="C201" s="27"/>
      <c r="D201" s="28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</row>
    <row r="202" spans="1:25" ht="15.75" customHeight="1" x14ac:dyDescent="0.35">
      <c r="A202" s="37"/>
      <c r="B202" s="37"/>
      <c r="C202" s="27"/>
      <c r="D202" s="28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</row>
    <row r="203" spans="1:25" ht="15.75" customHeight="1" x14ac:dyDescent="0.35">
      <c r="A203" s="37"/>
      <c r="B203" s="54"/>
      <c r="C203" s="27"/>
      <c r="D203" s="28"/>
      <c r="E203" s="55"/>
      <c r="F203" s="55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</row>
    <row r="204" spans="1:25" ht="15.75" customHeight="1" x14ac:dyDescent="0.35">
      <c r="A204" s="37"/>
      <c r="B204" s="54"/>
      <c r="C204" s="27"/>
      <c r="D204" s="28"/>
      <c r="E204" s="55"/>
      <c r="F204" s="55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</row>
    <row r="205" spans="1:25" ht="15.75" customHeight="1" x14ac:dyDescent="0.35">
      <c r="A205" s="37"/>
      <c r="B205" s="37"/>
      <c r="C205" s="27"/>
      <c r="D205" s="28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</row>
    <row r="206" spans="1:25" ht="15.75" customHeight="1" x14ac:dyDescent="0.35">
      <c r="A206" s="37"/>
      <c r="B206" s="37"/>
      <c r="C206" s="27"/>
      <c r="D206" s="28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</row>
    <row r="207" spans="1:25" ht="15.75" customHeight="1" x14ac:dyDescent="0.35">
      <c r="A207" s="37"/>
      <c r="B207" s="37"/>
      <c r="C207" s="27"/>
      <c r="D207" s="28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</row>
    <row r="208" spans="1:25" ht="15.75" customHeight="1" x14ac:dyDescent="0.35">
      <c r="A208" s="37"/>
      <c r="B208" s="37"/>
      <c r="C208" s="27"/>
      <c r="D208" s="28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</row>
    <row r="209" spans="1:25" ht="15.75" customHeight="1" x14ac:dyDescent="0.35">
      <c r="A209" s="37"/>
      <c r="B209" s="37"/>
      <c r="C209" s="27"/>
      <c r="D209" s="28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</row>
    <row r="210" spans="1:25" ht="15.75" customHeight="1" x14ac:dyDescent="0.35">
      <c r="A210" s="37"/>
      <c r="B210" s="37"/>
      <c r="C210" s="27"/>
      <c r="D210" s="28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</row>
    <row r="211" spans="1:25" ht="15.75" customHeight="1" x14ac:dyDescent="0.35">
      <c r="A211" s="37"/>
      <c r="B211" s="37"/>
      <c r="C211" s="27"/>
      <c r="D211" s="28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</row>
    <row r="212" spans="1:25" ht="15.75" customHeight="1" x14ac:dyDescent="0.35">
      <c r="A212" s="37"/>
      <c r="B212" s="37"/>
      <c r="C212" s="19"/>
      <c r="D212" s="28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</row>
    <row r="213" spans="1:25" ht="15.75" customHeight="1" x14ac:dyDescent="0.35">
      <c r="A213" s="38"/>
      <c r="B213" s="38"/>
      <c r="D213" s="39"/>
    </row>
    <row r="214" spans="1:25" ht="15.75" customHeight="1" x14ac:dyDescent="0.35">
      <c r="A214" s="38"/>
      <c r="B214" s="38"/>
      <c r="D214" s="39"/>
    </row>
    <row r="215" spans="1:25" ht="15.75" customHeight="1" x14ac:dyDescent="0.35">
      <c r="A215" s="38"/>
      <c r="B215" s="38"/>
      <c r="D215" s="39"/>
    </row>
    <row r="216" spans="1:25" ht="15.75" customHeight="1" x14ac:dyDescent="0.35">
      <c r="A216" s="38"/>
      <c r="B216" s="38"/>
      <c r="D216" s="39"/>
    </row>
    <row r="217" spans="1:25" ht="15.75" customHeight="1" x14ac:dyDescent="0.35">
      <c r="A217" s="38"/>
      <c r="B217" s="38"/>
      <c r="D217" s="39"/>
    </row>
    <row r="218" spans="1:25" ht="15.75" customHeight="1" x14ac:dyDescent="0.35">
      <c r="A218" s="38"/>
      <c r="B218" s="38"/>
      <c r="D218" s="39"/>
    </row>
    <row r="219" spans="1:25" ht="15.75" customHeight="1" x14ac:dyDescent="0.35">
      <c r="A219" s="38"/>
      <c r="B219" s="38"/>
      <c r="D219" s="39"/>
    </row>
    <row r="220" spans="1:25" ht="15.75" customHeight="1" x14ac:dyDescent="0.35">
      <c r="A220" s="38"/>
      <c r="B220" s="38"/>
      <c r="D220" s="39"/>
    </row>
    <row r="221" spans="1:25" ht="15.75" customHeight="1" x14ac:dyDescent="0.35">
      <c r="A221" s="38"/>
      <c r="B221" s="38"/>
      <c r="D221" s="39"/>
    </row>
    <row r="222" spans="1:25" ht="15.75" customHeight="1" x14ac:dyDescent="0.35">
      <c r="A222" s="38"/>
      <c r="B222" s="38"/>
      <c r="D222" s="39"/>
    </row>
    <row r="223" spans="1:25" ht="15.75" customHeight="1" x14ac:dyDescent="0.35">
      <c r="A223" s="38"/>
      <c r="B223" s="38"/>
      <c r="D223" s="39"/>
    </row>
    <row r="224" spans="1:25" ht="15.75" customHeight="1" x14ac:dyDescent="0.35">
      <c r="A224" s="38"/>
      <c r="B224" s="38"/>
      <c r="D224" s="39"/>
    </row>
    <row r="225" spans="1:4" ht="15.75" customHeight="1" x14ac:dyDescent="0.35">
      <c r="A225" s="38"/>
      <c r="B225" s="38"/>
      <c r="D225" s="39"/>
    </row>
    <row r="226" spans="1:4" ht="15.75" customHeight="1" x14ac:dyDescent="0.35">
      <c r="A226" s="38"/>
      <c r="B226" s="38"/>
      <c r="D226" s="39"/>
    </row>
    <row r="227" spans="1:4" ht="15.75" customHeight="1" x14ac:dyDescent="0.35">
      <c r="A227" s="38"/>
      <c r="B227" s="38"/>
      <c r="D227" s="39"/>
    </row>
    <row r="228" spans="1:4" ht="15.75" customHeight="1" x14ac:dyDescent="0.35">
      <c r="A228" s="38"/>
      <c r="B228" s="38"/>
      <c r="D228" s="39"/>
    </row>
    <row r="229" spans="1:4" ht="15.75" customHeight="1" x14ac:dyDescent="0.35">
      <c r="A229" s="38"/>
      <c r="B229" s="38"/>
      <c r="D229" s="39"/>
    </row>
    <row r="230" spans="1:4" ht="15.75" customHeight="1" x14ac:dyDescent="0.35">
      <c r="A230" s="38"/>
      <c r="B230" s="38"/>
      <c r="D230" s="39"/>
    </row>
    <row r="231" spans="1:4" ht="15.75" customHeight="1" x14ac:dyDescent="0.35"/>
    <row r="232" spans="1:4" ht="15.75" customHeight="1" x14ac:dyDescent="0.35"/>
    <row r="233" spans="1:4" ht="15.75" customHeight="1" x14ac:dyDescent="0.35"/>
    <row r="234" spans="1:4" ht="15.75" customHeight="1" x14ac:dyDescent="0.35"/>
    <row r="235" spans="1:4" ht="15.75" customHeight="1" x14ac:dyDescent="0.35"/>
    <row r="236" spans="1:4" ht="15.75" customHeight="1" x14ac:dyDescent="0.35"/>
    <row r="237" spans="1:4" ht="15.75" customHeight="1" x14ac:dyDescent="0.35"/>
    <row r="238" spans="1:4" ht="15.75" customHeight="1" x14ac:dyDescent="0.35"/>
    <row r="239" spans="1:4" ht="15.75" customHeight="1" x14ac:dyDescent="0.35"/>
    <row r="240" spans="1:4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1ST TERM 2023-2024</vt:lpstr>
      <vt:lpstr>1ST TERM PAYMENT SHEET</vt:lpstr>
      <vt:lpstr>2ND TERM 2023-2024</vt:lpstr>
      <vt:lpstr>2ND TERM PAYMENT SHEET</vt:lpstr>
      <vt:lpstr>3RD TERM 2023-2024</vt:lpstr>
      <vt:lpstr>3RD TERM PAYMENT SHEET</vt:lpstr>
      <vt:lpstr>1ST TERM 2024-2025</vt:lpstr>
      <vt:lpstr>1ST TERM LOG 2024-2025</vt:lpstr>
      <vt:lpstr>2ND TERM 2024-2025 </vt:lpstr>
      <vt:lpstr>2ND TERM LOG 2024-2025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dcterms:created xsi:type="dcterms:W3CDTF">2022-01-11T08:30:00Z</dcterms:created>
  <dcterms:modified xsi:type="dcterms:W3CDTF">2024-12-12T11:04:43Z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