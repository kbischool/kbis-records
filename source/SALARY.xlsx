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DF07478F-448C-4135-92D2-372FF45328D3}" xr6:coauthVersionLast="47" xr6:coauthVersionMax="47" xr10:uidLastSave="{00000000-0000-0000-0000-000000000000}"/>
  <bookViews>
    <workbookView xWindow="-120" yWindow="-120" windowWidth="24240" windowHeight="13020" firstSheet="6" activeTab="7" xr2:uid="{00000000-000D-0000-FFFF-FFFF00000000}"/>
  </bookViews>
  <sheets>
    <sheet name="2022 STAFF SALARY" sheetId="1" r:id="rId1"/>
    <sheet name="2023 STAFF SALARY" sheetId="2" r:id="rId2"/>
    <sheet name="2024 STAFF SALARY" sheetId="3" r:id="rId3"/>
    <sheet name="2025 PRIMARY STAFF" sheetId="4" r:id="rId4"/>
    <sheet name="2025 SECONDARY STAFF" sheetId="5" r:id="rId5"/>
    <sheet name="2025 SUPPORT STAFF" sheetId="6" r:id="rId6"/>
    <sheet name="2026 PRIMARY STAFF" sheetId="7" r:id="rId7"/>
    <sheet name="2026 SECONDARY STAFF" sheetId="8" r:id="rId8"/>
    <sheet name="2026 SUPPORT STAFF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JsJTF45UsdFUnZl1KhCamed0OTWlzBjASlQnaaL2rEc="/>
    </ext>
  </extLst>
</workbook>
</file>

<file path=xl/calcChain.xml><?xml version="1.0" encoding="utf-8"?>
<calcChain xmlns="http://schemas.openxmlformats.org/spreadsheetml/2006/main">
  <c r="G75" i="8" l="1"/>
  <c r="I74" i="8"/>
  <c r="H42" i="9"/>
  <c r="F42" i="9"/>
  <c r="D42" i="9"/>
  <c r="E41" i="9"/>
  <c r="G41" i="9" s="1"/>
  <c r="I41" i="9" s="1"/>
  <c r="E40" i="9"/>
  <c r="G40" i="9" s="1"/>
  <c r="I40" i="9" s="1"/>
  <c r="E39" i="9"/>
  <c r="H83" i="8"/>
  <c r="F83" i="8"/>
  <c r="D83" i="8"/>
  <c r="E82" i="8"/>
  <c r="G82" i="8" s="1"/>
  <c r="I82" i="8" s="1"/>
  <c r="E81" i="8"/>
  <c r="G81" i="8" s="1"/>
  <c r="I81" i="8" s="1"/>
  <c r="E80" i="8"/>
  <c r="G80" i="8" s="1"/>
  <c r="I80" i="8" s="1"/>
  <c r="E79" i="8"/>
  <c r="G79" i="8" s="1"/>
  <c r="I79" i="8" s="1"/>
  <c r="E78" i="8"/>
  <c r="G78" i="8" s="1"/>
  <c r="I78" i="8" s="1"/>
  <c r="E77" i="8"/>
  <c r="G77" i="8" s="1"/>
  <c r="I77" i="8" s="1"/>
  <c r="E76" i="8"/>
  <c r="G76" i="8" s="1"/>
  <c r="I76" i="8" s="1"/>
  <c r="E75" i="8"/>
  <c r="E74" i="8"/>
  <c r="G74" i="8" s="1"/>
  <c r="E73" i="8"/>
  <c r="H89" i="7"/>
  <c r="F89" i="7"/>
  <c r="D89" i="7"/>
  <c r="E88" i="7"/>
  <c r="G88" i="7" s="1"/>
  <c r="I88" i="7" s="1"/>
  <c r="E87" i="7"/>
  <c r="G87" i="7" s="1"/>
  <c r="I87" i="7" s="1"/>
  <c r="E86" i="7"/>
  <c r="G86" i="7" s="1"/>
  <c r="I86" i="7" s="1"/>
  <c r="E85" i="7"/>
  <c r="G85" i="7" s="1"/>
  <c r="I85" i="7" s="1"/>
  <c r="E84" i="7"/>
  <c r="G84" i="7" s="1"/>
  <c r="I84" i="7" s="1"/>
  <c r="E83" i="7"/>
  <c r="G83" i="7" s="1"/>
  <c r="I83" i="7" s="1"/>
  <c r="E82" i="7"/>
  <c r="G82" i="7" s="1"/>
  <c r="I82" i="7" s="1"/>
  <c r="E81" i="7"/>
  <c r="G81" i="7" s="1"/>
  <c r="I81" i="7" s="1"/>
  <c r="E80" i="7"/>
  <c r="G80" i="7" s="1"/>
  <c r="I80" i="7" s="1"/>
  <c r="E79" i="7"/>
  <c r="H36" i="9"/>
  <c r="F36" i="9"/>
  <c r="D36" i="9"/>
  <c r="E35" i="9"/>
  <c r="E34" i="9"/>
  <c r="E33" i="9"/>
  <c r="H70" i="8"/>
  <c r="F70" i="8"/>
  <c r="D70" i="8"/>
  <c r="E69" i="8"/>
  <c r="E68" i="8"/>
  <c r="G67" i="8"/>
  <c r="E67" i="8"/>
  <c r="E66" i="8"/>
  <c r="E65" i="8"/>
  <c r="E64" i="8"/>
  <c r="E63" i="8"/>
  <c r="E62" i="8"/>
  <c r="E61" i="8"/>
  <c r="E60" i="8"/>
  <c r="H76" i="7"/>
  <c r="F76" i="7"/>
  <c r="D76" i="7"/>
  <c r="E75" i="7"/>
  <c r="E74" i="7"/>
  <c r="E73" i="7"/>
  <c r="E72" i="7"/>
  <c r="E71" i="7"/>
  <c r="E70" i="7"/>
  <c r="E69" i="7"/>
  <c r="E68" i="7"/>
  <c r="E67" i="7"/>
  <c r="E66" i="7"/>
  <c r="H30" i="9"/>
  <c r="F30" i="9"/>
  <c r="D30" i="9"/>
  <c r="E29" i="9"/>
  <c r="G29" i="9" s="1"/>
  <c r="I29" i="9" s="1"/>
  <c r="E28" i="9"/>
  <c r="E27" i="9"/>
  <c r="G27" i="9" s="1"/>
  <c r="H24" i="9"/>
  <c r="F24" i="9"/>
  <c r="E23" i="9"/>
  <c r="G23" i="9" s="1"/>
  <c r="I23" i="9" s="1"/>
  <c r="D23" i="9"/>
  <c r="E22" i="9"/>
  <c r="G22" i="9" s="1"/>
  <c r="I22" i="9" s="1"/>
  <c r="D22" i="9"/>
  <c r="E21" i="9"/>
  <c r="G21" i="9" s="1"/>
  <c r="D21" i="9"/>
  <c r="D24" i="9" s="1"/>
  <c r="H18" i="9"/>
  <c r="F18" i="9"/>
  <c r="D18" i="9"/>
  <c r="E17" i="9"/>
  <c r="G17" i="9" s="1"/>
  <c r="I17" i="9" s="1"/>
  <c r="G16" i="9"/>
  <c r="I16" i="9" s="1"/>
  <c r="E16" i="9"/>
  <c r="E15" i="9"/>
  <c r="H12" i="9"/>
  <c r="F12" i="9"/>
  <c r="D12" i="9"/>
  <c r="G11" i="9"/>
  <c r="I11" i="9" s="1"/>
  <c r="E11" i="9"/>
  <c r="E10" i="9"/>
  <c r="G9" i="9"/>
  <c r="E9" i="9"/>
  <c r="H6" i="9"/>
  <c r="F6" i="9"/>
  <c r="D6" i="9"/>
  <c r="I5" i="9"/>
  <c r="E5" i="9"/>
  <c r="G5" i="9" s="1"/>
  <c r="G4" i="9"/>
  <c r="I4" i="9" s="1"/>
  <c r="E4" i="9"/>
  <c r="E3" i="9"/>
  <c r="H57" i="8"/>
  <c r="F57" i="8"/>
  <c r="D57" i="8"/>
  <c r="G56" i="8"/>
  <c r="I56" i="8" s="1"/>
  <c r="E56" i="8"/>
  <c r="I55" i="8"/>
  <c r="E55" i="8"/>
  <c r="G55" i="8" s="1"/>
  <c r="G54" i="8"/>
  <c r="I54" i="8" s="1"/>
  <c r="E54" i="8"/>
  <c r="I53" i="8"/>
  <c r="E53" i="8"/>
  <c r="G53" i="8" s="1"/>
  <c r="G52" i="8"/>
  <c r="I52" i="8" s="1"/>
  <c r="E52" i="8"/>
  <c r="I51" i="8"/>
  <c r="E51" i="8"/>
  <c r="G51" i="8" s="1"/>
  <c r="G50" i="8"/>
  <c r="I50" i="8" s="1"/>
  <c r="E50" i="8"/>
  <c r="I49" i="8"/>
  <c r="E49" i="8"/>
  <c r="G49" i="8" s="1"/>
  <c r="G48" i="8"/>
  <c r="I48" i="8" s="1"/>
  <c r="E48" i="8"/>
  <c r="E47" i="8"/>
  <c r="H44" i="8"/>
  <c r="F44" i="8"/>
  <c r="G43" i="8"/>
  <c r="I43" i="8" s="1"/>
  <c r="D43" i="8"/>
  <c r="E43" i="8" s="1"/>
  <c r="D42" i="8"/>
  <c r="E42" i="8" s="1"/>
  <c r="G42" i="8" s="1"/>
  <c r="I42" i="8" s="1"/>
  <c r="G41" i="8"/>
  <c r="I41" i="8" s="1"/>
  <c r="D41" i="8"/>
  <c r="E41" i="8" s="1"/>
  <c r="D40" i="8"/>
  <c r="E40" i="8" s="1"/>
  <c r="G40" i="8" s="1"/>
  <c r="I40" i="8" s="1"/>
  <c r="D39" i="8"/>
  <c r="E39" i="8" s="1"/>
  <c r="G39" i="8" s="1"/>
  <c r="I39" i="8" s="1"/>
  <c r="D38" i="8"/>
  <c r="E38" i="8" s="1"/>
  <c r="G38" i="8" s="1"/>
  <c r="I38" i="8" s="1"/>
  <c r="D37" i="8"/>
  <c r="E37" i="8" s="1"/>
  <c r="G37" i="8" s="1"/>
  <c r="I37" i="8" s="1"/>
  <c r="D36" i="8"/>
  <c r="E36" i="8" s="1"/>
  <c r="H33" i="8"/>
  <c r="F33" i="8"/>
  <c r="D33" i="8"/>
  <c r="G32" i="8"/>
  <c r="I32" i="8" s="1"/>
  <c r="E32" i="8"/>
  <c r="I31" i="8"/>
  <c r="E31" i="8"/>
  <c r="G31" i="8" s="1"/>
  <c r="G30" i="8"/>
  <c r="I30" i="8" s="1"/>
  <c r="E30" i="8"/>
  <c r="I29" i="8"/>
  <c r="E29" i="8"/>
  <c r="G29" i="8" s="1"/>
  <c r="G28" i="8"/>
  <c r="I28" i="8" s="1"/>
  <c r="E28" i="8"/>
  <c r="I27" i="8"/>
  <c r="E27" i="8"/>
  <c r="G27" i="8" s="1"/>
  <c r="G26" i="8"/>
  <c r="I26" i="8" s="1"/>
  <c r="E26" i="8"/>
  <c r="E25" i="8"/>
  <c r="H22" i="8"/>
  <c r="F22" i="8"/>
  <c r="D22" i="8"/>
  <c r="G21" i="8"/>
  <c r="I21" i="8" s="1"/>
  <c r="E21" i="8"/>
  <c r="I20" i="8"/>
  <c r="E20" i="8"/>
  <c r="G20" i="8" s="1"/>
  <c r="G19" i="8"/>
  <c r="I19" i="8" s="1"/>
  <c r="E19" i="8"/>
  <c r="I18" i="8"/>
  <c r="E18" i="8"/>
  <c r="G18" i="8" s="1"/>
  <c r="G17" i="8"/>
  <c r="I17" i="8" s="1"/>
  <c r="E17" i="8"/>
  <c r="I16" i="8"/>
  <c r="E16" i="8"/>
  <c r="G16" i="8" s="1"/>
  <c r="G15" i="8"/>
  <c r="I15" i="8" s="1"/>
  <c r="E15" i="8"/>
  <c r="E14" i="8"/>
  <c r="H11" i="8"/>
  <c r="F11" i="8"/>
  <c r="D11" i="8"/>
  <c r="G10" i="8"/>
  <c r="I10" i="8" s="1"/>
  <c r="E10" i="8"/>
  <c r="E9" i="8"/>
  <c r="G9" i="8" s="1"/>
  <c r="I9" i="8" s="1"/>
  <c r="G8" i="8"/>
  <c r="I8" i="8" s="1"/>
  <c r="E8" i="8"/>
  <c r="E7" i="8"/>
  <c r="G7" i="8" s="1"/>
  <c r="I7" i="8" s="1"/>
  <c r="G6" i="8"/>
  <c r="I6" i="8" s="1"/>
  <c r="E6" i="8"/>
  <c r="E5" i="8"/>
  <c r="G5" i="8" s="1"/>
  <c r="I5" i="8" s="1"/>
  <c r="G4" i="8"/>
  <c r="I4" i="8" s="1"/>
  <c r="E4" i="8"/>
  <c r="E3" i="8"/>
  <c r="H63" i="7"/>
  <c r="F63" i="7"/>
  <c r="D63" i="7"/>
  <c r="G62" i="7"/>
  <c r="I62" i="7" s="1"/>
  <c r="E62" i="7"/>
  <c r="E61" i="7"/>
  <c r="G61" i="7" s="1"/>
  <c r="I61" i="7" s="1"/>
  <c r="G60" i="7"/>
  <c r="I60" i="7" s="1"/>
  <c r="E60" i="7"/>
  <c r="E59" i="7"/>
  <c r="G59" i="7" s="1"/>
  <c r="I59" i="7" s="1"/>
  <c r="G58" i="7"/>
  <c r="I58" i="7" s="1"/>
  <c r="E58" i="7"/>
  <c r="E57" i="7"/>
  <c r="G57" i="7" s="1"/>
  <c r="I57" i="7" s="1"/>
  <c r="G56" i="7"/>
  <c r="I56" i="7" s="1"/>
  <c r="E56" i="7"/>
  <c r="E55" i="7"/>
  <c r="G55" i="7" s="1"/>
  <c r="I55" i="7" s="1"/>
  <c r="G54" i="7"/>
  <c r="I54" i="7" s="1"/>
  <c r="E54" i="7"/>
  <c r="E53" i="7"/>
  <c r="H50" i="7"/>
  <c r="F50" i="7"/>
  <c r="D49" i="7"/>
  <c r="E49" i="7" s="1"/>
  <c r="G49" i="7" s="1"/>
  <c r="I49" i="7" s="1"/>
  <c r="G48" i="7"/>
  <c r="I48" i="7" s="1"/>
  <c r="D48" i="7"/>
  <c r="E48" i="7" s="1"/>
  <c r="D47" i="7"/>
  <c r="E47" i="7" s="1"/>
  <c r="G47" i="7" s="1"/>
  <c r="I47" i="7" s="1"/>
  <c r="G46" i="7"/>
  <c r="I46" i="7" s="1"/>
  <c r="D46" i="7"/>
  <c r="E46" i="7" s="1"/>
  <c r="D45" i="7"/>
  <c r="E45" i="7" s="1"/>
  <c r="G45" i="7" s="1"/>
  <c r="I45" i="7" s="1"/>
  <c r="G44" i="7"/>
  <c r="I44" i="7" s="1"/>
  <c r="D44" i="7"/>
  <c r="E44" i="7" s="1"/>
  <c r="D43" i="7"/>
  <c r="E43" i="7" s="1"/>
  <c r="G43" i="7" s="1"/>
  <c r="I43" i="7" s="1"/>
  <c r="G42" i="7"/>
  <c r="I42" i="7" s="1"/>
  <c r="D42" i="7"/>
  <c r="E42" i="7" s="1"/>
  <c r="D41" i="7"/>
  <c r="E41" i="7" s="1"/>
  <c r="G41" i="7" s="1"/>
  <c r="I41" i="7" s="1"/>
  <c r="G40" i="7"/>
  <c r="D40" i="7"/>
  <c r="E40" i="7" s="1"/>
  <c r="H37" i="7"/>
  <c r="F37" i="7"/>
  <c r="D37" i="7"/>
  <c r="G36" i="7"/>
  <c r="I36" i="7" s="1"/>
  <c r="E36" i="7"/>
  <c r="E35" i="7"/>
  <c r="G35" i="7" s="1"/>
  <c r="I35" i="7" s="1"/>
  <c r="G34" i="7"/>
  <c r="I34" i="7" s="1"/>
  <c r="E34" i="7"/>
  <c r="E33" i="7"/>
  <c r="G33" i="7" s="1"/>
  <c r="I33" i="7" s="1"/>
  <c r="G32" i="7"/>
  <c r="I32" i="7" s="1"/>
  <c r="E32" i="7"/>
  <c r="E31" i="7"/>
  <c r="G31" i="7" s="1"/>
  <c r="I31" i="7" s="1"/>
  <c r="G30" i="7"/>
  <c r="I30" i="7" s="1"/>
  <c r="E30" i="7"/>
  <c r="E29" i="7"/>
  <c r="G29" i="7" s="1"/>
  <c r="I29" i="7" s="1"/>
  <c r="G28" i="7"/>
  <c r="I28" i="7" s="1"/>
  <c r="E28" i="7"/>
  <c r="E27" i="7"/>
  <c r="H24" i="7"/>
  <c r="F24" i="7"/>
  <c r="D24" i="7"/>
  <c r="G23" i="7"/>
  <c r="I23" i="7" s="1"/>
  <c r="E23" i="7"/>
  <c r="E22" i="7"/>
  <c r="G22" i="7" s="1"/>
  <c r="I22" i="7" s="1"/>
  <c r="G21" i="7"/>
  <c r="I21" i="7" s="1"/>
  <c r="E21" i="7"/>
  <c r="E20" i="7"/>
  <c r="G20" i="7" s="1"/>
  <c r="I20" i="7" s="1"/>
  <c r="G19" i="7"/>
  <c r="I19" i="7" s="1"/>
  <c r="E19" i="7"/>
  <c r="E18" i="7"/>
  <c r="G18" i="7" s="1"/>
  <c r="I18" i="7" s="1"/>
  <c r="G17" i="7"/>
  <c r="I17" i="7" s="1"/>
  <c r="E17" i="7"/>
  <c r="E16" i="7"/>
  <c r="G16" i="7" s="1"/>
  <c r="I16" i="7" s="1"/>
  <c r="G15" i="7"/>
  <c r="I15" i="7" s="1"/>
  <c r="E15" i="7"/>
  <c r="E14" i="7"/>
  <c r="H11" i="7"/>
  <c r="F11" i="7"/>
  <c r="D11" i="7"/>
  <c r="G10" i="7"/>
  <c r="I10" i="7" s="1"/>
  <c r="E10" i="7"/>
  <c r="E9" i="7"/>
  <c r="G9" i="7" s="1"/>
  <c r="I9" i="7" s="1"/>
  <c r="G8" i="7"/>
  <c r="I8" i="7" s="1"/>
  <c r="E8" i="7"/>
  <c r="E7" i="7"/>
  <c r="G7" i="7" s="1"/>
  <c r="I7" i="7" s="1"/>
  <c r="G6" i="7"/>
  <c r="I6" i="7" s="1"/>
  <c r="E6" i="7"/>
  <c r="E5" i="7"/>
  <c r="G5" i="7" s="1"/>
  <c r="I5" i="7" s="1"/>
  <c r="G4" i="7"/>
  <c r="I4" i="7" s="1"/>
  <c r="E4" i="7"/>
  <c r="E3" i="7"/>
  <c r="H73" i="6"/>
  <c r="F73" i="6"/>
  <c r="D73" i="6"/>
  <c r="G72" i="6"/>
  <c r="I72" i="6" s="1"/>
  <c r="E72" i="6"/>
  <c r="I71" i="6"/>
  <c r="E71" i="6"/>
  <c r="G71" i="6" s="1"/>
  <c r="G70" i="6"/>
  <c r="E70" i="6"/>
  <c r="E73" i="6" s="1"/>
  <c r="I69" i="6"/>
  <c r="G69" i="6"/>
  <c r="H67" i="6"/>
  <c r="F67" i="6"/>
  <c r="D67" i="6"/>
  <c r="I66" i="6"/>
  <c r="E66" i="6"/>
  <c r="G66" i="6" s="1"/>
  <c r="E65" i="6"/>
  <c r="G65" i="6" s="1"/>
  <c r="I65" i="6" s="1"/>
  <c r="E64" i="6"/>
  <c r="I63" i="6"/>
  <c r="G63" i="6"/>
  <c r="H61" i="6"/>
  <c r="G61" i="6"/>
  <c r="F61" i="6"/>
  <c r="D61" i="6"/>
  <c r="G60" i="6"/>
  <c r="I60" i="6" s="1"/>
  <c r="E60" i="6"/>
  <c r="E59" i="6"/>
  <c r="G59" i="6" s="1"/>
  <c r="I59" i="6" s="1"/>
  <c r="I58" i="6"/>
  <c r="E58" i="6"/>
  <c r="G58" i="6" s="1"/>
  <c r="G57" i="6"/>
  <c r="I57" i="6" s="1"/>
  <c r="H55" i="6"/>
  <c r="F55" i="6"/>
  <c r="D55" i="6"/>
  <c r="I54" i="6"/>
  <c r="G54" i="6"/>
  <c r="E54" i="6"/>
  <c r="G53" i="6"/>
  <c r="I53" i="6" s="1"/>
  <c r="E53" i="6"/>
  <c r="E52" i="6"/>
  <c r="I51" i="6"/>
  <c r="G51" i="6"/>
  <c r="H49" i="6"/>
  <c r="F49" i="6"/>
  <c r="D49" i="6"/>
  <c r="I48" i="6"/>
  <c r="E48" i="6"/>
  <c r="G48" i="6" s="1"/>
  <c r="G47" i="6"/>
  <c r="I47" i="6" s="1"/>
  <c r="E47" i="6"/>
  <c r="E46" i="6"/>
  <c r="G45" i="6"/>
  <c r="I45" i="6" s="1"/>
  <c r="E45" i="6"/>
  <c r="I44" i="6"/>
  <c r="G44" i="6"/>
  <c r="H42" i="6"/>
  <c r="F42" i="6"/>
  <c r="D42" i="6"/>
  <c r="E41" i="6"/>
  <c r="G41" i="6" s="1"/>
  <c r="I41" i="6" s="1"/>
  <c r="I40" i="6"/>
  <c r="G40" i="6"/>
  <c r="E40" i="6"/>
  <c r="I39" i="6"/>
  <c r="G39" i="6"/>
  <c r="E39" i="6"/>
  <c r="E38" i="6"/>
  <c r="G38" i="6" s="1"/>
  <c r="I37" i="6"/>
  <c r="G37" i="6"/>
  <c r="H35" i="6"/>
  <c r="F35" i="6"/>
  <c r="D35" i="6"/>
  <c r="I34" i="6"/>
  <c r="E34" i="6"/>
  <c r="G34" i="6" s="1"/>
  <c r="G33" i="6"/>
  <c r="I33" i="6" s="1"/>
  <c r="E33" i="6"/>
  <c r="E32" i="6"/>
  <c r="G31" i="6"/>
  <c r="I31" i="6" s="1"/>
  <c r="E31" i="6"/>
  <c r="I30" i="6"/>
  <c r="G30" i="6"/>
  <c r="H28" i="6"/>
  <c r="F28" i="6"/>
  <c r="D28" i="6"/>
  <c r="E27" i="6"/>
  <c r="G27" i="6" s="1"/>
  <c r="I27" i="6" s="1"/>
  <c r="I26" i="6"/>
  <c r="G26" i="6"/>
  <c r="E26" i="6"/>
  <c r="G25" i="6"/>
  <c r="I25" i="6" s="1"/>
  <c r="E25" i="6"/>
  <c r="E24" i="6"/>
  <c r="G24" i="6" s="1"/>
  <c r="I23" i="6"/>
  <c r="G23" i="6"/>
  <c r="H21" i="6"/>
  <c r="F21" i="6"/>
  <c r="D21" i="6"/>
  <c r="I20" i="6"/>
  <c r="E20" i="6"/>
  <c r="G20" i="6" s="1"/>
  <c r="G19" i="6"/>
  <c r="I19" i="6" s="1"/>
  <c r="E19" i="6"/>
  <c r="E18" i="6"/>
  <c r="G17" i="6"/>
  <c r="I17" i="6" s="1"/>
  <c r="E17" i="6"/>
  <c r="I16" i="6"/>
  <c r="G16" i="6"/>
  <c r="H14" i="6"/>
  <c r="F14" i="6"/>
  <c r="D14" i="6"/>
  <c r="E13" i="6"/>
  <c r="G13" i="6" s="1"/>
  <c r="I13" i="6" s="1"/>
  <c r="I12" i="6"/>
  <c r="G12" i="6"/>
  <c r="E12" i="6"/>
  <c r="G11" i="6"/>
  <c r="I11" i="6" s="1"/>
  <c r="E11" i="6"/>
  <c r="E10" i="6"/>
  <c r="G10" i="6" s="1"/>
  <c r="I9" i="6"/>
  <c r="G9" i="6"/>
  <c r="H7" i="6"/>
  <c r="F7" i="6"/>
  <c r="D7" i="6"/>
  <c r="I6" i="6"/>
  <c r="E6" i="6"/>
  <c r="G6" i="6" s="1"/>
  <c r="G5" i="6"/>
  <c r="I5" i="6" s="1"/>
  <c r="E5" i="6"/>
  <c r="E4" i="6"/>
  <c r="G3" i="6"/>
  <c r="I3" i="6" s="1"/>
  <c r="E3" i="6"/>
  <c r="H121" i="5"/>
  <c r="F121" i="5"/>
  <c r="D121" i="5"/>
  <c r="I120" i="5"/>
  <c r="E120" i="5"/>
  <c r="G120" i="5" s="1"/>
  <c r="E119" i="5"/>
  <c r="G119" i="5" s="1"/>
  <c r="I119" i="5" s="1"/>
  <c r="E118" i="5"/>
  <c r="G118" i="5" s="1"/>
  <c r="I118" i="5" s="1"/>
  <c r="G117" i="5"/>
  <c r="I117" i="5" s="1"/>
  <c r="E117" i="5"/>
  <c r="G116" i="5"/>
  <c r="I116" i="5" s="1"/>
  <c r="E116" i="5"/>
  <c r="E115" i="5"/>
  <c r="G115" i="5" s="1"/>
  <c r="I115" i="5" s="1"/>
  <c r="E114" i="5"/>
  <c r="G113" i="5"/>
  <c r="I113" i="5" s="1"/>
  <c r="E113" i="5"/>
  <c r="I112" i="5"/>
  <c r="G112" i="5"/>
  <c r="H110" i="5"/>
  <c r="F110" i="5"/>
  <c r="D110" i="5"/>
  <c r="E109" i="5"/>
  <c r="G109" i="5" s="1"/>
  <c r="I109" i="5" s="1"/>
  <c r="G108" i="5"/>
  <c r="I108" i="5" s="1"/>
  <c r="E108" i="5"/>
  <c r="E107" i="5"/>
  <c r="G107" i="5" s="1"/>
  <c r="I107" i="5" s="1"/>
  <c r="G106" i="5"/>
  <c r="I106" i="5" s="1"/>
  <c r="E106" i="5"/>
  <c r="E105" i="5"/>
  <c r="G105" i="5" s="1"/>
  <c r="I105" i="5" s="1"/>
  <c r="E104" i="5"/>
  <c r="G104" i="5" s="1"/>
  <c r="I103" i="5"/>
  <c r="E103" i="5"/>
  <c r="G103" i="5" s="1"/>
  <c r="G102" i="5"/>
  <c r="I102" i="5" s="1"/>
  <c r="E102" i="5"/>
  <c r="I101" i="5"/>
  <c r="E101" i="5"/>
  <c r="G101" i="5" s="1"/>
  <c r="G100" i="5"/>
  <c r="I100" i="5" s="1"/>
  <c r="H98" i="5"/>
  <c r="F98" i="5"/>
  <c r="D98" i="5"/>
  <c r="E97" i="5"/>
  <c r="G97" i="5" s="1"/>
  <c r="I97" i="5" s="1"/>
  <c r="E96" i="5"/>
  <c r="G96" i="5" s="1"/>
  <c r="I96" i="5" s="1"/>
  <c r="G95" i="5"/>
  <c r="I95" i="5" s="1"/>
  <c r="E95" i="5"/>
  <c r="E94" i="5"/>
  <c r="G94" i="5" s="1"/>
  <c r="I94" i="5" s="1"/>
  <c r="E93" i="5"/>
  <c r="G93" i="5" s="1"/>
  <c r="I93" i="5" s="1"/>
  <c r="E92" i="5"/>
  <c r="G92" i="5" s="1"/>
  <c r="I92" i="5" s="1"/>
  <c r="G91" i="5"/>
  <c r="I91" i="5" s="1"/>
  <c r="E91" i="5"/>
  <c r="E90" i="5"/>
  <c r="G90" i="5" s="1"/>
  <c r="I90" i="5" s="1"/>
  <c r="E89" i="5"/>
  <c r="G89" i="5" s="1"/>
  <c r="I88" i="5"/>
  <c r="G88" i="5"/>
  <c r="H86" i="5"/>
  <c r="F86" i="5"/>
  <c r="D86" i="5"/>
  <c r="E85" i="5"/>
  <c r="G85" i="5" s="1"/>
  <c r="I85" i="5" s="1"/>
  <c r="G84" i="5"/>
  <c r="I84" i="5" s="1"/>
  <c r="E84" i="5"/>
  <c r="E83" i="5"/>
  <c r="G83" i="5" s="1"/>
  <c r="I83" i="5" s="1"/>
  <c r="G82" i="5"/>
  <c r="I82" i="5" s="1"/>
  <c r="E82" i="5"/>
  <c r="E81" i="5"/>
  <c r="G81" i="5" s="1"/>
  <c r="I81" i="5" s="1"/>
  <c r="G80" i="5"/>
  <c r="I80" i="5" s="1"/>
  <c r="E80" i="5"/>
  <c r="E79" i="5"/>
  <c r="G79" i="5" s="1"/>
  <c r="I79" i="5" s="1"/>
  <c r="E78" i="5"/>
  <c r="G78" i="5" s="1"/>
  <c r="I78" i="5" s="1"/>
  <c r="E77" i="5"/>
  <c r="G76" i="5"/>
  <c r="I76" i="5" s="1"/>
  <c r="H74" i="5"/>
  <c r="F74" i="5"/>
  <c r="D74" i="5"/>
  <c r="I73" i="5"/>
  <c r="G73" i="5"/>
  <c r="E73" i="5"/>
  <c r="G72" i="5"/>
  <c r="I72" i="5" s="1"/>
  <c r="E72" i="5"/>
  <c r="E71" i="5"/>
  <c r="I70" i="5"/>
  <c r="G70" i="5"/>
  <c r="H68" i="5"/>
  <c r="F68" i="5"/>
  <c r="D68" i="5"/>
  <c r="I67" i="5"/>
  <c r="E67" i="5"/>
  <c r="G67" i="5" s="1"/>
  <c r="G66" i="5"/>
  <c r="I66" i="5" s="1"/>
  <c r="E66" i="5"/>
  <c r="I65" i="5"/>
  <c r="E65" i="5"/>
  <c r="G65" i="5" s="1"/>
  <c r="E64" i="5"/>
  <c r="G64" i="5" s="1"/>
  <c r="I64" i="5" s="1"/>
  <c r="E63" i="5"/>
  <c r="G63" i="5" s="1"/>
  <c r="I63" i="5" s="1"/>
  <c r="G62" i="5"/>
  <c r="I62" i="5" s="1"/>
  <c r="E62" i="5"/>
  <c r="G61" i="5"/>
  <c r="I61" i="5" s="1"/>
  <c r="E61" i="5"/>
  <c r="E60" i="5"/>
  <c r="I59" i="5"/>
  <c r="G59" i="5"/>
  <c r="H57" i="5"/>
  <c r="F57" i="5"/>
  <c r="D57" i="5"/>
  <c r="E56" i="5"/>
  <c r="G56" i="5" s="1"/>
  <c r="I56" i="5" s="1"/>
  <c r="G55" i="5"/>
  <c r="I55" i="5" s="1"/>
  <c r="E55" i="5"/>
  <c r="E54" i="5"/>
  <c r="G54" i="5" s="1"/>
  <c r="I54" i="5" s="1"/>
  <c r="E53" i="5"/>
  <c r="G53" i="5" s="1"/>
  <c r="I53" i="5" s="1"/>
  <c r="E52" i="5"/>
  <c r="G52" i="5" s="1"/>
  <c r="I52" i="5" s="1"/>
  <c r="G51" i="5"/>
  <c r="I51" i="5" s="1"/>
  <c r="E51" i="5"/>
  <c r="E50" i="5"/>
  <c r="G50" i="5" s="1"/>
  <c r="I50" i="5" s="1"/>
  <c r="E49" i="5"/>
  <c r="E57" i="5" s="1"/>
  <c r="I48" i="5"/>
  <c r="G48" i="5"/>
  <c r="H46" i="5"/>
  <c r="F46" i="5"/>
  <c r="D46" i="5"/>
  <c r="E45" i="5"/>
  <c r="G45" i="5" s="1"/>
  <c r="I45" i="5" s="1"/>
  <c r="G44" i="5"/>
  <c r="I44" i="5" s="1"/>
  <c r="E44" i="5"/>
  <c r="E43" i="5"/>
  <c r="G43" i="5" s="1"/>
  <c r="I43" i="5" s="1"/>
  <c r="G42" i="5"/>
  <c r="I42" i="5" s="1"/>
  <c r="E42" i="5"/>
  <c r="E41" i="5"/>
  <c r="G41" i="5" s="1"/>
  <c r="I41" i="5" s="1"/>
  <c r="G40" i="5"/>
  <c r="I40" i="5" s="1"/>
  <c r="E40" i="5"/>
  <c r="E39" i="5"/>
  <c r="G39" i="5" s="1"/>
  <c r="I39" i="5" s="1"/>
  <c r="E38" i="5"/>
  <c r="I37" i="5"/>
  <c r="G37" i="5"/>
  <c r="H35" i="5"/>
  <c r="F35" i="5"/>
  <c r="D35" i="5"/>
  <c r="E34" i="5"/>
  <c r="G34" i="5" s="1"/>
  <c r="I34" i="5" s="1"/>
  <c r="G33" i="5"/>
  <c r="I33" i="5" s="1"/>
  <c r="E33" i="5"/>
  <c r="E32" i="5"/>
  <c r="G32" i="5" s="1"/>
  <c r="I32" i="5" s="1"/>
  <c r="E31" i="5"/>
  <c r="G31" i="5" s="1"/>
  <c r="I31" i="5" s="1"/>
  <c r="E30" i="5"/>
  <c r="G30" i="5" s="1"/>
  <c r="I30" i="5" s="1"/>
  <c r="I29" i="5"/>
  <c r="G29" i="5"/>
  <c r="H27" i="5"/>
  <c r="F27" i="5"/>
  <c r="D27" i="5"/>
  <c r="G26" i="5"/>
  <c r="I26" i="5" s="1"/>
  <c r="E26" i="5"/>
  <c r="I25" i="5"/>
  <c r="E25" i="5"/>
  <c r="G25" i="5" s="1"/>
  <c r="E24" i="5"/>
  <c r="G24" i="5" s="1"/>
  <c r="I24" i="5" s="1"/>
  <c r="E23" i="5"/>
  <c r="G23" i="5" s="1"/>
  <c r="I23" i="5" s="1"/>
  <c r="I22" i="5"/>
  <c r="G22" i="5"/>
  <c r="E22" i="5"/>
  <c r="E21" i="5"/>
  <c r="E27" i="5" s="1"/>
  <c r="G20" i="5"/>
  <c r="I20" i="5" s="1"/>
  <c r="H18" i="5"/>
  <c r="F18" i="5"/>
  <c r="D18" i="5"/>
  <c r="E17" i="5"/>
  <c r="G17" i="5" s="1"/>
  <c r="I17" i="5" s="1"/>
  <c r="E16" i="5"/>
  <c r="G16" i="5" s="1"/>
  <c r="I16" i="5" s="1"/>
  <c r="I15" i="5"/>
  <c r="G15" i="5"/>
  <c r="E15" i="5"/>
  <c r="E14" i="5"/>
  <c r="G14" i="5" s="1"/>
  <c r="I14" i="5" s="1"/>
  <c r="E13" i="5"/>
  <c r="G13" i="5" s="1"/>
  <c r="I13" i="5" s="1"/>
  <c r="E12" i="5"/>
  <c r="G11" i="5"/>
  <c r="I11" i="5" s="1"/>
  <c r="H9" i="5"/>
  <c r="F9" i="5"/>
  <c r="D9" i="5"/>
  <c r="G8" i="5"/>
  <c r="I8" i="5" s="1"/>
  <c r="E8" i="5"/>
  <c r="G7" i="5"/>
  <c r="I7" i="5" s="1"/>
  <c r="E7" i="5"/>
  <c r="E6" i="5"/>
  <c r="G6" i="5" s="1"/>
  <c r="I6" i="5" s="1"/>
  <c r="E5" i="5"/>
  <c r="G5" i="5" s="1"/>
  <c r="I5" i="5" s="1"/>
  <c r="G4" i="5"/>
  <c r="I4" i="5" s="1"/>
  <c r="E4" i="5"/>
  <c r="E3" i="5"/>
  <c r="H133" i="4"/>
  <c r="F133" i="4"/>
  <c r="D133" i="4"/>
  <c r="G132" i="4"/>
  <c r="I132" i="4" s="1"/>
  <c r="E132" i="4"/>
  <c r="G131" i="4"/>
  <c r="I131" i="4" s="1"/>
  <c r="E131" i="4"/>
  <c r="E130" i="4"/>
  <c r="G130" i="4" s="1"/>
  <c r="I130" i="4" s="1"/>
  <c r="E129" i="4"/>
  <c r="G129" i="4" s="1"/>
  <c r="I129" i="4" s="1"/>
  <c r="G128" i="4"/>
  <c r="I128" i="4" s="1"/>
  <c r="E128" i="4"/>
  <c r="E127" i="4"/>
  <c r="G127" i="4" s="1"/>
  <c r="I127" i="4" s="1"/>
  <c r="E126" i="4"/>
  <c r="G126" i="4" s="1"/>
  <c r="E125" i="4"/>
  <c r="G125" i="4" s="1"/>
  <c r="I125" i="4" s="1"/>
  <c r="I124" i="4"/>
  <c r="G124" i="4"/>
  <c r="E124" i="4"/>
  <c r="G123" i="4"/>
  <c r="I123" i="4" s="1"/>
  <c r="H121" i="4"/>
  <c r="F121" i="4"/>
  <c r="E121" i="4"/>
  <c r="D121" i="4"/>
  <c r="E120" i="4"/>
  <c r="G120" i="4" s="1"/>
  <c r="I120" i="4" s="1"/>
  <c r="E119" i="4"/>
  <c r="G119" i="4" s="1"/>
  <c r="I119" i="4" s="1"/>
  <c r="I118" i="4"/>
  <c r="E118" i="4"/>
  <c r="G118" i="4" s="1"/>
  <c r="G117" i="4"/>
  <c r="I117" i="4" s="1"/>
  <c r="E117" i="4"/>
  <c r="I116" i="4"/>
  <c r="E116" i="4"/>
  <c r="G116" i="4" s="1"/>
  <c r="E115" i="4"/>
  <c r="G115" i="4" s="1"/>
  <c r="I115" i="4" s="1"/>
  <c r="E114" i="4"/>
  <c r="G114" i="4" s="1"/>
  <c r="I114" i="4" s="1"/>
  <c r="G113" i="4"/>
  <c r="I113" i="4" s="1"/>
  <c r="E113" i="4"/>
  <c r="G112" i="4"/>
  <c r="E112" i="4"/>
  <c r="G111" i="4"/>
  <c r="I111" i="4" s="1"/>
  <c r="H109" i="4"/>
  <c r="F109" i="4"/>
  <c r="D109" i="4"/>
  <c r="E108" i="4"/>
  <c r="G108" i="4" s="1"/>
  <c r="I108" i="4" s="1"/>
  <c r="E107" i="4"/>
  <c r="G107" i="4" s="1"/>
  <c r="I107" i="4" s="1"/>
  <c r="G106" i="4"/>
  <c r="I106" i="4" s="1"/>
  <c r="E106" i="4"/>
  <c r="G105" i="4"/>
  <c r="I105" i="4" s="1"/>
  <c r="E105" i="4"/>
  <c r="E104" i="4"/>
  <c r="G104" i="4" s="1"/>
  <c r="I104" i="4" s="1"/>
  <c r="E103" i="4"/>
  <c r="G103" i="4" s="1"/>
  <c r="I103" i="4" s="1"/>
  <c r="G102" i="4"/>
  <c r="I102" i="4" s="1"/>
  <c r="E102" i="4"/>
  <c r="E101" i="4"/>
  <c r="G101" i="4" s="1"/>
  <c r="I101" i="4" s="1"/>
  <c r="E100" i="4"/>
  <c r="I99" i="4"/>
  <c r="G99" i="4"/>
  <c r="H97" i="4"/>
  <c r="F97" i="4"/>
  <c r="D97" i="4"/>
  <c r="E96" i="4"/>
  <c r="G96" i="4" s="1"/>
  <c r="I96" i="4" s="1"/>
  <c r="G95" i="4"/>
  <c r="I95" i="4" s="1"/>
  <c r="E95" i="4"/>
  <c r="E94" i="4"/>
  <c r="G94" i="4" s="1"/>
  <c r="I94" i="4" s="1"/>
  <c r="E93" i="4"/>
  <c r="G93" i="4" s="1"/>
  <c r="I93" i="4" s="1"/>
  <c r="E92" i="4"/>
  <c r="G92" i="4" s="1"/>
  <c r="I92" i="4" s="1"/>
  <c r="G91" i="4"/>
  <c r="I91" i="4" s="1"/>
  <c r="E91" i="4"/>
  <c r="E90" i="4"/>
  <c r="G90" i="4" s="1"/>
  <c r="I90" i="4" s="1"/>
  <c r="E89" i="4"/>
  <c r="E97" i="4" s="1"/>
  <c r="E88" i="4"/>
  <c r="G88" i="4" s="1"/>
  <c r="G87" i="4"/>
  <c r="I87" i="4" s="1"/>
  <c r="H85" i="4"/>
  <c r="F85" i="4"/>
  <c r="D85" i="4"/>
  <c r="G84" i="4"/>
  <c r="I84" i="4" s="1"/>
  <c r="E84" i="4"/>
  <c r="E83" i="4"/>
  <c r="G83" i="4" s="1"/>
  <c r="I83" i="4" s="1"/>
  <c r="G82" i="4"/>
  <c r="I82" i="4" s="1"/>
  <c r="E82" i="4"/>
  <c r="E81" i="4"/>
  <c r="G81" i="4" s="1"/>
  <c r="I81" i="4" s="1"/>
  <c r="G80" i="4"/>
  <c r="E80" i="4"/>
  <c r="G79" i="4"/>
  <c r="I79" i="4" s="1"/>
  <c r="H77" i="4"/>
  <c r="F77" i="4"/>
  <c r="D77" i="4"/>
  <c r="E76" i="4"/>
  <c r="G76" i="4" s="1"/>
  <c r="I76" i="4" s="1"/>
  <c r="E75" i="4"/>
  <c r="G75" i="4" s="1"/>
  <c r="I75" i="4" s="1"/>
  <c r="E74" i="4"/>
  <c r="G74" i="4" s="1"/>
  <c r="I74" i="4" s="1"/>
  <c r="G73" i="4"/>
  <c r="I73" i="4" s="1"/>
  <c r="E73" i="4"/>
  <c r="E72" i="4"/>
  <c r="G72" i="4" s="1"/>
  <c r="I72" i="4" s="1"/>
  <c r="G71" i="4"/>
  <c r="I71" i="4" s="1"/>
  <c r="E71" i="4"/>
  <c r="E70" i="4"/>
  <c r="G70" i="4" s="1"/>
  <c r="I70" i="4" s="1"/>
  <c r="G69" i="4"/>
  <c r="E69" i="4"/>
  <c r="G68" i="4"/>
  <c r="I68" i="4" s="1"/>
  <c r="H66" i="4"/>
  <c r="F66" i="4"/>
  <c r="D66" i="4"/>
  <c r="G65" i="4"/>
  <c r="I65" i="4" s="1"/>
  <c r="E65" i="4"/>
  <c r="E64" i="4"/>
  <c r="G64" i="4" s="1"/>
  <c r="I64" i="4" s="1"/>
  <c r="E63" i="4"/>
  <c r="G63" i="4" s="1"/>
  <c r="I63" i="4" s="1"/>
  <c r="G62" i="4"/>
  <c r="I62" i="4" s="1"/>
  <c r="E62" i="4"/>
  <c r="E61" i="4"/>
  <c r="G61" i="4" s="1"/>
  <c r="I61" i="4" s="1"/>
  <c r="E60" i="4"/>
  <c r="G60" i="4" s="1"/>
  <c r="I60" i="4" s="1"/>
  <c r="I66" i="4" s="1"/>
  <c r="E59" i="4"/>
  <c r="G59" i="4" s="1"/>
  <c r="I59" i="4" s="1"/>
  <c r="I58" i="4"/>
  <c r="G58" i="4"/>
  <c r="E58" i="4"/>
  <c r="G57" i="4"/>
  <c r="I57" i="4" s="1"/>
  <c r="H55" i="4"/>
  <c r="F55" i="4"/>
  <c r="D55" i="4"/>
  <c r="E54" i="4"/>
  <c r="G54" i="4" s="1"/>
  <c r="I54" i="4" s="1"/>
  <c r="E53" i="4"/>
  <c r="G53" i="4" s="1"/>
  <c r="I53" i="4" s="1"/>
  <c r="I52" i="4"/>
  <c r="E52" i="4"/>
  <c r="G52" i="4" s="1"/>
  <c r="G51" i="4"/>
  <c r="I51" i="4" s="1"/>
  <c r="E51" i="4"/>
  <c r="I50" i="4"/>
  <c r="E50" i="4"/>
  <c r="G50" i="4" s="1"/>
  <c r="E49" i="4"/>
  <c r="G49" i="4" s="1"/>
  <c r="I49" i="4" s="1"/>
  <c r="E48" i="4"/>
  <c r="G48" i="4" s="1"/>
  <c r="I48" i="4" s="1"/>
  <c r="G47" i="4"/>
  <c r="E47" i="4"/>
  <c r="G46" i="4"/>
  <c r="I46" i="4" s="1"/>
  <c r="H44" i="4"/>
  <c r="F44" i="4"/>
  <c r="D44" i="4"/>
  <c r="E43" i="4"/>
  <c r="G43" i="4" s="1"/>
  <c r="I43" i="4" s="1"/>
  <c r="E42" i="4"/>
  <c r="G42" i="4" s="1"/>
  <c r="I42" i="4" s="1"/>
  <c r="E41" i="4"/>
  <c r="G41" i="4" s="1"/>
  <c r="I41" i="4" s="1"/>
  <c r="G40" i="4"/>
  <c r="I40" i="4" s="1"/>
  <c r="E40" i="4"/>
  <c r="E39" i="4"/>
  <c r="G39" i="4" s="1"/>
  <c r="I39" i="4" s="1"/>
  <c r="E38" i="4"/>
  <c r="E44" i="4" s="1"/>
  <c r="E37" i="4"/>
  <c r="G37" i="4" s="1"/>
  <c r="I37" i="4" s="1"/>
  <c r="G36" i="4"/>
  <c r="E36" i="4"/>
  <c r="G35" i="4"/>
  <c r="I35" i="4" s="1"/>
  <c r="H33" i="4"/>
  <c r="F33" i="4"/>
  <c r="D33" i="4"/>
  <c r="E32" i="4"/>
  <c r="G32" i="4" s="1"/>
  <c r="I32" i="4" s="1"/>
  <c r="E31" i="4"/>
  <c r="G31" i="4" s="1"/>
  <c r="I31" i="4" s="1"/>
  <c r="E30" i="4"/>
  <c r="G30" i="4" s="1"/>
  <c r="I30" i="4" s="1"/>
  <c r="G29" i="4"/>
  <c r="I29" i="4" s="1"/>
  <c r="E29" i="4"/>
  <c r="E28" i="4"/>
  <c r="G28" i="4" s="1"/>
  <c r="I28" i="4" s="1"/>
  <c r="G27" i="4"/>
  <c r="I27" i="4" s="1"/>
  <c r="E27" i="4"/>
  <c r="E26" i="4"/>
  <c r="G26" i="4" s="1"/>
  <c r="I26" i="4" s="1"/>
  <c r="G25" i="4"/>
  <c r="E25" i="4"/>
  <c r="G24" i="4"/>
  <c r="I24" i="4" s="1"/>
  <c r="H22" i="4"/>
  <c r="F22" i="4"/>
  <c r="D22" i="4"/>
  <c r="G21" i="4"/>
  <c r="I21" i="4" s="1"/>
  <c r="E21" i="4"/>
  <c r="E20" i="4"/>
  <c r="G20" i="4" s="1"/>
  <c r="I20" i="4" s="1"/>
  <c r="I19" i="4"/>
  <c r="E19" i="4"/>
  <c r="G19" i="4" s="1"/>
  <c r="G18" i="4"/>
  <c r="I18" i="4" s="1"/>
  <c r="E18" i="4"/>
  <c r="I17" i="4"/>
  <c r="E17" i="4"/>
  <c r="G17" i="4" s="1"/>
  <c r="E16" i="4"/>
  <c r="G16" i="4" s="1"/>
  <c r="I16" i="4" s="1"/>
  <c r="E15" i="4"/>
  <c r="G15" i="4" s="1"/>
  <c r="I15" i="4" s="1"/>
  <c r="I14" i="4"/>
  <c r="I22" i="4" s="1"/>
  <c r="G14" i="4"/>
  <c r="E14" i="4"/>
  <c r="G13" i="4"/>
  <c r="I13" i="4" s="1"/>
  <c r="H11" i="4"/>
  <c r="F11" i="4"/>
  <c r="E11" i="4"/>
  <c r="D11" i="4"/>
  <c r="E10" i="4"/>
  <c r="G10" i="4" s="1"/>
  <c r="I10" i="4" s="1"/>
  <c r="E9" i="4"/>
  <c r="G9" i="4" s="1"/>
  <c r="I9" i="4" s="1"/>
  <c r="I8" i="4"/>
  <c r="E8" i="4"/>
  <c r="G8" i="4" s="1"/>
  <c r="G7" i="4"/>
  <c r="I7" i="4" s="1"/>
  <c r="E7" i="4"/>
  <c r="I6" i="4"/>
  <c r="E6" i="4"/>
  <c r="G6" i="4" s="1"/>
  <c r="E5" i="4"/>
  <c r="G5" i="4" s="1"/>
  <c r="I5" i="4" s="1"/>
  <c r="E4" i="4"/>
  <c r="G4" i="4" s="1"/>
  <c r="I4" i="4" s="1"/>
  <c r="G3" i="4"/>
  <c r="E3" i="4"/>
  <c r="I228" i="3"/>
  <c r="H228" i="3"/>
  <c r="G228" i="3"/>
  <c r="D228" i="3"/>
  <c r="J227" i="3"/>
  <c r="E227" i="3"/>
  <c r="E226" i="3"/>
  <c r="J226" i="3" s="1"/>
  <c r="J225" i="3"/>
  <c r="E225" i="3"/>
  <c r="E224" i="3"/>
  <c r="J224" i="3" s="1"/>
  <c r="J223" i="3"/>
  <c r="E223" i="3"/>
  <c r="E222" i="3"/>
  <c r="J222" i="3" s="1"/>
  <c r="J221" i="3"/>
  <c r="E221" i="3"/>
  <c r="E220" i="3"/>
  <c r="J220" i="3" s="1"/>
  <c r="J219" i="3"/>
  <c r="E219" i="3"/>
  <c r="E218" i="3"/>
  <c r="J218" i="3" s="1"/>
  <c r="J217" i="3"/>
  <c r="E217" i="3"/>
  <c r="E216" i="3"/>
  <c r="J216" i="3" s="1"/>
  <c r="J215" i="3"/>
  <c r="E215" i="3"/>
  <c r="E214" i="3"/>
  <c r="J214" i="3" s="1"/>
  <c r="J213" i="3"/>
  <c r="E213" i="3"/>
  <c r="E212" i="3"/>
  <c r="J212" i="3" s="1"/>
  <c r="J211" i="3"/>
  <c r="E211" i="3"/>
  <c r="E210" i="3"/>
  <c r="J209" i="3"/>
  <c r="E209" i="3"/>
  <c r="I206" i="3"/>
  <c r="H206" i="3"/>
  <c r="G206" i="3"/>
  <c r="D206" i="3"/>
  <c r="J205" i="3"/>
  <c r="E205" i="3"/>
  <c r="E204" i="3"/>
  <c r="J204" i="3" s="1"/>
  <c r="J203" i="3"/>
  <c r="E203" i="3"/>
  <c r="E202" i="3"/>
  <c r="J202" i="3" s="1"/>
  <c r="J201" i="3"/>
  <c r="E201" i="3"/>
  <c r="E200" i="3"/>
  <c r="J200" i="3" s="1"/>
  <c r="J199" i="3"/>
  <c r="E199" i="3"/>
  <c r="E198" i="3"/>
  <c r="J198" i="3" s="1"/>
  <c r="J197" i="3"/>
  <c r="E197" i="3"/>
  <c r="E196" i="3"/>
  <c r="J196" i="3" s="1"/>
  <c r="J195" i="3"/>
  <c r="E195" i="3"/>
  <c r="E194" i="3"/>
  <c r="J194" i="3" s="1"/>
  <c r="J193" i="3"/>
  <c r="E193" i="3"/>
  <c r="E192" i="3"/>
  <c r="J192" i="3" s="1"/>
  <c r="J191" i="3"/>
  <c r="E191" i="3"/>
  <c r="E190" i="3"/>
  <c r="J190" i="3" s="1"/>
  <c r="J189" i="3"/>
  <c r="E189" i="3"/>
  <c r="E188" i="3"/>
  <c r="J188" i="3" s="1"/>
  <c r="J187" i="3"/>
  <c r="E187" i="3"/>
  <c r="E186" i="3"/>
  <c r="I183" i="3"/>
  <c r="H183" i="3"/>
  <c r="G183" i="3"/>
  <c r="E183" i="3"/>
  <c r="D183" i="3"/>
  <c r="E182" i="3"/>
  <c r="J182" i="3" s="1"/>
  <c r="J181" i="3"/>
  <c r="E181" i="3"/>
  <c r="E180" i="3"/>
  <c r="J180" i="3" s="1"/>
  <c r="J179" i="3"/>
  <c r="E179" i="3"/>
  <c r="E178" i="3"/>
  <c r="J178" i="3" s="1"/>
  <c r="J177" i="3"/>
  <c r="E177" i="3"/>
  <c r="E176" i="3"/>
  <c r="J176" i="3" s="1"/>
  <c r="J175" i="3"/>
  <c r="E175" i="3"/>
  <c r="E174" i="3"/>
  <c r="J174" i="3" s="1"/>
  <c r="J173" i="3"/>
  <c r="E173" i="3"/>
  <c r="E172" i="3"/>
  <c r="J172" i="3" s="1"/>
  <c r="J171" i="3"/>
  <c r="E171" i="3"/>
  <c r="E170" i="3"/>
  <c r="J170" i="3" s="1"/>
  <c r="J169" i="3"/>
  <c r="E169" i="3"/>
  <c r="E168" i="3"/>
  <c r="J168" i="3" s="1"/>
  <c r="J167" i="3"/>
  <c r="J183" i="3" s="1"/>
  <c r="E167" i="3"/>
  <c r="E166" i="3"/>
  <c r="J166" i="3" s="1"/>
  <c r="J165" i="3"/>
  <c r="E165" i="3"/>
  <c r="E164" i="3"/>
  <c r="J164" i="3" s="1"/>
  <c r="J163" i="3"/>
  <c r="E163" i="3"/>
  <c r="I160" i="3"/>
  <c r="H160" i="3"/>
  <c r="G160" i="3"/>
  <c r="D160" i="3"/>
  <c r="J159" i="3"/>
  <c r="E159" i="3"/>
  <c r="E158" i="3"/>
  <c r="J158" i="3" s="1"/>
  <c r="J157" i="3"/>
  <c r="E157" i="3"/>
  <c r="E156" i="3"/>
  <c r="J156" i="3" s="1"/>
  <c r="J155" i="3"/>
  <c r="E155" i="3"/>
  <c r="E154" i="3"/>
  <c r="J154" i="3" s="1"/>
  <c r="J153" i="3"/>
  <c r="E153" i="3"/>
  <c r="E152" i="3"/>
  <c r="J152" i="3" s="1"/>
  <c r="J151" i="3"/>
  <c r="E151" i="3"/>
  <c r="E150" i="3"/>
  <c r="J150" i="3" s="1"/>
  <c r="J149" i="3"/>
  <c r="E149" i="3"/>
  <c r="E148" i="3"/>
  <c r="J148" i="3" s="1"/>
  <c r="J147" i="3"/>
  <c r="E146" i="3"/>
  <c r="J146" i="3" s="1"/>
  <c r="E145" i="3"/>
  <c r="J145" i="3" s="1"/>
  <c r="E144" i="3"/>
  <c r="J143" i="3"/>
  <c r="I140" i="3"/>
  <c r="H140" i="3"/>
  <c r="G140" i="3"/>
  <c r="F140" i="3"/>
  <c r="D140" i="3"/>
  <c r="E140" i="3" s="1"/>
  <c r="J139" i="3"/>
  <c r="E139" i="3"/>
  <c r="E138" i="3"/>
  <c r="J138" i="3" s="1"/>
  <c r="E137" i="3"/>
  <c r="J137" i="3" s="1"/>
  <c r="E136" i="3"/>
  <c r="J136" i="3" s="1"/>
  <c r="E135" i="3"/>
  <c r="J135" i="3" s="1"/>
  <c r="E134" i="3"/>
  <c r="E133" i="3"/>
  <c r="I132" i="3"/>
  <c r="H132" i="3"/>
  <c r="G132" i="3"/>
  <c r="F132" i="3"/>
  <c r="E132" i="3"/>
  <c r="D132" i="3"/>
  <c r="E131" i="3"/>
  <c r="J131" i="3" s="1"/>
  <c r="J130" i="3"/>
  <c r="E130" i="3"/>
  <c r="E129" i="3"/>
  <c r="J129" i="3" s="1"/>
  <c r="J128" i="3"/>
  <c r="E128" i="3"/>
  <c r="E127" i="3"/>
  <c r="J127" i="3" s="1"/>
  <c r="J126" i="3"/>
  <c r="E126" i="3"/>
  <c r="E125" i="3"/>
  <c r="J125" i="3" s="1"/>
  <c r="J124" i="3"/>
  <c r="E124" i="3"/>
  <c r="E123" i="3"/>
  <c r="J123" i="3" s="1"/>
  <c r="J122" i="3"/>
  <c r="E122" i="3"/>
  <c r="E121" i="3"/>
  <c r="J121" i="3" s="1"/>
  <c r="J120" i="3"/>
  <c r="E120" i="3"/>
  <c r="E119" i="3"/>
  <c r="J119" i="3" s="1"/>
  <c r="J118" i="3"/>
  <c r="E118" i="3"/>
  <c r="E117" i="3"/>
  <c r="J117" i="3" s="1"/>
  <c r="J116" i="3"/>
  <c r="E116" i="3"/>
  <c r="E115" i="3"/>
  <c r="J115" i="3" s="1"/>
  <c r="J114" i="3"/>
  <c r="J132" i="3" s="1"/>
  <c r="E114" i="3"/>
  <c r="E113" i="3"/>
  <c r="E112" i="3"/>
  <c r="I111" i="3"/>
  <c r="H111" i="3"/>
  <c r="G111" i="3"/>
  <c r="F111" i="3"/>
  <c r="D111" i="3"/>
  <c r="E111" i="3" s="1"/>
  <c r="E110" i="3"/>
  <c r="J110" i="3" s="1"/>
  <c r="E109" i="3"/>
  <c r="J109" i="3" s="1"/>
  <c r="J108" i="3"/>
  <c r="E108" i="3"/>
  <c r="E107" i="3"/>
  <c r="J107" i="3" s="1"/>
  <c r="J106" i="3"/>
  <c r="E106" i="3"/>
  <c r="E105" i="3"/>
  <c r="J105" i="3" s="1"/>
  <c r="J104" i="3"/>
  <c r="E104" i="3"/>
  <c r="E103" i="3"/>
  <c r="J103" i="3" s="1"/>
  <c r="E102" i="3"/>
  <c r="J102" i="3" s="1"/>
  <c r="E101" i="3"/>
  <c r="J101" i="3" s="1"/>
  <c r="J100" i="3"/>
  <c r="E100" i="3"/>
  <c r="E99" i="3"/>
  <c r="J99" i="3" s="1"/>
  <c r="J98" i="3"/>
  <c r="E98" i="3"/>
  <c r="E97" i="3"/>
  <c r="J97" i="3" s="1"/>
  <c r="E96" i="3"/>
  <c r="J96" i="3" s="1"/>
  <c r="E95" i="3"/>
  <c r="J95" i="3" s="1"/>
  <c r="E94" i="3"/>
  <c r="J94" i="3" s="1"/>
  <c r="E93" i="3"/>
  <c r="J93" i="3" s="1"/>
  <c r="J92" i="3"/>
  <c r="E92" i="3"/>
  <c r="E91" i="3"/>
  <c r="E90" i="3"/>
  <c r="I89" i="3"/>
  <c r="H89" i="3"/>
  <c r="G89" i="3"/>
  <c r="F89" i="3"/>
  <c r="E89" i="3"/>
  <c r="D89" i="3"/>
  <c r="E88" i="3"/>
  <c r="J88" i="3" s="1"/>
  <c r="J87" i="3"/>
  <c r="E87" i="3"/>
  <c r="E86" i="3"/>
  <c r="J86" i="3" s="1"/>
  <c r="J85" i="3"/>
  <c r="E85" i="3"/>
  <c r="E84" i="3"/>
  <c r="J84" i="3" s="1"/>
  <c r="J83" i="3"/>
  <c r="E83" i="3"/>
  <c r="E82" i="3"/>
  <c r="J82" i="3" s="1"/>
  <c r="J81" i="3"/>
  <c r="E81" i="3"/>
  <c r="E80" i="3"/>
  <c r="J80" i="3" s="1"/>
  <c r="J79" i="3"/>
  <c r="E79" i="3"/>
  <c r="E78" i="3"/>
  <c r="J78" i="3" s="1"/>
  <c r="J77" i="3"/>
  <c r="E77" i="3"/>
  <c r="E76" i="3"/>
  <c r="J76" i="3" s="1"/>
  <c r="J75" i="3"/>
  <c r="E75" i="3"/>
  <c r="E74" i="3"/>
  <c r="J74" i="3" s="1"/>
  <c r="J89" i="3" s="1"/>
  <c r="J73" i="3"/>
  <c r="E73" i="3"/>
  <c r="E72" i="3"/>
  <c r="J72" i="3" s="1"/>
  <c r="J71" i="3"/>
  <c r="E71" i="3"/>
  <c r="E70" i="3"/>
  <c r="E69" i="3"/>
  <c r="I68" i="3"/>
  <c r="H68" i="3"/>
  <c r="G68" i="3"/>
  <c r="F68" i="3"/>
  <c r="D68" i="3"/>
  <c r="E68" i="3" s="1"/>
  <c r="E67" i="3"/>
  <c r="J67" i="3" s="1"/>
  <c r="E66" i="3"/>
  <c r="J66" i="3" s="1"/>
  <c r="J65" i="3"/>
  <c r="E65" i="3"/>
  <c r="E64" i="3"/>
  <c r="J64" i="3" s="1"/>
  <c r="E63" i="3"/>
  <c r="J63" i="3" s="1"/>
  <c r="E62" i="3"/>
  <c r="J62" i="3" s="1"/>
  <c r="E61" i="3"/>
  <c r="E60" i="3"/>
  <c r="I59" i="3"/>
  <c r="H59" i="3"/>
  <c r="G59" i="3"/>
  <c r="F59" i="3"/>
  <c r="D59" i="3"/>
  <c r="E59" i="3" s="1"/>
  <c r="J58" i="3"/>
  <c r="E58" i="3"/>
  <c r="E57" i="3"/>
  <c r="J57" i="3" s="1"/>
  <c r="J56" i="3"/>
  <c r="E56" i="3"/>
  <c r="E55" i="3"/>
  <c r="J55" i="3" s="1"/>
  <c r="J54" i="3"/>
  <c r="E54" i="3"/>
  <c r="E53" i="3"/>
  <c r="J53" i="3" s="1"/>
  <c r="J52" i="3"/>
  <c r="E52" i="3"/>
  <c r="E51" i="3"/>
  <c r="J51" i="3" s="1"/>
  <c r="J50" i="3"/>
  <c r="E50" i="3"/>
  <c r="E49" i="3"/>
  <c r="J49" i="3" s="1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E41" i="3"/>
  <c r="E40" i="3"/>
  <c r="I39" i="3"/>
  <c r="H39" i="3"/>
  <c r="G39" i="3"/>
  <c r="F39" i="3"/>
  <c r="D39" i="3"/>
  <c r="E39" i="3" s="1"/>
  <c r="J38" i="3"/>
  <c r="E38" i="3"/>
  <c r="E37" i="3"/>
  <c r="J37" i="3" s="1"/>
  <c r="E36" i="3"/>
  <c r="J36" i="3" s="1"/>
  <c r="E35" i="3"/>
  <c r="J35" i="3" s="1"/>
  <c r="J34" i="3"/>
  <c r="E34" i="3"/>
  <c r="E33" i="3"/>
  <c r="J33" i="3" s="1"/>
  <c r="J32" i="3"/>
  <c r="E32" i="3"/>
  <c r="E31" i="3"/>
  <c r="J31" i="3" s="1"/>
  <c r="E30" i="3"/>
  <c r="J30" i="3" s="1"/>
  <c r="J29" i="3"/>
  <c r="E29" i="3"/>
  <c r="E28" i="3"/>
  <c r="J28" i="3" s="1"/>
  <c r="J27" i="3"/>
  <c r="E27" i="3"/>
  <c r="E26" i="3"/>
  <c r="J26" i="3" s="1"/>
  <c r="J25" i="3"/>
  <c r="E25" i="3"/>
  <c r="E24" i="3"/>
  <c r="J24" i="3" s="1"/>
  <c r="J23" i="3"/>
  <c r="E23" i="3"/>
  <c r="E22" i="3"/>
  <c r="J22" i="3" s="1"/>
  <c r="I19" i="3"/>
  <c r="H19" i="3"/>
  <c r="G19" i="3"/>
  <c r="F19" i="3"/>
  <c r="D19" i="3"/>
  <c r="E18" i="3"/>
  <c r="J18" i="3" s="1"/>
  <c r="E17" i="3"/>
  <c r="J17" i="3" s="1"/>
  <c r="E16" i="3"/>
  <c r="J16" i="3" s="1"/>
  <c r="E15" i="3"/>
  <c r="J15" i="3" s="1"/>
  <c r="J14" i="3"/>
  <c r="E14" i="3"/>
  <c r="E13" i="3"/>
  <c r="J13" i="3" s="1"/>
  <c r="J12" i="3"/>
  <c r="E12" i="3"/>
  <c r="E11" i="3"/>
  <c r="J11" i="3" s="1"/>
  <c r="E10" i="3"/>
  <c r="J10" i="3" s="1"/>
  <c r="E9" i="3"/>
  <c r="J9" i="3" s="1"/>
  <c r="E8" i="3"/>
  <c r="J8" i="3" s="1"/>
  <c r="E7" i="3"/>
  <c r="J7" i="3" s="1"/>
  <c r="J6" i="3"/>
  <c r="E6" i="3"/>
  <c r="E5" i="3"/>
  <c r="J5" i="3" s="1"/>
  <c r="E4" i="3"/>
  <c r="J4" i="3" s="1"/>
  <c r="E3" i="3"/>
  <c r="J189" i="2"/>
  <c r="I189" i="2"/>
  <c r="H189" i="2"/>
  <c r="G189" i="2"/>
  <c r="E189" i="2"/>
  <c r="M188" i="2"/>
  <c r="F188" i="2"/>
  <c r="K188" i="2" s="1"/>
  <c r="M187" i="2"/>
  <c r="F187" i="2"/>
  <c r="K187" i="2" s="1"/>
  <c r="M186" i="2"/>
  <c r="F186" i="2"/>
  <c r="K186" i="2" s="1"/>
  <c r="M185" i="2"/>
  <c r="K185" i="2"/>
  <c r="F185" i="2"/>
  <c r="M184" i="2"/>
  <c r="F184" i="2"/>
  <c r="K184" i="2" s="1"/>
  <c r="M183" i="2"/>
  <c r="K183" i="2"/>
  <c r="F183" i="2"/>
  <c r="M182" i="2"/>
  <c r="F182" i="2"/>
  <c r="K182" i="2" s="1"/>
  <c r="M181" i="2"/>
  <c r="K181" i="2"/>
  <c r="M180" i="2"/>
  <c r="F180" i="2"/>
  <c r="K180" i="2" s="1"/>
  <c r="M179" i="2"/>
  <c r="F179" i="2"/>
  <c r="K179" i="2" s="1"/>
  <c r="M178" i="2"/>
  <c r="K178" i="2"/>
  <c r="F178" i="2"/>
  <c r="M177" i="2"/>
  <c r="F177" i="2"/>
  <c r="K177" i="2" s="1"/>
  <c r="F176" i="2"/>
  <c r="K176" i="2" s="1"/>
  <c r="F175" i="2"/>
  <c r="K175" i="2" s="1"/>
  <c r="F174" i="2"/>
  <c r="K174" i="2" s="1"/>
  <c r="F173" i="2"/>
  <c r="K173" i="2" s="1"/>
  <c r="F172" i="2"/>
  <c r="K172" i="2" s="1"/>
  <c r="J169" i="2"/>
  <c r="I169" i="2"/>
  <c r="H169" i="2"/>
  <c r="G169" i="2"/>
  <c r="E169" i="2"/>
  <c r="K168" i="2"/>
  <c r="F168" i="2"/>
  <c r="K167" i="2"/>
  <c r="F167" i="2"/>
  <c r="K166" i="2"/>
  <c r="F166" i="2"/>
  <c r="K165" i="2"/>
  <c r="F165" i="2"/>
  <c r="K164" i="2"/>
  <c r="F164" i="2"/>
  <c r="K163" i="2"/>
  <c r="F163" i="2"/>
  <c r="K162" i="2"/>
  <c r="F162" i="2"/>
  <c r="K161" i="2"/>
  <c r="F160" i="2"/>
  <c r="K160" i="2" s="1"/>
  <c r="K159" i="2"/>
  <c r="F159" i="2"/>
  <c r="F158" i="2"/>
  <c r="K158" i="2" s="1"/>
  <c r="F157" i="2"/>
  <c r="K157" i="2" s="1"/>
  <c r="F156" i="2"/>
  <c r="K156" i="2" s="1"/>
  <c r="F155" i="2"/>
  <c r="K155" i="2" s="1"/>
  <c r="F154" i="2"/>
  <c r="K154" i="2" s="1"/>
  <c r="K153" i="2"/>
  <c r="K169" i="2" s="1"/>
  <c r="F153" i="2"/>
  <c r="F152" i="2"/>
  <c r="K152" i="2" s="1"/>
  <c r="J149" i="2"/>
  <c r="I149" i="2"/>
  <c r="H149" i="2"/>
  <c r="G149" i="2"/>
  <c r="E149" i="2"/>
  <c r="F148" i="2"/>
  <c r="K148" i="2" s="1"/>
  <c r="K147" i="2"/>
  <c r="F147" i="2"/>
  <c r="F146" i="2"/>
  <c r="K146" i="2" s="1"/>
  <c r="K145" i="2"/>
  <c r="F145" i="2"/>
  <c r="F144" i="2"/>
  <c r="K144" i="2" s="1"/>
  <c r="K143" i="2"/>
  <c r="F143" i="2"/>
  <c r="F142" i="2"/>
  <c r="K142" i="2" s="1"/>
  <c r="K141" i="2"/>
  <c r="F140" i="2"/>
  <c r="K140" i="2" s="1"/>
  <c r="F139" i="2"/>
  <c r="K139" i="2" s="1"/>
  <c r="F138" i="2"/>
  <c r="K138" i="2" s="1"/>
  <c r="F137" i="2"/>
  <c r="K137" i="2" s="1"/>
  <c r="F136" i="2"/>
  <c r="K136" i="2" s="1"/>
  <c r="K135" i="2"/>
  <c r="F135" i="2"/>
  <c r="F134" i="2"/>
  <c r="K134" i="2" s="1"/>
  <c r="K133" i="2"/>
  <c r="F133" i="2"/>
  <c r="F132" i="2"/>
  <c r="K132" i="2" s="1"/>
  <c r="F131" i="2"/>
  <c r="K131" i="2" s="1"/>
  <c r="K149" i="2" s="1"/>
  <c r="J128" i="2"/>
  <c r="I128" i="2"/>
  <c r="H128" i="2"/>
  <c r="G128" i="2"/>
  <c r="E128" i="2"/>
  <c r="K127" i="2"/>
  <c r="F127" i="2"/>
  <c r="K126" i="2"/>
  <c r="F126" i="2"/>
  <c r="K125" i="2"/>
  <c r="F125" i="2"/>
  <c r="K124" i="2"/>
  <c r="F124" i="2"/>
  <c r="K123" i="2"/>
  <c r="F123" i="2"/>
  <c r="K122" i="2"/>
  <c r="F122" i="2"/>
  <c r="K121" i="2"/>
  <c r="F121" i="2"/>
  <c r="K120" i="2"/>
  <c r="F120" i="2"/>
  <c r="K119" i="2"/>
  <c r="F118" i="2"/>
  <c r="K118" i="2" s="1"/>
  <c r="K117" i="2"/>
  <c r="F117" i="2"/>
  <c r="F116" i="2"/>
  <c r="K116" i="2" s="1"/>
  <c r="F115" i="2"/>
  <c r="K115" i="2" s="1"/>
  <c r="F114" i="2"/>
  <c r="K114" i="2" s="1"/>
  <c r="F113" i="2"/>
  <c r="K113" i="2" s="1"/>
  <c r="F112" i="2"/>
  <c r="K112" i="2" s="1"/>
  <c r="J109" i="2"/>
  <c r="I109" i="2"/>
  <c r="H109" i="2"/>
  <c r="G109" i="2"/>
  <c r="F109" i="2"/>
  <c r="E109" i="2"/>
  <c r="K108" i="2"/>
  <c r="F108" i="2"/>
  <c r="K107" i="2"/>
  <c r="F107" i="2"/>
  <c r="K106" i="2"/>
  <c r="F106" i="2"/>
  <c r="J103" i="2"/>
  <c r="I103" i="2"/>
  <c r="H103" i="2"/>
  <c r="G103" i="2"/>
  <c r="E103" i="2"/>
  <c r="K102" i="2"/>
  <c r="K101" i="2"/>
  <c r="K100" i="2"/>
  <c r="K99" i="2"/>
  <c r="K98" i="2"/>
  <c r="K97" i="2"/>
  <c r="F96" i="2"/>
  <c r="K96" i="2" s="1"/>
  <c r="K95" i="2"/>
  <c r="F95" i="2"/>
  <c r="F94" i="2"/>
  <c r="K94" i="2" s="1"/>
  <c r="K93" i="2"/>
  <c r="K103" i="2" s="1"/>
  <c r="F93" i="2"/>
  <c r="J90" i="2"/>
  <c r="I90" i="2"/>
  <c r="H90" i="2"/>
  <c r="G90" i="2"/>
  <c r="E90" i="2"/>
  <c r="K89" i="2"/>
  <c r="K88" i="2"/>
  <c r="K87" i="2"/>
  <c r="K86" i="2"/>
  <c r="K85" i="2"/>
  <c r="K84" i="2"/>
  <c r="F83" i="2"/>
  <c r="K83" i="2" s="1"/>
  <c r="K82" i="2"/>
  <c r="F82" i="2"/>
  <c r="F81" i="2"/>
  <c r="F90" i="2" s="1"/>
  <c r="K80" i="2"/>
  <c r="F80" i="2"/>
  <c r="J77" i="2"/>
  <c r="I77" i="2"/>
  <c r="H77" i="2"/>
  <c r="G77" i="2"/>
  <c r="E77" i="2"/>
  <c r="K76" i="2"/>
  <c r="K75" i="2"/>
  <c r="K74" i="2"/>
  <c r="K73" i="2"/>
  <c r="K72" i="2"/>
  <c r="K71" i="2"/>
  <c r="F70" i="2"/>
  <c r="K70" i="2" s="1"/>
  <c r="F69" i="2"/>
  <c r="K69" i="2" s="1"/>
  <c r="F68" i="2"/>
  <c r="K68" i="2" s="1"/>
  <c r="F67" i="2"/>
  <c r="K67" i="2" s="1"/>
  <c r="F66" i="2"/>
  <c r="K66" i="2" s="1"/>
  <c r="J63" i="2"/>
  <c r="I63" i="2"/>
  <c r="H63" i="2"/>
  <c r="G63" i="2"/>
  <c r="E63" i="2"/>
  <c r="K62" i="2"/>
  <c r="F61" i="2"/>
  <c r="K61" i="2" s="1"/>
  <c r="F60" i="2"/>
  <c r="K60" i="2" s="1"/>
  <c r="F59" i="2"/>
  <c r="K59" i="2" s="1"/>
  <c r="F58" i="2"/>
  <c r="K58" i="2" s="1"/>
  <c r="F57" i="2"/>
  <c r="K57" i="2" s="1"/>
  <c r="K56" i="2"/>
  <c r="F56" i="2"/>
  <c r="F55" i="2"/>
  <c r="K55" i="2" s="1"/>
  <c r="J52" i="2"/>
  <c r="I52" i="2"/>
  <c r="H52" i="2"/>
  <c r="E52" i="2"/>
  <c r="K51" i="2"/>
  <c r="K50" i="2"/>
  <c r="F50" i="2"/>
  <c r="K49" i="2"/>
  <c r="G48" i="2"/>
  <c r="K48" i="2" s="1"/>
  <c r="F48" i="2"/>
  <c r="F47" i="2"/>
  <c r="K47" i="2" s="1"/>
  <c r="F46" i="2"/>
  <c r="K45" i="2"/>
  <c r="F44" i="2"/>
  <c r="K44" i="2" s="1"/>
  <c r="F43" i="2"/>
  <c r="K43" i="2" s="1"/>
  <c r="F42" i="2"/>
  <c r="K42" i="2" s="1"/>
  <c r="K52" i="2" s="1"/>
  <c r="K41" i="2"/>
  <c r="F41" i="2"/>
  <c r="F52" i="2" s="1"/>
  <c r="J38" i="2"/>
  <c r="I38" i="2"/>
  <c r="H38" i="2"/>
  <c r="E38" i="2"/>
  <c r="K37" i="2"/>
  <c r="G36" i="2"/>
  <c r="F36" i="2"/>
  <c r="K35" i="2"/>
  <c r="G35" i="2"/>
  <c r="G38" i="2" s="1"/>
  <c r="F35" i="2"/>
  <c r="F34" i="2"/>
  <c r="K34" i="2" s="1"/>
  <c r="F33" i="2"/>
  <c r="K33" i="2" s="1"/>
  <c r="K32" i="2"/>
  <c r="F32" i="2"/>
  <c r="K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F38" i="2" s="1"/>
  <c r="J19" i="2"/>
  <c r="I19" i="2"/>
  <c r="H19" i="2"/>
  <c r="E19" i="2"/>
  <c r="K18" i="2"/>
  <c r="K17" i="2"/>
  <c r="F17" i="2"/>
  <c r="G16" i="2"/>
  <c r="G19" i="2" s="1"/>
  <c r="F16" i="2"/>
  <c r="F15" i="2"/>
  <c r="K15" i="2" s="1"/>
  <c r="F14" i="2"/>
  <c r="K14" i="2" s="1"/>
  <c r="F13" i="2"/>
  <c r="K13" i="2" s="1"/>
  <c r="K12" i="2"/>
  <c r="K11" i="2"/>
  <c r="F11" i="2"/>
  <c r="K10" i="2"/>
  <c r="F10" i="2"/>
  <c r="K9" i="2"/>
  <c r="F9" i="2"/>
  <c r="K8" i="2"/>
  <c r="F8" i="2"/>
  <c r="K7" i="2"/>
  <c r="F7" i="2"/>
  <c r="K6" i="2"/>
  <c r="F6" i="2"/>
  <c r="K5" i="2"/>
  <c r="F5" i="2"/>
  <c r="K4" i="2"/>
  <c r="F4" i="2"/>
  <c r="K3" i="2"/>
  <c r="F3" i="2"/>
  <c r="F19" i="2" s="1"/>
  <c r="K247" i="1"/>
  <c r="J247" i="1"/>
  <c r="I247" i="1"/>
  <c r="F247" i="1"/>
  <c r="L246" i="1"/>
  <c r="L245" i="1"/>
  <c r="G245" i="1"/>
  <c r="L244" i="1"/>
  <c r="H244" i="1"/>
  <c r="G244" i="1"/>
  <c r="H243" i="1"/>
  <c r="H247" i="1" s="1"/>
  <c r="G243" i="1"/>
  <c r="L242" i="1"/>
  <c r="G242" i="1"/>
  <c r="L241" i="1"/>
  <c r="G241" i="1"/>
  <c r="L240" i="1"/>
  <c r="G240" i="1"/>
  <c r="L239" i="1"/>
  <c r="G238" i="1"/>
  <c r="L238" i="1" s="1"/>
  <c r="L237" i="1"/>
  <c r="G237" i="1"/>
  <c r="G236" i="1"/>
  <c r="L236" i="1" s="1"/>
  <c r="L235" i="1"/>
  <c r="G235" i="1"/>
  <c r="G234" i="1"/>
  <c r="L234" i="1" s="1"/>
  <c r="G233" i="1"/>
  <c r="L233" i="1" s="1"/>
  <c r="G232" i="1"/>
  <c r="L232" i="1" s="1"/>
  <c r="G231" i="1"/>
  <c r="L231" i="1" s="1"/>
  <c r="G230" i="1"/>
  <c r="L230" i="1" s="1"/>
  <c r="K227" i="1"/>
  <c r="J227" i="1"/>
  <c r="I227" i="1"/>
  <c r="F227" i="1"/>
  <c r="L226" i="1"/>
  <c r="L225" i="1"/>
  <c r="H225" i="1"/>
  <c r="G225" i="1"/>
  <c r="L224" i="1"/>
  <c r="H224" i="1"/>
  <c r="H227" i="1" s="1"/>
  <c r="G224" i="1"/>
  <c r="G223" i="1"/>
  <c r="L223" i="1" s="1"/>
  <c r="L222" i="1"/>
  <c r="G222" i="1"/>
  <c r="G221" i="1"/>
  <c r="L221" i="1" s="1"/>
  <c r="G220" i="1"/>
  <c r="L220" i="1" s="1"/>
  <c r="G219" i="1"/>
  <c r="L219" i="1" s="1"/>
  <c r="G218" i="1"/>
  <c r="L218" i="1" s="1"/>
  <c r="G217" i="1"/>
  <c r="L217" i="1" s="1"/>
  <c r="L216" i="1"/>
  <c r="G216" i="1"/>
  <c r="G215" i="1"/>
  <c r="L215" i="1" s="1"/>
  <c r="L214" i="1"/>
  <c r="G214" i="1"/>
  <c r="G213" i="1"/>
  <c r="L213" i="1" s="1"/>
  <c r="G212" i="1"/>
  <c r="G227" i="1" s="1"/>
  <c r="K209" i="1"/>
  <c r="J209" i="1"/>
  <c r="I209" i="1"/>
  <c r="F209" i="1"/>
  <c r="L208" i="1"/>
  <c r="G208" i="1"/>
  <c r="L207" i="1"/>
  <c r="H207" i="1"/>
  <c r="G207" i="1"/>
  <c r="H206" i="1"/>
  <c r="H209" i="1" s="1"/>
  <c r="G206" i="1"/>
  <c r="L206" i="1" s="1"/>
  <c r="L205" i="1"/>
  <c r="G205" i="1"/>
  <c r="G204" i="1"/>
  <c r="L204" i="1" s="1"/>
  <c r="L203" i="1"/>
  <c r="G203" i="1"/>
  <c r="L202" i="1"/>
  <c r="L201" i="1"/>
  <c r="L200" i="1"/>
  <c r="G200" i="1"/>
  <c r="G199" i="1"/>
  <c r="L199" i="1" s="1"/>
  <c r="L198" i="1"/>
  <c r="G198" i="1"/>
  <c r="G197" i="1"/>
  <c r="L197" i="1" s="1"/>
  <c r="L196" i="1"/>
  <c r="G196" i="1"/>
  <c r="G195" i="1"/>
  <c r="L195" i="1" s="1"/>
  <c r="L194" i="1"/>
  <c r="G194" i="1"/>
  <c r="G193" i="1"/>
  <c r="G209" i="1" s="1"/>
  <c r="L192" i="1"/>
  <c r="G192" i="1"/>
  <c r="K189" i="1"/>
  <c r="J189" i="1"/>
  <c r="I189" i="1"/>
  <c r="F189" i="1"/>
  <c r="G188" i="1"/>
  <c r="L188" i="1" s="1"/>
  <c r="G187" i="1"/>
  <c r="L187" i="1" s="1"/>
  <c r="G186" i="1"/>
  <c r="L186" i="1" s="1"/>
  <c r="G185" i="1"/>
  <c r="L185" i="1" s="1"/>
  <c r="H184" i="1"/>
  <c r="H189" i="1" s="1"/>
  <c r="G184" i="1"/>
  <c r="H183" i="1"/>
  <c r="G183" i="1"/>
  <c r="L183" i="1" s="1"/>
  <c r="L182" i="1"/>
  <c r="G182" i="1"/>
  <c r="G181" i="1"/>
  <c r="L181" i="1" s="1"/>
  <c r="L180" i="1"/>
  <c r="G180" i="1"/>
  <c r="L179" i="1"/>
  <c r="L178" i="1"/>
  <c r="L177" i="1"/>
  <c r="G177" i="1"/>
  <c r="G176" i="1"/>
  <c r="L176" i="1" s="1"/>
  <c r="G175" i="1"/>
  <c r="L175" i="1" s="1"/>
  <c r="G174" i="1"/>
  <c r="L174" i="1" s="1"/>
  <c r="G173" i="1"/>
  <c r="L173" i="1" s="1"/>
  <c r="G172" i="1"/>
  <c r="L172" i="1" s="1"/>
  <c r="L171" i="1"/>
  <c r="G171" i="1"/>
  <c r="G170" i="1"/>
  <c r="L170" i="1" s="1"/>
  <c r="L169" i="1"/>
  <c r="G169" i="1"/>
  <c r="K166" i="1"/>
  <c r="J166" i="1"/>
  <c r="I166" i="1"/>
  <c r="H166" i="1"/>
  <c r="F166" i="1"/>
  <c r="L165" i="1"/>
  <c r="G165" i="1"/>
  <c r="L164" i="1"/>
  <c r="L163" i="1"/>
  <c r="L162" i="1"/>
  <c r="G162" i="1"/>
  <c r="G161" i="1"/>
  <c r="L161" i="1" s="1"/>
  <c r="L160" i="1"/>
  <c r="G160" i="1"/>
  <c r="G159" i="1"/>
  <c r="L159" i="1" s="1"/>
  <c r="L158" i="1"/>
  <c r="G158" i="1"/>
  <c r="G157" i="1"/>
  <c r="L157" i="1" s="1"/>
  <c r="L156" i="1"/>
  <c r="G156" i="1"/>
  <c r="G155" i="1"/>
  <c r="G166" i="1" s="1"/>
  <c r="L154" i="1"/>
  <c r="G154" i="1"/>
  <c r="K151" i="1"/>
  <c r="J151" i="1"/>
  <c r="I151" i="1"/>
  <c r="H151" i="1"/>
  <c r="F151" i="1"/>
  <c r="G150" i="1"/>
  <c r="L150" i="1" s="1"/>
  <c r="G149" i="1"/>
  <c r="L149" i="1" s="1"/>
  <c r="L148" i="1"/>
  <c r="L147" i="1"/>
  <c r="G146" i="1"/>
  <c r="L146" i="1" s="1"/>
  <c r="G145" i="1"/>
  <c r="L145" i="1" s="1"/>
  <c r="L144" i="1"/>
  <c r="G144" i="1"/>
  <c r="G143" i="1"/>
  <c r="L143" i="1" s="1"/>
  <c r="L142" i="1"/>
  <c r="G142" i="1"/>
  <c r="G141" i="1"/>
  <c r="L141" i="1" s="1"/>
  <c r="G140" i="1"/>
  <c r="L140" i="1" s="1"/>
  <c r="G139" i="1"/>
  <c r="L139" i="1" s="1"/>
  <c r="G138" i="1"/>
  <c r="L138" i="1" s="1"/>
  <c r="G137" i="1"/>
  <c r="L137" i="1" s="1"/>
  <c r="L136" i="1"/>
  <c r="G136" i="1"/>
  <c r="G135" i="1"/>
  <c r="L135" i="1" s="1"/>
  <c r="L134" i="1"/>
  <c r="G134" i="1"/>
  <c r="G133" i="1"/>
  <c r="L133" i="1" s="1"/>
  <c r="G132" i="1"/>
  <c r="G151" i="1" s="1"/>
  <c r="K129" i="1"/>
  <c r="J129" i="1"/>
  <c r="I129" i="1"/>
  <c r="H129" i="1"/>
  <c r="G129" i="1"/>
  <c r="F129" i="1"/>
  <c r="L128" i="1"/>
  <c r="G128" i="1"/>
  <c r="L127" i="1"/>
  <c r="L126" i="1"/>
  <c r="L125" i="1"/>
  <c r="G125" i="1"/>
  <c r="L124" i="1"/>
  <c r="G124" i="1"/>
  <c r="L123" i="1"/>
  <c r="G123" i="1"/>
  <c r="L122" i="1"/>
  <c r="G122" i="1"/>
  <c r="L121" i="1"/>
  <c r="G121" i="1"/>
  <c r="L120" i="1"/>
  <c r="G120" i="1"/>
  <c r="L119" i="1"/>
  <c r="G119" i="1"/>
  <c r="L118" i="1"/>
  <c r="G118" i="1"/>
  <c r="L117" i="1"/>
  <c r="G117" i="1"/>
  <c r="L116" i="1"/>
  <c r="G116" i="1"/>
  <c r="L115" i="1"/>
  <c r="G115" i="1"/>
  <c r="L114" i="1"/>
  <c r="G114" i="1"/>
  <c r="L113" i="1"/>
  <c r="G113" i="1"/>
  <c r="L112" i="1"/>
  <c r="G112" i="1"/>
  <c r="L111" i="1"/>
  <c r="G111" i="1"/>
  <c r="L110" i="1"/>
  <c r="G110" i="1"/>
  <c r="L109" i="1"/>
  <c r="L129" i="1" s="1"/>
  <c r="G109" i="1"/>
  <c r="K106" i="1"/>
  <c r="J106" i="1"/>
  <c r="I106" i="1"/>
  <c r="H106" i="1"/>
  <c r="F106" i="1"/>
  <c r="G105" i="1"/>
  <c r="L105" i="1" s="1"/>
  <c r="L104" i="1"/>
  <c r="L103" i="1"/>
  <c r="G103" i="1"/>
  <c r="L102" i="1"/>
  <c r="G102" i="1"/>
  <c r="L101" i="1"/>
  <c r="G101" i="1"/>
  <c r="L100" i="1"/>
  <c r="G100" i="1"/>
  <c r="L99" i="1"/>
  <c r="G99" i="1"/>
  <c r="L98" i="1"/>
  <c r="G98" i="1"/>
  <c r="L97" i="1"/>
  <c r="G97" i="1"/>
  <c r="L96" i="1"/>
  <c r="G96" i="1"/>
  <c r="L95" i="1"/>
  <c r="G95" i="1"/>
  <c r="L94" i="1"/>
  <c r="G94" i="1"/>
  <c r="L93" i="1"/>
  <c r="G93" i="1"/>
  <c r="L92" i="1"/>
  <c r="G92" i="1"/>
  <c r="L91" i="1"/>
  <c r="G91" i="1"/>
  <c r="L90" i="1"/>
  <c r="G90" i="1"/>
  <c r="L89" i="1"/>
  <c r="G89" i="1"/>
  <c r="L88" i="1"/>
  <c r="L106" i="1" s="1"/>
  <c r="G88" i="1"/>
  <c r="G106" i="1" s="1"/>
  <c r="L87" i="1"/>
  <c r="G87" i="1"/>
  <c r="K84" i="1"/>
  <c r="J84" i="1"/>
  <c r="I84" i="1"/>
  <c r="H84" i="1"/>
  <c r="F84" i="1"/>
  <c r="G83" i="1"/>
  <c r="L83" i="1" s="1"/>
  <c r="L82" i="1"/>
  <c r="G82" i="1"/>
  <c r="G81" i="1"/>
  <c r="L81" i="1" s="1"/>
  <c r="G80" i="1"/>
  <c r="L80" i="1" s="1"/>
  <c r="G79" i="1"/>
  <c r="L79" i="1" s="1"/>
  <c r="G78" i="1"/>
  <c r="L78" i="1" s="1"/>
  <c r="G77" i="1"/>
  <c r="L77" i="1" s="1"/>
  <c r="L76" i="1"/>
  <c r="G76" i="1"/>
  <c r="G75" i="1"/>
  <c r="L75" i="1" s="1"/>
  <c r="L74" i="1"/>
  <c r="G74" i="1"/>
  <c r="G73" i="1"/>
  <c r="L73" i="1" s="1"/>
  <c r="G72" i="1"/>
  <c r="L72" i="1" s="1"/>
  <c r="G71" i="1"/>
  <c r="L71" i="1" s="1"/>
  <c r="G70" i="1"/>
  <c r="L70" i="1" s="1"/>
  <c r="G69" i="1"/>
  <c r="L69" i="1" s="1"/>
  <c r="L84" i="1" s="1"/>
  <c r="K66" i="1"/>
  <c r="J66" i="1"/>
  <c r="I66" i="1"/>
  <c r="H66" i="1"/>
  <c r="G65" i="1"/>
  <c r="L65" i="1" s="1"/>
  <c r="L64" i="1"/>
  <c r="G64" i="1"/>
  <c r="G63" i="1"/>
  <c r="L63" i="1" s="1"/>
  <c r="L62" i="1"/>
  <c r="G62" i="1"/>
  <c r="G61" i="1"/>
  <c r="L61" i="1" s="1"/>
  <c r="L60" i="1"/>
  <c r="G60" i="1"/>
  <c r="G59" i="1"/>
  <c r="L59" i="1" s="1"/>
  <c r="L58" i="1"/>
  <c r="G58" i="1"/>
  <c r="G57" i="1"/>
  <c r="L57" i="1" s="1"/>
  <c r="G56" i="1"/>
  <c r="F56" i="1"/>
  <c r="L56" i="1" s="1"/>
  <c r="L55" i="1"/>
  <c r="G55" i="1"/>
  <c r="F55" i="1"/>
  <c r="G54" i="1"/>
  <c r="L54" i="1" s="1"/>
  <c r="F54" i="1"/>
  <c r="G53" i="1"/>
  <c r="F53" i="1"/>
  <c r="L53" i="1" s="1"/>
  <c r="L52" i="1"/>
  <c r="G52" i="1"/>
  <c r="F52" i="1"/>
  <c r="G51" i="1"/>
  <c r="L51" i="1" s="1"/>
  <c r="F51" i="1"/>
  <c r="G50" i="1"/>
  <c r="F50" i="1"/>
  <c r="L50" i="1" s="1"/>
  <c r="G49" i="1"/>
  <c r="G66" i="1" s="1"/>
  <c r="F49" i="1"/>
  <c r="L48" i="1"/>
  <c r="G48" i="1"/>
  <c r="F48" i="1"/>
  <c r="K45" i="1"/>
  <c r="J45" i="1"/>
  <c r="I45" i="1"/>
  <c r="H45" i="1"/>
  <c r="L44" i="1"/>
  <c r="G44" i="1"/>
  <c r="L43" i="1"/>
  <c r="G43" i="1"/>
  <c r="L42" i="1"/>
  <c r="G42" i="1"/>
  <c r="L41" i="1"/>
  <c r="G41" i="1"/>
  <c r="L40" i="1"/>
  <c r="G40" i="1"/>
  <c r="L39" i="1"/>
  <c r="G39" i="1"/>
  <c r="L38" i="1"/>
  <c r="G38" i="1"/>
  <c r="L37" i="1"/>
  <c r="G37" i="1"/>
  <c r="L36" i="1"/>
  <c r="G36" i="1"/>
  <c r="G35" i="1"/>
  <c r="F35" i="1"/>
  <c r="L35" i="1" s="1"/>
  <c r="L34" i="1"/>
  <c r="G34" i="1"/>
  <c r="F34" i="1"/>
  <c r="L33" i="1"/>
  <c r="G33" i="1"/>
  <c r="F33" i="1"/>
  <c r="G32" i="1"/>
  <c r="F32" i="1"/>
  <c r="L32" i="1" s="1"/>
  <c r="G31" i="1"/>
  <c r="F31" i="1"/>
  <c r="L31" i="1" s="1"/>
  <c r="L30" i="1"/>
  <c r="G30" i="1"/>
  <c r="F30" i="1"/>
  <c r="G29" i="1"/>
  <c r="L29" i="1" s="1"/>
  <c r="F29" i="1"/>
  <c r="G28" i="1"/>
  <c r="F28" i="1"/>
  <c r="L28" i="1" s="1"/>
  <c r="L27" i="1"/>
  <c r="L45" i="1" s="1"/>
  <c r="G27" i="1"/>
  <c r="F27" i="1"/>
  <c r="K24" i="1"/>
  <c r="J24" i="1"/>
  <c r="I24" i="1"/>
  <c r="H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F12" i="1"/>
  <c r="G11" i="1"/>
  <c r="L11" i="1" s="1"/>
  <c r="F11" i="1"/>
  <c r="G10" i="1"/>
  <c r="F10" i="1"/>
  <c r="L10" i="1" s="1"/>
  <c r="G9" i="1"/>
  <c r="G24" i="1" s="1"/>
  <c r="F9" i="1"/>
  <c r="G8" i="1"/>
  <c r="F8" i="1"/>
  <c r="L8" i="1" s="1"/>
  <c r="L7" i="1"/>
  <c r="G7" i="1"/>
  <c r="F7" i="1"/>
  <c r="L6" i="1"/>
  <c r="G6" i="1"/>
  <c r="F6" i="1"/>
  <c r="G5" i="1"/>
  <c r="F5" i="1"/>
  <c r="L5" i="1" s="1"/>
  <c r="G4" i="1"/>
  <c r="F4" i="1"/>
  <c r="L4" i="1" s="1"/>
  <c r="L3" i="1"/>
  <c r="G3" i="1"/>
  <c r="F3" i="1"/>
  <c r="I75" i="8" l="1"/>
  <c r="E42" i="9"/>
  <c r="G39" i="9"/>
  <c r="G73" i="8"/>
  <c r="E83" i="8"/>
  <c r="G79" i="7"/>
  <c r="E89" i="7"/>
  <c r="E36" i="9"/>
  <c r="G35" i="9"/>
  <c r="I35" i="9" s="1"/>
  <c r="G34" i="9"/>
  <c r="I34" i="9" s="1"/>
  <c r="G33" i="9"/>
  <c r="E70" i="8"/>
  <c r="G69" i="8"/>
  <c r="I69" i="8" s="1"/>
  <c r="G68" i="8"/>
  <c r="I68" i="8" s="1"/>
  <c r="I67" i="8"/>
  <c r="G66" i="8"/>
  <c r="I66" i="8" s="1"/>
  <c r="G65" i="8"/>
  <c r="I65" i="8" s="1"/>
  <c r="G64" i="8"/>
  <c r="I64" i="8" s="1"/>
  <c r="G63" i="8"/>
  <c r="I63" i="8" s="1"/>
  <c r="G62" i="8"/>
  <c r="I62" i="8" s="1"/>
  <c r="G61" i="8"/>
  <c r="I61" i="8" s="1"/>
  <c r="G60" i="8"/>
  <c r="E76" i="7"/>
  <c r="G75" i="7"/>
  <c r="I75" i="7" s="1"/>
  <c r="G74" i="7"/>
  <c r="I74" i="7" s="1"/>
  <c r="G73" i="7"/>
  <c r="I73" i="7" s="1"/>
  <c r="G72" i="7"/>
  <c r="I72" i="7" s="1"/>
  <c r="G71" i="7"/>
  <c r="I71" i="7" s="1"/>
  <c r="G70" i="7"/>
  <c r="I70" i="7" s="1"/>
  <c r="G69" i="7"/>
  <c r="I69" i="7" s="1"/>
  <c r="G68" i="7"/>
  <c r="I68" i="7" s="1"/>
  <c r="G67" i="7"/>
  <c r="I67" i="7" s="1"/>
  <c r="G66" i="7"/>
  <c r="L66" i="1"/>
  <c r="K77" i="2"/>
  <c r="G189" i="1"/>
  <c r="G52" i="2"/>
  <c r="F128" i="2"/>
  <c r="G64" i="6"/>
  <c r="E67" i="6"/>
  <c r="G24" i="9"/>
  <c r="I21" i="9"/>
  <c r="I24" i="9" s="1"/>
  <c r="G45" i="1"/>
  <c r="L193" i="1"/>
  <c r="L209" i="1" s="1"/>
  <c r="L212" i="1"/>
  <c r="L227" i="1" s="1"/>
  <c r="K16" i="2"/>
  <c r="K19" i="2" s="1"/>
  <c r="F63" i="2"/>
  <c r="F77" i="2"/>
  <c r="J39" i="3"/>
  <c r="J111" i="3"/>
  <c r="E33" i="4"/>
  <c r="G114" i="5"/>
  <c r="E121" i="5"/>
  <c r="D44" i="8"/>
  <c r="E24" i="9"/>
  <c r="F24" i="1"/>
  <c r="F45" i="1"/>
  <c r="L49" i="1"/>
  <c r="L155" i="1"/>
  <c r="L166" i="1" s="1"/>
  <c r="L243" i="1"/>
  <c r="L247" i="1" s="1"/>
  <c r="G247" i="1"/>
  <c r="K36" i="2"/>
  <c r="K81" i="2"/>
  <c r="K109" i="2"/>
  <c r="F189" i="2"/>
  <c r="J68" i="3"/>
  <c r="G33" i="4"/>
  <c r="G38" i="4"/>
  <c r="I38" i="4" s="1"/>
  <c r="G89" i="4"/>
  <c r="I89" i="4" s="1"/>
  <c r="I112" i="4"/>
  <c r="I121" i="4" s="1"/>
  <c r="G121" i="4"/>
  <c r="G35" i="5"/>
  <c r="E46" i="5"/>
  <c r="I104" i="5"/>
  <c r="G110" i="5"/>
  <c r="G50" i="7"/>
  <c r="I40" i="7"/>
  <c r="I50" i="7" s="1"/>
  <c r="K38" i="2"/>
  <c r="K90" i="2"/>
  <c r="G77" i="4"/>
  <c r="I35" i="5"/>
  <c r="L132" i="1"/>
  <c r="L151" i="1" s="1"/>
  <c r="K63" i="2"/>
  <c r="K128" i="2"/>
  <c r="F149" i="2"/>
  <c r="I69" i="4"/>
  <c r="I77" i="4" s="1"/>
  <c r="G85" i="4"/>
  <c r="I80" i="4"/>
  <c r="I85" i="4" s="1"/>
  <c r="I126" i="4"/>
  <c r="G133" i="4"/>
  <c r="G21" i="5"/>
  <c r="I110" i="5"/>
  <c r="I27" i="9"/>
  <c r="L9" i="1"/>
  <c r="L24" i="1" s="1"/>
  <c r="F66" i="1"/>
  <c r="G84" i="1"/>
  <c r="L184" i="1"/>
  <c r="L189" i="1" s="1"/>
  <c r="F103" i="2"/>
  <c r="K189" i="2"/>
  <c r="J140" i="3"/>
  <c r="J144" i="3"/>
  <c r="J160" i="3" s="1"/>
  <c r="E160" i="3"/>
  <c r="I25" i="4"/>
  <c r="I33" i="4" s="1"/>
  <c r="I36" i="4"/>
  <c r="E55" i="4"/>
  <c r="E77" i="4"/>
  <c r="I133" i="4"/>
  <c r="G12" i="5"/>
  <c r="E18" i="5"/>
  <c r="G98" i="5"/>
  <c r="I89" i="5"/>
  <c r="I98" i="5" s="1"/>
  <c r="E37" i="7"/>
  <c r="G27" i="7"/>
  <c r="E206" i="3"/>
  <c r="E228" i="3"/>
  <c r="J210" i="3"/>
  <c r="J228" i="3" s="1"/>
  <c r="G11" i="4"/>
  <c r="E22" i="4"/>
  <c r="G55" i="4"/>
  <c r="E66" i="4"/>
  <c r="E109" i="4"/>
  <c r="E68" i="5"/>
  <c r="G77" i="5"/>
  <c r="E86" i="5"/>
  <c r="E98" i="5"/>
  <c r="I10" i="6"/>
  <c r="I14" i="6" s="1"/>
  <c r="G14" i="6"/>
  <c r="I24" i="6"/>
  <c r="I28" i="6" s="1"/>
  <c r="G28" i="6"/>
  <c r="G35" i="6"/>
  <c r="I38" i="6"/>
  <c r="I42" i="6" s="1"/>
  <c r="G42" i="6"/>
  <c r="E55" i="6"/>
  <c r="G52" i="6"/>
  <c r="I61" i="6"/>
  <c r="E11" i="8"/>
  <c r="G3" i="8"/>
  <c r="E44" i="8"/>
  <c r="G36" i="8"/>
  <c r="F169" i="2"/>
  <c r="E19" i="3"/>
  <c r="J3" i="3"/>
  <c r="J19" i="3" s="1"/>
  <c r="J59" i="3"/>
  <c r="J186" i="3"/>
  <c r="J206" i="3" s="1"/>
  <c r="I3" i="4"/>
  <c r="I11" i="4" s="1"/>
  <c r="G22" i="4"/>
  <c r="I47" i="4"/>
  <c r="I55" i="4" s="1"/>
  <c r="G66" i="4"/>
  <c r="G97" i="4"/>
  <c r="G100" i="4"/>
  <c r="E7" i="6"/>
  <c r="G4" i="6"/>
  <c r="I4" i="6" s="1"/>
  <c r="I7" i="6" s="1"/>
  <c r="E14" i="6"/>
  <c r="E21" i="6"/>
  <c r="G18" i="6"/>
  <c r="I18" i="6" s="1"/>
  <c r="I21" i="6" s="1"/>
  <c r="E28" i="6"/>
  <c r="E35" i="6"/>
  <c r="G32" i="6"/>
  <c r="I32" i="6" s="1"/>
  <c r="I35" i="6" s="1"/>
  <c r="E42" i="6"/>
  <c r="E49" i="6"/>
  <c r="G46" i="6"/>
  <c r="I46" i="6" s="1"/>
  <c r="I49" i="6" s="1"/>
  <c r="G47" i="8"/>
  <c r="E57" i="8"/>
  <c r="E18" i="9"/>
  <c r="G15" i="9"/>
  <c r="E74" i="5"/>
  <c r="E9" i="5"/>
  <c r="E110" i="5"/>
  <c r="E24" i="7"/>
  <c r="G14" i="7"/>
  <c r="G53" i="7"/>
  <c r="E63" i="7"/>
  <c r="I9" i="9"/>
  <c r="I12" i="9" s="1"/>
  <c r="E30" i="9"/>
  <c r="G28" i="9"/>
  <c r="I28" i="9" s="1"/>
  <c r="E85" i="4"/>
  <c r="I88" i="4"/>
  <c r="I97" i="4" s="1"/>
  <c r="E133" i="4"/>
  <c r="G3" i="5"/>
  <c r="E35" i="5"/>
  <c r="G38" i="5"/>
  <c r="G49" i="5"/>
  <c r="G60" i="5"/>
  <c r="G71" i="5"/>
  <c r="E61" i="6"/>
  <c r="G73" i="6"/>
  <c r="I70" i="6"/>
  <c r="I73" i="6" s="1"/>
  <c r="E11" i="7"/>
  <c r="G3" i="7"/>
  <c r="E22" i="8"/>
  <c r="G14" i="8"/>
  <c r="G3" i="9"/>
  <c r="E6" i="9"/>
  <c r="E12" i="9"/>
  <c r="G10" i="9"/>
  <c r="I10" i="9" s="1"/>
  <c r="E50" i="7"/>
  <c r="D50" i="7"/>
  <c r="E33" i="8"/>
  <c r="G25" i="8"/>
  <c r="I39" i="9" l="1"/>
  <c r="I42" i="9" s="1"/>
  <c r="G42" i="9"/>
  <c r="I73" i="8"/>
  <c r="I83" i="8" s="1"/>
  <c r="G83" i="8"/>
  <c r="I79" i="7"/>
  <c r="I89" i="7" s="1"/>
  <c r="G89" i="7"/>
  <c r="I33" i="9"/>
  <c r="I36" i="9" s="1"/>
  <c r="G36" i="9"/>
  <c r="I60" i="8"/>
  <c r="I70" i="8" s="1"/>
  <c r="G70" i="8"/>
  <c r="I66" i="7"/>
  <c r="I76" i="7" s="1"/>
  <c r="G76" i="7"/>
  <c r="G6" i="9"/>
  <c r="I3" i="9"/>
  <c r="I6" i="9" s="1"/>
  <c r="I71" i="5"/>
  <c r="I74" i="5" s="1"/>
  <c r="G74" i="5"/>
  <c r="I15" i="9"/>
  <c r="I18" i="9" s="1"/>
  <c r="G18" i="9"/>
  <c r="G109" i="4"/>
  <c r="I100" i="4"/>
  <c r="I109" i="4" s="1"/>
  <c r="I52" i="6"/>
  <c r="I55" i="6" s="1"/>
  <c r="G55" i="6"/>
  <c r="G37" i="7"/>
  <c r="I27" i="7"/>
  <c r="I37" i="7" s="1"/>
  <c r="G121" i="5"/>
  <c r="I114" i="5"/>
  <c r="I121" i="5" s="1"/>
  <c r="G33" i="8"/>
  <c r="I25" i="8"/>
  <c r="I33" i="8" s="1"/>
  <c r="G22" i="8"/>
  <c r="I14" i="8"/>
  <c r="I22" i="8" s="1"/>
  <c r="I60" i="5"/>
  <c r="I68" i="5" s="1"/>
  <c r="G68" i="5"/>
  <c r="G9" i="5"/>
  <c r="I3" i="5"/>
  <c r="I9" i="5" s="1"/>
  <c r="G11" i="8"/>
  <c r="I3" i="8"/>
  <c r="I11" i="8" s="1"/>
  <c r="G18" i="5"/>
  <c r="I12" i="5"/>
  <c r="I18" i="5" s="1"/>
  <c r="I44" i="4"/>
  <c r="G27" i="5"/>
  <c r="I21" i="5"/>
  <c r="I27" i="5" s="1"/>
  <c r="I64" i="6"/>
  <c r="I67" i="6" s="1"/>
  <c r="G67" i="6"/>
  <c r="I49" i="5"/>
  <c r="I57" i="5" s="1"/>
  <c r="G57" i="5"/>
  <c r="G63" i="7"/>
  <c r="I53" i="7"/>
  <c r="I63" i="7" s="1"/>
  <c r="G49" i="6"/>
  <c r="G21" i="6"/>
  <c r="G7" i="6"/>
  <c r="I77" i="5"/>
  <c r="I86" i="5" s="1"/>
  <c r="G86" i="5"/>
  <c r="G44" i="4"/>
  <c r="G30" i="9"/>
  <c r="G11" i="7"/>
  <c r="I3" i="7"/>
  <c r="I11" i="7" s="1"/>
  <c r="I38" i="5"/>
  <c r="I46" i="5" s="1"/>
  <c r="G46" i="5"/>
  <c r="G12" i="9"/>
  <c r="G24" i="7"/>
  <c r="I14" i="7"/>
  <c r="I24" i="7" s="1"/>
  <c r="G57" i="8"/>
  <c r="I47" i="8"/>
  <c r="I57" i="8" s="1"/>
  <c r="G44" i="8"/>
  <c r="I36" i="8"/>
  <c r="I44" i="8" s="1"/>
  <c r="I30" i="9"/>
</calcChain>
</file>

<file path=xl/sharedStrings.xml><?xml version="1.0" encoding="utf-8"?>
<sst xmlns="http://schemas.openxmlformats.org/spreadsheetml/2006/main" count="3395" uniqueCount="315">
  <si>
    <t>FIRSTNAME</t>
  </si>
  <si>
    <t>LASTNAME</t>
  </si>
  <si>
    <t>BANK</t>
  </si>
  <si>
    <t>ACCOUNT NUMBER</t>
  </si>
  <si>
    <t>CONTRACT</t>
  </si>
  <si>
    <t>BASIC SALARY</t>
  </si>
  <si>
    <t>1% TAX DEDUCTION</t>
  </si>
  <si>
    <t>10% MONTHLY DEDUCTION</t>
  </si>
  <si>
    <t>DEDUCTION</t>
  </si>
  <si>
    <t>OUTSTANDING SALARY</t>
  </si>
  <si>
    <t>EXTRA BONUS</t>
  </si>
  <si>
    <t>AMOUNT PAYABLE</t>
  </si>
  <si>
    <t>JANUARY</t>
  </si>
  <si>
    <t>AFUSAT</t>
  </si>
  <si>
    <t>ADEBIYI</t>
  </si>
  <si>
    <t>GTB</t>
  </si>
  <si>
    <t>0141826119</t>
  </si>
  <si>
    <t>CORPER</t>
  </si>
  <si>
    <t>GBEMISOLA ODUN</t>
  </si>
  <si>
    <t>ADEJOORIN</t>
  </si>
  <si>
    <t>ACCESS</t>
  </si>
  <si>
    <t>ELIJAH OLAOLUWA</t>
  </si>
  <si>
    <t>AFOLAYAN</t>
  </si>
  <si>
    <t>UBA</t>
  </si>
  <si>
    <t>OLUWAGBEMILEKE</t>
  </si>
  <si>
    <t>AKINADE</t>
  </si>
  <si>
    <t>DOLAPO IFEOLUWA</t>
  </si>
  <si>
    <t>APATA</t>
  </si>
  <si>
    <t>1495551884 </t>
  </si>
  <si>
    <t>ABIODUN</t>
  </si>
  <si>
    <t>AWONIYI</t>
  </si>
  <si>
    <t>STERLING</t>
  </si>
  <si>
    <t>0040690116</t>
  </si>
  <si>
    <t>IBRAHIM</t>
  </si>
  <si>
    <t>FASAKIN</t>
  </si>
  <si>
    <t>ZENITH</t>
  </si>
  <si>
    <t>2110658612 </t>
  </si>
  <si>
    <t>MOTUNRAYO</t>
  </si>
  <si>
    <t>FRANCIS</t>
  </si>
  <si>
    <t>KEYSTONE</t>
  </si>
  <si>
    <t>CHRISTIANA JIMMAI</t>
  </si>
  <si>
    <t>HARUNA</t>
  </si>
  <si>
    <t>FCMB</t>
  </si>
  <si>
    <t>SIMEON OLUWASEUN</t>
  </si>
  <si>
    <t>SOYEWO</t>
  </si>
  <si>
    <t>OLARONKE</t>
  </si>
  <si>
    <t>ADEBAYO</t>
  </si>
  <si>
    <t>FULLTIME</t>
  </si>
  <si>
    <t>OLUWABUKOLA</t>
  </si>
  <si>
    <t>ADEBUNMI</t>
  </si>
  <si>
    <t>6644702013</t>
  </si>
  <si>
    <t>BABATUNDE</t>
  </si>
  <si>
    <t>AWOYEMI</t>
  </si>
  <si>
    <t>FIRSTBANK</t>
  </si>
  <si>
    <t>TOBILOBA</t>
  </si>
  <si>
    <t>0156308958</t>
  </si>
  <si>
    <t>GANIYAT (OKUNLOYE)</t>
  </si>
  <si>
    <t>JAMIU</t>
  </si>
  <si>
    <t>ANNA (AJALA)</t>
  </si>
  <si>
    <t>KOLADE</t>
  </si>
  <si>
    <t>DEBORAH</t>
  </si>
  <si>
    <t>0667963938</t>
  </si>
  <si>
    <t>PART TIME</t>
  </si>
  <si>
    <t>DAMILOLA</t>
  </si>
  <si>
    <t>OLUSEMADE</t>
  </si>
  <si>
    <t>0783103710</t>
  </si>
  <si>
    <t>ABIMBOLA</t>
  </si>
  <si>
    <t>OWOLABI</t>
  </si>
  <si>
    <t>0603454706</t>
  </si>
  <si>
    <t>OMOTOSHO</t>
  </si>
  <si>
    <t>IRABOR</t>
  </si>
  <si>
    <t>ALIMIAN</t>
  </si>
  <si>
    <t>FEBRUARY</t>
  </si>
  <si>
    <t>MARCH</t>
  </si>
  <si>
    <t>0726231290</t>
  </si>
  <si>
    <t>STANBIC</t>
  </si>
  <si>
    <t>0033254077</t>
  </si>
  <si>
    <t>2269074453</t>
  </si>
  <si>
    <t>APRIL</t>
  </si>
  <si>
    <t>MAY</t>
  </si>
  <si>
    <t>AYOMIDE ELIZABETH</t>
  </si>
  <si>
    <t>KAFFO</t>
  </si>
  <si>
    <t>8919091015</t>
  </si>
  <si>
    <t>PRECIOUS</t>
  </si>
  <si>
    <t>OMOWO</t>
  </si>
  <si>
    <t>2111291094</t>
  </si>
  <si>
    <t>YUSUF</t>
  </si>
  <si>
    <t>COKER</t>
  </si>
  <si>
    <t>2065465158</t>
  </si>
  <si>
    <t>OLAIDE TOSIN</t>
  </si>
  <si>
    <t>OLADELE</t>
  </si>
  <si>
    <t>POLARIS</t>
  </si>
  <si>
    <t>3047742004</t>
  </si>
  <si>
    <t>ADENIKE</t>
  </si>
  <si>
    <t>BABALOLA</t>
  </si>
  <si>
    <t>WEMA</t>
  </si>
  <si>
    <t>0230179185</t>
  </si>
  <si>
    <t>JUNE</t>
  </si>
  <si>
    <t>WATER</t>
  </si>
  <si>
    <t>FETCHER</t>
  </si>
  <si>
    <t>NIL</t>
  </si>
  <si>
    <t>JULY</t>
  </si>
  <si>
    <t>ATAYERO</t>
  </si>
  <si>
    <t>0461462048</t>
  </si>
  <si>
    <t>AUGUST</t>
  </si>
  <si>
    <t>SEPTEMBER</t>
  </si>
  <si>
    <t>OLUWATOYIN</t>
  </si>
  <si>
    <t>OLORUNTOBA</t>
  </si>
  <si>
    <t>0691182355</t>
  </si>
  <si>
    <t>TOSIN</t>
  </si>
  <si>
    <t>SAMUEL</t>
  </si>
  <si>
    <t>1608783188</t>
  </si>
  <si>
    <t>ESTHER</t>
  </si>
  <si>
    <t>ADEDIBU</t>
  </si>
  <si>
    <t>0057587413</t>
  </si>
  <si>
    <t>IFEOLUWA</t>
  </si>
  <si>
    <t>OLAITAN</t>
  </si>
  <si>
    <t>3114665963</t>
  </si>
  <si>
    <t>MONTH 1</t>
  </si>
  <si>
    <t>BIMPE</t>
  </si>
  <si>
    <t>OYENIRAN</t>
  </si>
  <si>
    <t>3027468705</t>
  </si>
  <si>
    <t>OCTOBER</t>
  </si>
  <si>
    <t>0716993850</t>
  </si>
  <si>
    <t>MONTH 2</t>
  </si>
  <si>
    <t>NOVEMBER</t>
  </si>
  <si>
    <t>MONTH 3</t>
  </si>
  <si>
    <t>ABOSEDE</t>
  </si>
  <si>
    <t>JOSEPH</t>
  </si>
  <si>
    <t>2418124455</t>
  </si>
  <si>
    <t>DECEMBER</t>
  </si>
  <si>
    <t>MONTH 4</t>
  </si>
  <si>
    <t>NAME</t>
  </si>
  <si>
    <t>10% DEDUCTION</t>
  </si>
  <si>
    <t>OUTSTANDING</t>
  </si>
  <si>
    <t>DATE DUE</t>
  </si>
  <si>
    <t>MONTH 5</t>
  </si>
  <si>
    <t>MERCY</t>
  </si>
  <si>
    <t>MONTH 6</t>
  </si>
  <si>
    <t>MONTH 7</t>
  </si>
  <si>
    <t>MARY</t>
  </si>
  <si>
    <t>MRS ADEBAYO</t>
  </si>
  <si>
    <t>MRS ADEBUNMI</t>
  </si>
  <si>
    <t>MR TUNDE</t>
  </si>
  <si>
    <t>MRS JAMIU</t>
  </si>
  <si>
    <t>MISS TOSIN</t>
  </si>
  <si>
    <t>WATER FETCHER</t>
  </si>
  <si>
    <t>5th June</t>
  </si>
  <si>
    <t>MR FASAKIN</t>
  </si>
  <si>
    <t>PARTTIME</t>
  </si>
  <si>
    <t>15th June</t>
  </si>
  <si>
    <t>MR PRAISE</t>
  </si>
  <si>
    <t>MISS MARY</t>
  </si>
  <si>
    <t>8th June</t>
  </si>
  <si>
    <t>17th June</t>
  </si>
  <si>
    <t>MRS EMEGBO</t>
  </si>
  <si>
    <t>7025219016</t>
  </si>
  <si>
    <t>11th July</t>
  </si>
  <si>
    <t>15th July</t>
  </si>
  <si>
    <t>8th July</t>
  </si>
  <si>
    <t>17th July</t>
  </si>
  <si>
    <t>MISS OLAMIDE</t>
  </si>
  <si>
    <t>OPAY</t>
  </si>
  <si>
    <t>7047946805</t>
  </si>
  <si>
    <t>MISS OYINDAMOLA</t>
  </si>
  <si>
    <t>PALMPAY</t>
  </si>
  <si>
    <t>8141134197</t>
  </si>
  <si>
    <t>FULL-TIME</t>
  </si>
  <si>
    <t>MISS IYINOLUWA</t>
  </si>
  <si>
    <t>9071075060</t>
  </si>
  <si>
    <t>MISS ADEBISI</t>
  </si>
  <si>
    <t>8133445740</t>
  </si>
  <si>
    <t>MISS ABOSEDE</t>
  </si>
  <si>
    <t>MR OKUNLOLA</t>
  </si>
  <si>
    <t>3046421509</t>
  </si>
  <si>
    <t>PART-TIME</t>
  </si>
  <si>
    <t>MRS OLADEINDE</t>
  </si>
  <si>
    <t>2190016797</t>
  </si>
  <si>
    <t>MISS WASILAT</t>
  </si>
  <si>
    <t>9035967740</t>
  </si>
  <si>
    <t>0214110679</t>
  </si>
  <si>
    <t>MR DANIEL</t>
  </si>
  <si>
    <t>8118080708</t>
  </si>
  <si>
    <t>MR KELVIN</t>
  </si>
  <si>
    <t>3072648769</t>
  </si>
  <si>
    <t>MISS ROSEMARY</t>
  </si>
  <si>
    <t>MISS WURAOLA</t>
  </si>
  <si>
    <t>8148626938</t>
  </si>
  <si>
    <t>MR NOSA</t>
  </si>
  <si>
    <t>2204846600</t>
  </si>
  <si>
    <t>7067674873</t>
  </si>
  <si>
    <t>8081392475</t>
  </si>
  <si>
    <t xml:space="preserve">Mrs Adebayo </t>
  </si>
  <si>
    <t>Miss Wura</t>
  </si>
  <si>
    <t>MR EMMANUEL</t>
  </si>
  <si>
    <t>7043132481</t>
  </si>
  <si>
    <t>9043516469</t>
  </si>
  <si>
    <t>MISS TEMITOPE</t>
  </si>
  <si>
    <t>FRENCH CLUB</t>
  </si>
  <si>
    <t>0233504593</t>
  </si>
  <si>
    <t>MUSIC CLUB</t>
  </si>
  <si>
    <t>8078360902</t>
  </si>
  <si>
    <t>MISS GBEMISOLA</t>
  </si>
  <si>
    <t>MISS JIMOH</t>
  </si>
  <si>
    <t>UNION</t>
  </si>
  <si>
    <t>MISS RASHEEDAT</t>
  </si>
  <si>
    <t>3115282655</t>
  </si>
  <si>
    <t>9067750493</t>
  </si>
  <si>
    <t>MISS OLUWASEUN</t>
  </si>
  <si>
    <t>9157621036</t>
  </si>
  <si>
    <t>0155148852</t>
  </si>
  <si>
    <t>OSARIEMEN ABIGAIL</t>
  </si>
  <si>
    <t>MRS RUTH KEMI OLADEINDE</t>
  </si>
  <si>
    <t>MAYOWA</t>
  </si>
  <si>
    <t>FISAYOMI OLUWASEUN ADEMOLU</t>
  </si>
  <si>
    <t>ROSEMARY ABIODUN OLUKOYA</t>
  </si>
  <si>
    <t>EMMANUEL OLUWATIMILEHIN OLAOLU</t>
  </si>
  <si>
    <t>OLAIYA OLAMIDE OWONIFARI</t>
  </si>
  <si>
    <t>OYINDAMOLA HANNAH ADESHINA</t>
  </si>
  <si>
    <t>ADISA ABOSEDE NEE JOSEPH</t>
  </si>
  <si>
    <t>ADEJOORIN OLUWAGBEMISOLA</t>
  </si>
  <si>
    <t>ADEBISI MARY</t>
  </si>
  <si>
    <t>ABODUNRIN RASHEEDAT AJOLAAYO</t>
  </si>
  <si>
    <t>OLUYEMI WURAOLA</t>
  </si>
  <si>
    <t>ADEBUNMI CHRISTIANAH NEE OYEDEJI</t>
  </si>
  <si>
    <t>JAMIU GANIYAT NEE OKUNLOYE</t>
  </si>
  <si>
    <t>FALOLA PHOEBE IBUKUNOLUWA</t>
  </si>
  <si>
    <t>3141506996</t>
  </si>
  <si>
    <t>OLADELE ANUOLUWAPO DEBORAH</t>
  </si>
  <si>
    <t>3212616445</t>
  </si>
  <si>
    <t>RACHAEL AANUOLUWAPO OGUNDARE</t>
  </si>
  <si>
    <t>9067620640</t>
  </si>
  <si>
    <t>FOLORUNSHO PEARCE</t>
  </si>
  <si>
    <t>FIDELITY</t>
  </si>
  <si>
    <t>OLAMIDE MODUPEOLA OGUNTUASE</t>
  </si>
  <si>
    <t>0291200226</t>
  </si>
  <si>
    <t>SAHEED ADEKUNLE ADEBUNMI</t>
  </si>
  <si>
    <t>MARIAM WURAOLA JAMIU</t>
  </si>
  <si>
    <t>DRAME KELVIN KOSISOCHUKWU</t>
  </si>
  <si>
    <t>GEORGE NOSA IMARHIAGBE</t>
  </si>
  <si>
    <t>RUTH K OLADEHINDE</t>
  </si>
  <si>
    <t>MAYOWA MOSES OLALEYE</t>
  </si>
  <si>
    <t>emmanuel oluwatimilehin olaolu</t>
  </si>
  <si>
    <t>ABOSEDE JOSEPH</t>
  </si>
  <si>
    <t>RACHEAL AANUOLUWAPO OGUNDARE</t>
  </si>
  <si>
    <t>PEARSE FOLORUNSHO OLARENWAJU</t>
  </si>
  <si>
    <t>6170965511</t>
  </si>
  <si>
    <t>EVIDENCE ONYEISI CHUKWUNWEIKE</t>
  </si>
  <si>
    <t>7050958626</t>
  </si>
  <si>
    <t>EBUNOLUWA RUTH OLUWALUSI</t>
  </si>
  <si>
    <t>1220541478</t>
  </si>
  <si>
    <t>DORCAS MOJIRADE AFOLABI</t>
  </si>
  <si>
    <t>9016957793</t>
  </si>
  <si>
    <t>PELUMI ADURAGBEMI AWONIYI</t>
  </si>
  <si>
    <t>7041589631</t>
  </si>
  <si>
    <t>PAID</t>
  </si>
  <si>
    <t>BALANCE</t>
  </si>
  <si>
    <t>8164034323</t>
  </si>
  <si>
    <t>ADEBISI MARY AYOMIDE</t>
  </si>
  <si>
    <t>MURITALA TOPE OLAYOKE</t>
  </si>
  <si>
    <t>7064486665</t>
  </si>
  <si>
    <t>9063580231</t>
  </si>
  <si>
    <t>8133237317</t>
  </si>
  <si>
    <t>HAMMED BLESSING OLUWAPELUMI</t>
  </si>
  <si>
    <t>9063260544</t>
  </si>
  <si>
    <t>0243640517</t>
  </si>
  <si>
    <t>DUROWOJU OLAMIDE TITILAYO</t>
  </si>
  <si>
    <t>8153319408</t>
  </si>
  <si>
    <t>DASOLA AWOYEMI</t>
  </si>
  <si>
    <t>8033662120</t>
  </si>
  <si>
    <t>OGUNGBENJO TOMILAYO LYDIA</t>
  </si>
  <si>
    <t>3125051191</t>
  </si>
  <si>
    <t>JOHN FAITH VICTORIA</t>
  </si>
  <si>
    <t>2127898986</t>
  </si>
  <si>
    <t>ATALOGUN CALEB</t>
  </si>
  <si>
    <t>2368509845</t>
  </si>
  <si>
    <t>ATANLOGUN CALEB</t>
  </si>
  <si>
    <t>FIRSTMONIE</t>
  </si>
  <si>
    <t>8798071174</t>
  </si>
  <si>
    <t>7037979726</t>
  </si>
  <si>
    <t>OLOYEDE SAMUEL</t>
  </si>
  <si>
    <t>7039407564</t>
  </si>
  <si>
    <t>AJIBOYE ESTHER</t>
  </si>
  <si>
    <t>0248889561</t>
  </si>
  <si>
    <t>ADENIRAN MUTIAT OMOWUMI</t>
  </si>
  <si>
    <t>8087156406</t>
  </si>
  <si>
    <t>AKILAPA ABOSEDE</t>
  </si>
  <si>
    <t>2084880716</t>
  </si>
  <si>
    <t>RUTH KEMI OLADEHINDE</t>
  </si>
  <si>
    <t>OLOYEDE SAMUEL OLUWASEYI</t>
  </si>
  <si>
    <t>OLUYEMI WURAOLA LYDIA</t>
  </si>
  <si>
    <t>AJIBOYE ESTHER KOFOWOROLA</t>
  </si>
  <si>
    <t>0124136400</t>
  </si>
  <si>
    <t>AWOYEMI BABATUNDE</t>
  </si>
  <si>
    <t>7032129074</t>
  </si>
  <si>
    <t>8168870371</t>
  </si>
  <si>
    <t>BAMIDELE HELEN OLUWAFUNMISO</t>
  </si>
  <si>
    <t>8142630975</t>
  </si>
  <si>
    <t>ADEKUNLE PHEBEAN OLUWASEUN</t>
  </si>
  <si>
    <t>9155651423</t>
  </si>
  <si>
    <t>ADESOKAN OMOLABAKE NAOMI</t>
  </si>
  <si>
    <t>9166211501</t>
  </si>
  <si>
    <t>IYANDA TESTIMONY OLUWANIFEMI</t>
  </si>
  <si>
    <t>9017054114</t>
  </si>
  <si>
    <t>ATULUKE DEBORAH OJONOUGWA</t>
  </si>
  <si>
    <t>ZENITH BANK</t>
  </si>
  <si>
    <t>2400722188</t>
  </si>
  <si>
    <t>ATULUKU DEBORAH OJONOUGWA</t>
  </si>
  <si>
    <t>BABATUNDE OPEYEMI MARIAM</t>
  </si>
  <si>
    <t>7039111241</t>
  </si>
  <si>
    <t>ABUDU NARIA DELIGHT</t>
  </si>
  <si>
    <t>6551305846</t>
  </si>
  <si>
    <t>MAYOWA MOSES</t>
  </si>
  <si>
    <t>9037481168</t>
  </si>
  <si>
    <t>9034630435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</si>
</sst>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₦-466]\ * #,##0.00_);_([$₦-466]\ * \(#,##0.00\);_([$₦-466]\ * &quot;-&quot;??_);_(@_)"/>
    <numFmt numFmtId="165" formatCode="[$-F800]dddd\,\ mmmm\ dd\,\ yyyy"/>
    <numFmt numFmtId="166" formatCode="_-&quot;$&quot;* #,##0.00_-;\-&quot;$&quot;* #,##0.00_-;_-&quot;$&quot;* &quot;-&quot;??_-;_-@"/>
    <numFmt numFmtId="167" formatCode="_-[$₦-466]\ * #,##0.00_-;\-[$₦-466]\ * #,##0.00_-;_-[$₦-466]\ * &quot;-&quot;??_-;_-@"/>
  </numFmts>
  <fonts count="13" x14ac:knownFonts="1">
    <font>
      <sz val="11"/>
      <color rgb="FF000000"/>
      <name val="Calibri"/>
      <scheme val="minor"/>
    </font>
    <font>
      <b/>
      <sz val="12"/>
      <color rgb="FFFFFFFF"/>
      <name val="Calibri"/>
    </font>
    <font>
      <b/>
      <sz val="14"/>
      <color rgb="FF000000"/>
      <name val="Calibri"/>
    </font>
    <font>
      <sz val="11"/>
      <color rgb="FF000000"/>
      <name val="Calibri"/>
    </font>
    <font>
      <sz val="11"/>
      <color rgb="FF222222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FFFFFF"/>
      <name val="Cambria"/>
    </font>
    <font>
      <b/>
      <sz val="11"/>
      <color theme="0"/>
      <name val="Cambria"/>
    </font>
    <font>
      <b/>
      <sz val="11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b/>
      <sz val="11"/>
      <color rgb="FF00000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167" fontId="11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22.140625" customWidth="1"/>
    <col min="3" max="3" width="11.42578125" customWidth="1"/>
    <col min="4" max="4" width="12.28515625" customWidth="1"/>
    <col min="5" max="5" width="11.85546875" customWidth="1"/>
    <col min="6" max="6" width="15.7109375" customWidth="1"/>
    <col min="7" max="7" width="13.140625" customWidth="1"/>
    <col min="8" max="8" width="12.140625" customWidth="1"/>
    <col min="11" max="12" width="15.7109375" customWidth="1"/>
    <col min="13" max="13" width="16.85546875" customWidth="1"/>
    <col min="14" max="25" width="20.42578125" customWidth="1"/>
  </cols>
  <sheetData>
    <row r="1" spans="1:25" ht="6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3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8.75" x14ac:dyDescent="0.25">
      <c r="A2" s="7" t="s">
        <v>12</v>
      </c>
      <c r="B2" s="8"/>
      <c r="C2" s="8"/>
      <c r="D2" s="9"/>
      <c r="E2" s="10"/>
      <c r="F2" s="10"/>
      <c r="G2" s="10"/>
      <c r="H2" s="10"/>
      <c r="I2" s="10"/>
      <c r="J2" s="10"/>
      <c r="K2" s="10"/>
      <c r="L2" s="1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5">
      <c r="A3" s="11" t="s">
        <v>13</v>
      </c>
      <c r="B3" s="11" t="s">
        <v>14</v>
      </c>
      <c r="C3" s="11" t="s">
        <v>15</v>
      </c>
      <c r="D3" s="12" t="s">
        <v>16</v>
      </c>
      <c r="E3" s="13" t="s">
        <v>17</v>
      </c>
      <c r="F3" s="13">
        <f t="shared" ref="F3:F12" si="0">IF(E3="corper",10000,"Enter Value")</f>
        <v>10000</v>
      </c>
      <c r="G3" s="13">
        <f t="shared" ref="G3:G23" si="1">IF(E3="corper",0,F3*0.01)</f>
        <v>0</v>
      </c>
      <c r="H3" s="13">
        <v>0</v>
      </c>
      <c r="I3" s="13">
        <v>0</v>
      </c>
      <c r="J3" s="13">
        <v>0</v>
      </c>
      <c r="K3" s="13">
        <v>4561.2</v>
      </c>
      <c r="L3" s="13">
        <f t="shared" ref="L3:L23" si="2">F3-SUM(G3:I3)+SUM(J3:K3)</f>
        <v>14561.2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1" t="s">
        <v>18</v>
      </c>
      <c r="B4" s="11" t="s">
        <v>19</v>
      </c>
      <c r="C4" s="11" t="s">
        <v>20</v>
      </c>
      <c r="D4" s="12">
        <v>1486434228</v>
      </c>
      <c r="E4" s="13" t="s">
        <v>17</v>
      </c>
      <c r="F4" s="13">
        <f t="shared" si="0"/>
        <v>10000</v>
      </c>
      <c r="G4" s="13">
        <f t="shared" si="1"/>
        <v>0</v>
      </c>
      <c r="H4" s="13">
        <v>0</v>
      </c>
      <c r="I4" s="13">
        <v>0</v>
      </c>
      <c r="J4" s="13">
        <v>0</v>
      </c>
      <c r="K4" s="13">
        <v>0</v>
      </c>
      <c r="L4" s="13">
        <f t="shared" si="2"/>
        <v>10000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1" t="s">
        <v>21</v>
      </c>
      <c r="B5" s="11" t="s">
        <v>22</v>
      </c>
      <c r="C5" s="11" t="s">
        <v>23</v>
      </c>
      <c r="D5" s="12">
        <v>2211865782</v>
      </c>
      <c r="E5" s="13" t="s">
        <v>17</v>
      </c>
      <c r="F5" s="13">
        <f t="shared" si="0"/>
        <v>10000</v>
      </c>
      <c r="G5" s="13">
        <f t="shared" si="1"/>
        <v>0</v>
      </c>
      <c r="H5" s="13">
        <v>0</v>
      </c>
      <c r="I5" s="13">
        <v>0</v>
      </c>
      <c r="J5" s="13">
        <v>0</v>
      </c>
      <c r="K5" s="13">
        <v>0</v>
      </c>
      <c r="L5" s="13">
        <f t="shared" si="2"/>
        <v>10000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25">
      <c r="A6" s="11" t="s">
        <v>24</v>
      </c>
      <c r="B6" s="11" t="s">
        <v>25</v>
      </c>
      <c r="C6" s="11" t="s">
        <v>20</v>
      </c>
      <c r="D6" s="12">
        <v>1496983352</v>
      </c>
      <c r="E6" s="13" t="s">
        <v>17</v>
      </c>
      <c r="F6" s="13">
        <f t="shared" si="0"/>
        <v>10000</v>
      </c>
      <c r="G6" s="13">
        <f t="shared" si="1"/>
        <v>0</v>
      </c>
      <c r="H6" s="13">
        <v>0</v>
      </c>
      <c r="I6" s="13">
        <v>0</v>
      </c>
      <c r="J6" s="13">
        <v>0</v>
      </c>
      <c r="K6" s="13">
        <v>0</v>
      </c>
      <c r="L6" s="13">
        <f t="shared" si="2"/>
        <v>10000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1" t="s">
        <v>26</v>
      </c>
      <c r="B7" s="11" t="s">
        <v>27</v>
      </c>
      <c r="C7" s="11" t="s">
        <v>20</v>
      </c>
      <c r="D7" s="12" t="s">
        <v>28</v>
      </c>
      <c r="E7" s="13" t="s">
        <v>17</v>
      </c>
      <c r="F7" s="13">
        <f t="shared" si="0"/>
        <v>10000</v>
      </c>
      <c r="G7" s="13">
        <f t="shared" si="1"/>
        <v>0</v>
      </c>
      <c r="H7" s="13">
        <v>0</v>
      </c>
      <c r="I7" s="13">
        <v>0</v>
      </c>
      <c r="J7" s="13">
        <v>0</v>
      </c>
      <c r="K7" s="13">
        <v>1013.6</v>
      </c>
      <c r="L7" s="13">
        <f t="shared" si="2"/>
        <v>11013.6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1" t="s">
        <v>29</v>
      </c>
      <c r="B8" s="11" t="s">
        <v>30</v>
      </c>
      <c r="C8" s="11" t="s">
        <v>31</v>
      </c>
      <c r="D8" s="12" t="s">
        <v>32</v>
      </c>
      <c r="E8" s="13" t="s">
        <v>17</v>
      </c>
      <c r="F8" s="13">
        <f t="shared" si="0"/>
        <v>10000</v>
      </c>
      <c r="G8" s="13">
        <f t="shared" si="1"/>
        <v>0</v>
      </c>
      <c r="H8" s="13">
        <v>0</v>
      </c>
      <c r="I8" s="13">
        <v>0</v>
      </c>
      <c r="J8" s="13">
        <v>0</v>
      </c>
      <c r="K8" s="13">
        <v>1267</v>
      </c>
      <c r="L8" s="13">
        <f t="shared" si="2"/>
        <v>11267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1" t="s">
        <v>33</v>
      </c>
      <c r="B9" s="11" t="s">
        <v>34</v>
      </c>
      <c r="C9" s="11" t="s">
        <v>35</v>
      </c>
      <c r="D9" s="12" t="s">
        <v>36</v>
      </c>
      <c r="E9" s="13" t="s">
        <v>17</v>
      </c>
      <c r="F9" s="13">
        <f t="shared" si="0"/>
        <v>10000</v>
      </c>
      <c r="G9" s="13">
        <f t="shared" si="1"/>
        <v>0</v>
      </c>
      <c r="H9" s="13">
        <v>0</v>
      </c>
      <c r="I9" s="13">
        <v>0</v>
      </c>
      <c r="J9" s="13">
        <v>0</v>
      </c>
      <c r="K9" s="13">
        <v>1267</v>
      </c>
      <c r="L9" s="13">
        <f t="shared" si="2"/>
        <v>11267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25">
      <c r="A10" s="11" t="s">
        <v>37</v>
      </c>
      <c r="B10" s="11" t="s">
        <v>38</v>
      </c>
      <c r="C10" s="11" t="s">
        <v>39</v>
      </c>
      <c r="D10" s="12">
        <v>6016842634</v>
      </c>
      <c r="E10" s="13" t="s">
        <v>17</v>
      </c>
      <c r="F10" s="13">
        <f t="shared" si="0"/>
        <v>10000</v>
      </c>
      <c r="G10" s="13">
        <f t="shared" si="1"/>
        <v>0</v>
      </c>
      <c r="H10" s="13">
        <v>0</v>
      </c>
      <c r="I10" s="13">
        <v>0</v>
      </c>
      <c r="J10" s="13">
        <v>0</v>
      </c>
      <c r="K10" s="13">
        <v>4561.2</v>
      </c>
      <c r="L10" s="13">
        <f t="shared" si="2"/>
        <v>14561.2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25">
      <c r="A11" s="11" t="s">
        <v>40</v>
      </c>
      <c r="B11" s="11" t="s">
        <v>41</v>
      </c>
      <c r="C11" s="11" t="s">
        <v>42</v>
      </c>
      <c r="D11" s="12">
        <v>3106893016</v>
      </c>
      <c r="E11" s="13" t="s">
        <v>17</v>
      </c>
      <c r="F11" s="13">
        <f t="shared" si="0"/>
        <v>10000</v>
      </c>
      <c r="G11" s="13">
        <f t="shared" si="1"/>
        <v>0</v>
      </c>
      <c r="H11" s="13">
        <v>0</v>
      </c>
      <c r="I11" s="13">
        <v>0</v>
      </c>
      <c r="J11" s="13">
        <v>0</v>
      </c>
      <c r="K11" s="13">
        <v>1267</v>
      </c>
      <c r="L11" s="13">
        <f t="shared" si="2"/>
        <v>11267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25">
      <c r="A12" s="11" t="s">
        <v>43</v>
      </c>
      <c r="B12" s="11" t="s">
        <v>44</v>
      </c>
      <c r="C12" s="11" t="s">
        <v>23</v>
      </c>
      <c r="D12" s="15">
        <v>2120312049</v>
      </c>
      <c r="E12" s="13" t="s">
        <v>17</v>
      </c>
      <c r="F12" s="13">
        <f t="shared" si="0"/>
        <v>10000</v>
      </c>
      <c r="G12" s="13">
        <f t="shared" si="1"/>
        <v>0</v>
      </c>
      <c r="H12" s="13">
        <v>0</v>
      </c>
      <c r="I12" s="13">
        <v>0</v>
      </c>
      <c r="J12" s="13">
        <v>0</v>
      </c>
      <c r="K12" s="13">
        <v>1267</v>
      </c>
      <c r="L12" s="13">
        <f t="shared" si="2"/>
        <v>11267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25">
      <c r="A13" s="11" t="s">
        <v>45</v>
      </c>
      <c r="B13" s="11" t="s">
        <v>46</v>
      </c>
      <c r="C13" s="11" t="s">
        <v>42</v>
      </c>
      <c r="D13" s="12">
        <v>7346952016</v>
      </c>
      <c r="E13" s="13" t="s">
        <v>47</v>
      </c>
      <c r="F13" s="13">
        <v>30000</v>
      </c>
      <c r="G13" s="13">
        <f t="shared" si="1"/>
        <v>300</v>
      </c>
      <c r="H13" s="13">
        <v>0</v>
      </c>
      <c r="I13" s="13">
        <v>0</v>
      </c>
      <c r="J13" s="13">
        <v>19800</v>
      </c>
      <c r="K13" s="13">
        <v>0</v>
      </c>
      <c r="L13" s="13">
        <f t="shared" si="2"/>
        <v>49500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1" t="s">
        <v>48</v>
      </c>
      <c r="B14" s="11" t="s">
        <v>49</v>
      </c>
      <c r="C14" s="11" t="s">
        <v>42</v>
      </c>
      <c r="D14" s="12" t="s">
        <v>50</v>
      </c>
      <c r="E14" s="13" t="s">
        <v>47</v>
      </c>
      <c r="F14" s="13">
        <v>17000</v>
      </c>
      <c r="G14" s="13">
        <f t="shared" si="1"/>
        <v>170</v>
      </c>
      <c r="H14" s="13">
        <v>0</v>
      </c>
      <c r="I14" s="13">
        <v>0</v>
      </c>
      <c r="J14" s="13">
        <v>6830</v>
      </c>
      <c r="K14" s="13">
        <v>0</v>
      </c>
      <c r="L14" s="13">
        <f t="shared" si="2"/>
        <v>23660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x14ac:dyDescent="0.25">
      <c r="A15" s="11" t="s">
        <v>51</v>
      </c>
      <c r="B15" s="11" t="s">
        <v>52</v>
      </c>
      <c r="C15" s="11" t="s">
        <v>53</v>
      </c>
      <c r="D15" s="12">
        <v>3085168474</v>
      </c>
      <c r="E15" s="13" t="s">
        <v>47</v>
      </c>
      <c r="F15" s="13">
        <v>30000</v>
      </c>
      <c r="G15" s="13">
        <f t="shared" si="1"/>
        <v>300</v>
      </c>
      <c r="H15" s="13">
        <v>0</v>
      </c>
      <c r="I15" s="13">
        <v>0</v>
      </c>
      <c r="J15" s="13">
        <v>0</v>
      </c>
      <c r="K15" s="13">
        <v>0</v>
      </c>
      <c r="L15" s="13">
        <f t="shared" si="2"/>
        <v>29700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25">
      <c r="A16" s="11" t="s">
        <v>54</v>
      </c>
      <c r="B16" s="11" t="s">
        <v>52</v>
      </c>
      <c r="C16" s="11" t="s">
        <v>15</v>
      </c>
      <c r="D16" s="12" t="s">
        <v>55</v>
      </c>
      <c r="E16" s="13" t="s">
        <v>47</v>
      </c>
      <c r="F16" s="13">
        <v>20000</v>
      </c>
      <c r="G16" s="13">
        <f t="shared" si="1"/>
        <v>200</v>
      </c>
      <c r="H16" s="13">
        <v>0</v>
      </c>
      <c r="I16" s="13">
        <v>0</v>
      </c>
      <c r="J16" s="13">
        <v>0</v>
      </c>
      <c r="K16" s="13">
        <v>0</v>
      </c>
      <c r="L16" s="13">
        <f t="shared" si="2"/>
        <v>19800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25">
      <c r="A17" s="11" t="s">
        <v>56</v>
      </c>
      <c r="B17" s="11" t="s">
        <v>57</v>
      </c>
      <c r="C17" s="11" t="s">
        <v>23</v>
      </c>
      <c r="D17" s="12">
        <v>2095374871</v>
      </c>
      <c r="E17" s="13" t="s">
        <v>47</v>
      </c>
      <c r="F17" s="13">
        <v>18000</v>
      </c>
      <c r="G17" s="13">
        <f t="shared" si="1"/>
        <v>180</v>
      </c>
      <c r="H17" s="13">
        <v>0</v>
      </c>
      <c r="I17" s="13">
        <v>0</v>
      </c>
      <c r="J17" s="13">
        <v>7800</v>
      </c>
      <c r="K17" s="13">
        <v>11250</v>
      </c>
      <c r="L17" s="13">
        <f t="shared" si="2"/>
        <v>36870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25">
      <c r="A18" s="11" t="s">
        <v>58</v>
      </c>
      <c r="B18" s="11" t="s">
        <v>59</v>
      </c>
      <c r="C18" s="11" t="s">
        <v>42</v>
      </c>
      <c r="D18" s="12">
        <v>7560696011</v>
      </c>
      <c r="E18" s="13" t="s">
        <v>47</v>
      </c>
      <c r="F18" s="13">
        <v>20000</v>
      </c>
      <c r="G18" s="13">
        <f t="shared" si="1"/>
        <v>200</v>
      </c>
      <c r="H18" s="13">
        <v>0</v>
      </c>
      <c r="I18" s="13">
        <v>0</v>
      </c>
      <c r="J18" s="13">
        <v>9800</v>
      </c>
      <c r="K18" s="13">
        <v>11250</v>
      </c>
      <c r="L18" s="13">
        <f t="shared" si="2"/>
        <v>40850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x14ac:dyDescent="0.25">
      <c r="A19" s="11" t="s">
        <v>60</v>
      </c>
      <c r="B19" s="11" t="s">
        <v>52</v>
      </c>
      <c r="C19" s="11" t="s">
        <v>15</v>
      </c>
      <c r="D19" s="12" t="s">
        <v>61</v>
      </c>
      <c r="E19" s="13" t="s">
        <v>62</v>
      </c>
      <c r="F19" s="13">
        <v>20000</v>
      </c>
      <c r="G19" s="13">
        <f t="shared" si="1"/>
        <v>200</v>
      </c>
      <c r="H19" s="13">
        <v>0</v>
      </c>
      <c r="I19" s="13">
        <v>0</v>
      </c>
      <c r="J19" s="13">
        <v>5000</v>
      </c>
      <c r="K19" s="13">
        <v>3040.8</v>
      </c>
      <c r="L19" s="13">
        <f t="shared" si="2"/>
        <v>27840.799999999999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x14ac:dyDescent="0.25">
      <c r="A20" s="11" t="s">
        <v>63</v>
      </c>
      <c r="B20" s="11" t="s">
        <v>64</v>
      </c>
      <c r="C20" s="11" t="s">
        <v>20</v>
      </c>
      <c r="D20" s="12" t="s">
        <v>65</v>
      </c>
      <c r="E20" s="13" t="s">
        <v>62</v>
      </c>
      <c r="F20" s="13">
        <v>18000</v>
      </c>
      <c r="G20" s="13">
        <f t="shared" si="1"/>
        <v>180</v>
      </c>
      <c r="H20" s="13">
        <v>0</v>
      </c>
      <c r="I20" s="13">
        <v>0</v>
      </c>
      <c r="J20" s="13">
        <v>3000</v>
      </c>
      <c r="K20" s="13">
        <v>0</v>
      </c>
      <c r="L20" s="13">
        <f t="shared" si="2"/>
        <v>20820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 x14ac:dyDescent="0.25">
      <c r="A21" s="11" t="s">
        <v>66</v>
      </c>
      <c r="B21" s="11" t="s">
        <v>67</v>
      </c>
      <c r="C21" s="11" t="s">
        <v>15</v>
      </c>
      <c r="D21" s="12" t="s">
        <v>68</v>
      </c>
      <c r="E21" s="13" t="s">
        <v>62</v>
      </c>
      <c r="F21" s="13">
        <v>15000</v>
      </c>
      <c r="G21" s="13">
        <f t="shared" si="1"/>
        <v>150</v>
      </c>
      <c r="H21" s="13">
        <v>0</v>
      </c>
      <c r="I21" s="13">
        <v>0</v>
      </c>
      <c r="J21" s="13">
        <v>0</v>
      </c>
      <c r="K21" s="13">
        <v>0</v>
      </c>
      <c r="L21" s="13">
        <f t="shared" si="2"/>
        <v>14850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 x14ac:dyDescent="0.25">
      <c r="A22" s="11" t="s">
        <v>60</v>
      </c>
      <c r="B22" s="11" t="s">
        <v>69</v>
      </c>
      <c r="C22" s="11"/>
      <c r="D22" s="12"/>
      <c r="E22" s="13" t="s">
        <v>47</v>
      </c>
      <c r="F22" s="13">
        <v>0</v>
      </c>
      <c r="G22" s="13">
        <f t="shared" si="1"/>
        <v>0</v>
      </c>
      <c r="H22" s="13">
        <v>0</v>
      </c>
      <c r="I22" s="13">
        <v>0</v>
      </c>
      <c r="J22" s="13">
        <v>0</v>
      </c>
      <c r="K22" s="13">
        <v>9000</v>
      </c>
      <c r="L22" s="13">
        <f t="shared" si="2"/>
        <v>9000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 x14ac:dyDescent="0.25">
      <c r="A23" s="11" t="s">
        <v>70</v>
      </c>
      <c r="B23" s="11" t="s">
        <v>71</v>
      </c>
      <c r="C23" s="11"/>
      <c r="D23" s="12"/>
      <c r="E23" s="13" t="s">
        <v>47</v>
      </c>
      <c r="F23" s="13">
        <v>0</v>
      </c>
      <c r="G23" s="13">
        <f t="shared" si="1"/>
        <v>0</v>
      </c>
      <c r="H23" s="13">
        <v>0</v>
      </c>
      <c r="I23" s="13">
        <v>0</v>
      </c>
      <c r="J23" s="13">
        <v>0</v>
      </c>
      <c r="K23" s="13">
        <v>3801</v>
      </c>
      <c r="L23" s="13">
        <f t="shared" si="2"/>
        <v>3801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 x14ac:dyDescent="0.25">
      <c r="A24" s="16"/>
      <c r="B24" s="16"/>
      <c r="C24" s="16"/>
      <c r="D24" s="17"/>
      <c r="E24" s="18"/>
      <c r="F24" s="18">
        <f t="shared" ref="F24:L24" si="3">SUM(F3:F23)</f>
        <v>288000</v>
      </c>
      <c r="G24" s="18">
        <f t="shared" si="3"/>
        <v>1880</v>
      </c>
      <c r="H24" s="18">
        <f t="shared" si="3"/>
        <v>0</v>
      </c>
      <c r="I24" s="18">
        <f t="shared" si="3"/>
        <v>0</v>
      </c>
      <c r="J24" s="18">
        <f t="shared" si="3"/>
        <v>52230</v>
      </c>
      <c r="K24" s="18">
        <f t="shared" si="3"/>
        <v>53545.8</v>
      </c>
      <c r="L24" s="18">
        <f t="shared" si="3"/>
        <v>391895.8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 x14ac:dyDescent="0.25">
      <c r="A25" s="14"/>
      <c r="B25" s="14"/>
      <c r="C25" s="14"/>
      <c r="D25" s="2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21" t="s">
        <v>72</v>
      </c>
      <c r="B26" s="14"/>
      <c r="C26" s="14"/>
      <c r="D26" s="2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1" t="s">
        <v>13</v>
      </c>
      <c r="B27" s="11" t="s">
        <v>14</v>
      </c>
      <c r="C27" s="11" t="s">
        <v>15</v>
      </c>
      <c r="D27" s="12" t="s">
        <v>16</v>
      </c>
      <c r="E27" s="13" t="s">
        <v>17</v>
      </c>
      <c r="F27" s="13">
        <f t="shared" ref="F27:F35" si="4">IF(E27="corper",10000,"Enter Value")</f>
        <v>10000</v>
      </c>
      <c r="G27" s="13">
        <f t="shared" ref="G27:G44" si="5">IF(E27="corper",0,F27*0.01)</f>
        <v>0</v>
      </c>
      <c r="H27" s="13">
        <v>0</v>
      </c>
      <c r="I27" s="13">
        <v>0</v>
      </c>
      <c r="J27" s="13">
        <v>0</v>
      </c>
      <c r="K27" s="13">
        <v>0</v>
      </c>
      <c r="L27" s="13">
        <f t="shared" ref="L27:L44" si="6">F27-SUM(G27:I27)+SUM(J27:K27)</f>
        <v>10000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1" t="s">
        <v>18</v>
      </c>
      <c r="B28" s="11" t="s">
        <v>19</v>
      </c>
      <c r="C28" s="11" t="s">
        <v>20</v>
      </c>
      <c r="D28" s="12">
        <v>1486434228</v>
      </c>
      <c r="E28" s="13" t="s">
        <v>17</v>
      </c>
      <c r="F28" s="13">
        <f t="shared" si="4"/>
        <v>10000</v>
      </c>
      <c r="G28" s="13">
        <f t="shared" si="5"/>
        <v>0</v>
      </c>
      <c r="H28" s="13">
        <v>0</v>
      </c>
      <c r="I28" s="13">
        <v>0</v>
      </c>
      <c r="J28" s="13">
        <v>0</v>
      </c>
      <c r="K28" s="13">
        <v>0</v>
      </c>
      <c r="L28" s="13">
        <f t="shared" si="6"/>
        <v>10000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1" t="s">
        <v>24</v>
      </c>
      <c r="B29" s="11" t="s">
        <v>25</v>
      </c>
      <c r="C29" s="11" t="s">
        <v>20</v>
      </c>
      <c r="D29" s="12">
        <v>1496983352</v>
      </c>
      <c r="E29" s="13" t="s">
        <v>17</v>
      </c>
      <c r="F29" s="13">
        <f t="shared" si="4"/>
        <v>10000</v>
      </c>
      <c r="G29" s="13">
        <f t="shared" si="5"/>
        <v>0</v>
      </c>
      <c r="H29" s="13">
        <v>0</v>
      </c>
      <c r="I29" s="13">
        <v>0</v>
      </c>
      <c r="J29" s="13">
        <v>0</v>
      </c>
      <c r="K29" s="13">
        <v>0</v>
      </c>
      <c r="L29" s="13">
        <f t="shared" si="6"/>
        <v>10000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1" t="s">
        <v>26</v>
      </c>
      <c r="B30" s="11" t="s">
        <v>27</v>
      </c>
      <c r="C30" s="11" t="s">
        <v>20</v>
      </c>
      <c r="D30" s="12" t="s">
        <v>28</v>
      </c>
      <c r="E30" s="13" t="s">
        <v>17</v>
      </c>
      <c r="F30" s="13">
        <f t="shared" si="4"/>
        <v>10000</v>
      </c>
      <c r="G30" s="13">
        <f t="shared" si="5"/>
        <v>0</v>
      </c>
      <c r="H30" s="13">
        <v>0</v>
      </c>
      <c r="I30" s="13">
        <v>0</v>
      </c>
      <c r="J30" s="13">
        <v>0</v>
      </c>
      <c r="K30" s="13">
        <v>0</v>
      </c>
      <c r="L30" s="13">
        <f t="shared" si="6"/>
        <v>10000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1" t="s">
        <v>29</v>
      </c>
      <c r="B31" s="11" t="s">
        <v>30</v>
      </c>
      <c r="C31" s="11" t="s">
        <v>31</v>
      </c>
      <c r="D31" s="12" t="s">
        <v>32</v>
      </c>
      <c r="E31" s="13" t="s">
        <v>17</v>
      </c>
      <c r="F31" s="13">
        <f t="shared" si="4"/>
        <v>10000</v>
      </c>
      <c r="G31" s="13">
        <f t="shared" si="5"/>
        <v>0</v>
      </c>
      <c r="H31" s="13">
        <v>0</v>
      </c>
      <c r="I31" s="13">
        <v>0</v>
      </c>
      <c r="J31" s="13">
        <v>0</v>
      </c>
      <c r="K31" s="13">
        <v>0</v>
      </c>
      <c r="L31" s="13">
        <f t="shared" si="6"/>
        <v>10000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 x14ac:dyDescent="0.25">
      <c r="A32" s="11" t="s">
        <v>33</v>
      </c>
      <c r="B32" s="11" t="s">
        <v>34</v>
      </c>
      <c r="C32" s="11" t="s">
        <v>35</v>
      </c>
      <c r="D32" s="12" t="s">
        <v>36</v>
      </c>
      <c r="E32" s="13" t="s">
        <v>17</v>
      </c>
      <c r="F32" s="13">
        <f t="shared" si="4"/>
        <v>10000</v>
      </c>
      <c r="G32" s="13">
        <f t="shared" si="5"/>
        <v>0</v>
      </c>
      <c r="H32" s="13">
        <v>0</v>
      </c>
      <c r="I32" s="13">
        <v>0</v>
      </c>
      <c r="J32" s="13">
        <v>0</v>
      </c>
      <c r="K32" s="13">
        <v>0</v>
      </c>
      <c r="L32" s="13">
        <f t="shared" si="6"/>
        <v>10000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1" t="s">
        <v>37</v>
      </c>
      <c r="B33" s="11" t="s">
        <v>38</v>
      </c>
      <c r="C33" s="11" t="s">
        <v>39</v>
      </c>
      <c r="D33" s="12">
        <v>6016842634</v>
      </c>
      <c r="E33" s="13" t="s">
        <v>17</v>
      </c>
      <c r="F33" s="13">
        <f t="shared" si="4"/>
        <v>10000</v>
      </c>
      <c r="G33" s="13">
        <f t="shared" si="5"/>
        <v>0</v>
      </c>
      <c r="H33" s="13">
        <v>0</v>
      </c>
      <c r="I33" s="13">
        <v>0</v>
      </c>
      <c r="J33" s="13">
        <v>0</v>
      </c>
      <c r="K33" s="13">
        <v>0</v>
      </c>
      <c r="L33" s="13">
        <f t="shared" si="6"/>
        <v>10000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1" t="s">
        <v>40</v>
      </c>
      <c r="B34" s="11" t="s">
        <v>41</v>
      </c>
      <c r="C34" s="11" t="s">
        <v>42</v>
      </c>
      <c r="D34" s="12">
        <v>3106893016</v>
      </c>
      <c r="E34" s="13" t="s">
        <v>17</v>
      </c>
      <c r="F34" s="13">
        <f t="shared" si="4"/>
        <v>10000</v>
      </c>
      <c r="G34" s="13">
        <f t="shared" si="5"/>
        <v>0</v>
      </c>
      <c r="H34" s="13">
        <v>0</v>
      </c>
      <c r="I34" s="13">
        <v>0</v>
      </c>
      <c r="J34" s="13">
        <v>0</v>
      </c>
      <c r="K34" s="13">
        <v>0</v>
      </c>
      <c r="L34" s="13">
        <f t="shared" si="6"/>
        <v>10000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1" t="s">
        <v>43</v>
      </c>
      <c r="B35" s="11" t="s">
        <v>44</v>
      </c>
      <c r="C35" s="11" t="s">
        <v>23</v>
      </c>
      <c r="D35" s="15">
        <v>2120312049</v>
      </c>
      <c r="E35" s="13" t="s">
        <v>17</v>
      </c>
      <c r="F35" s="13">
        <f t="shared" si="4"/>
        <v>10000</v>
      </c>
      <c r="G35" s="13">
        <f t="shared" si="5"/>
        <v>0</v>
      </c>
      <c r="H35" s="13">
        <v>0</v>
      </c>
      <c r="I35" s="13">
        <v>0</v>
      </c>
      <c r="J35" s="13">
        <v>0</v>
      </c>
      <c r="K35" s="13">
        <v>0</v>
      </c>
      <c r="L35" s="13">
        <f t="shared" si="6"/>
        <v>10000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1" t="s">
        <v>45</v>
      </c>
      <c r="B36" s="11" t="s">
        <v>46</v>
      </c>
      <c r="C36" s="11" t="s">
        <v>42</v>
      </c>
      <c r="D36" s="12">
        <v>7346952016</v>
      </c>
      <c r="E36" s="13" t="s">
        <v>47</v>
      </c>
      <c r="F36" s="13">
        <v>30000</v>
      </c>
      <c r="G36" s="13">
        <f t="shared" si="5"/>
        <v>300</v>
      </c>
      <c r="H36" s="13">
        <v>0</v>
      </c>
      <c r="I36" s="13">
        <v>10000</v>
      </c>
      <c r="J36" s="13">
        <v>0</v>
      </c>
      <c r="K36" s="13">
        <v>0</v>
      </c>
      <c r="L36" s="13">
        <f t="shared" si="6"/>
        <v>19700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1" t="s">
        <v>48</v>
      </c>
      <c r="B37" s="11" t="s">
        <v>49</v>
      </c>
      <c r="C37" s="11" t="s">
        <v>42</v>
      </c>
      <c r="D37" s="12" t="s">
        <v>50</v>
      </c>
      <c r="E37" s="13" t="s">
        <v>47</v>
      </c>
      <c r="F37" s="13">
        <v>17000</v>
      </c>
      <c r="G37" s="13">
        <f t="shared" si="5"/>
        <v>170</v>
      </c>
      <c r="H37" s="13">
        <v>0</v>
      </c>
      <c r="I37" s="13">
        <v>0</v>
      </c>
      <c r="J37" s="13">
        <v>0</v>
      </c>
      <c r="K37" s="13">
        <v>0</v>
      </c>
      <c r="L37" s="13">
        <f t="shared" si="6"/>
        <v>16830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1" t="s">
        <v>51</v>
      </c>
      <c r="B38" s="11" t="s">
        <v>52</v>
      </c>
      <c r="C38" s="11" t="s">
        <v>53</v>
      </c>
      <c r="D38" s="12">
        <v>3085168474</v>
      </c>
      <c r="E38" s="13" t="s">
        <v>47</v>
      </c>
      <c r="F38" s="13">
        <v>30000</v>
      </c>
      <c r="G38" s="13">
        <f t="shared" si="5"/>
        <v>300</v>
      </c>
      <c r="H38" s="13">
        <v>0</v>
      </c>
      <c r="I38" s="13">
        <v>0</v>
      </c>
      <c r="J38" s="13">
        <v>0</v>
      </c>
      <c r="K38" s="13">
        <v>0</v>
      </c>
      <c r="L38" s="13">
        <f t="shared" si="6"/>
        <v>29700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1" t="s">
        <v>54</v>
      </c>
      <c r="B39" s="11" t="s">
        <v>52</v>
      </c>
      <c r="C39" s="11" t="s">
        <v>15</v>
      </c>
      <c r="D39" s="12" t="s">
        <v>55</v>
      </c>
      <c r="E39" s="13" t="s">
        <v>47</v>
      </c>
      <c r="F39" s="13">
        <v>20000</v>
      </c>
      <c r="G39" s="13">
        <f t="shared" si="5"/>
        <v>200</v>
      </c>
      <c r="H39" s="13">
        <v>0</v>
      </c>
      <c r="I39" s="13">
        <v>0</v>
      </c>
      <c r="J39" s="13">
        <v>0</v>
      </c>
      <c r="K39" s="13">
        <v>0</v>
      </c>
      <c r="L39" s="13">
        <f t="shared" si="6"/>
        <v>19800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 x14ac:dyDescent="0.25">
      <c r="A40" s="11" t="s">
        <v>56</v>
      </c>
      <c r="B40" s="11" t="s">
        <v>57</v>
      </c>
      <c r="C40" s="11" t="s">
        <v>23</v>
      </c>
      <c r="D40" s="12">
        <v>2095374871</v>
      </c>
      <c r="E40" s="13" t="s">
        <v>47</v>
      </c>
      <c r="F40" s="13">
        <v>18000</v>
      </c>
      <c r="G40" s="13">
        <f t="shared" si="5"/>
        <v>180</v>
      </c>
      <c r="H40" s="13">
        <v>0</v>
      </c>
      <c r="I40" s="13">
        <v>0</v>
      </c>
      <c r="J40" s="13">
        <v>0</v>
      </c>
      <c r="K40" s="13">
        <v>0</v>
      </c>
      <c r="L40" s="13">
        <f t="shared" si="6"/>
        <v>17820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 x14ac:dyDescent="0.25">
      <c r="A41" s="11" t="s">
        <v>58</v>
      </c>
      <c r="B41" s="11" t="s">
        <v>59</v>
      </c>
      <c r="C41" s="11" t="s">
        <v>42</v>
      </c>
      <c r="D41" s="12">
        <v>7560696011</v>
      </c>
      <c r="E41" s="13" t="s">
        <v>47</v>
      </c>
      <c r="F41" s="13">
        <v>20000</v>
      </c>
      <c r="G41" s="13">
        <f t="shared" si="5"/>
        <v>200</v>
      </c>
      <c r="H41" s="13">
        <v>0</v>
      </c>
      <c r="I41" s="13">
        <v>1200</v>
      </c>
      <c r="J41" s="13">
        <v>0</v>
      </c>
      <c r="K41" s="13">
        <v>0</v>
      </c>
      <c r="L41" s="13">
        <f t="shared" si="6"/>
        <v>18600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 x14ac:dyDescent="0.25">
      <c r="A42" s="11" t="s">
        <v>60</v>
      </c>
      <c r="B42" s="11" t="s">
        <v>52</v>
      </c>
      <c r="C42" s="11" t="s">
        <v>15</v>
      </c>
      <c r="D42" s="12" t="s">
        <v>61</v>
      </c>
      <c r="E42" s="13" t="s">
        <v>62</v>
      </c>
      <c r="F42" s="13">
        <v>20000</v>
      </c>
      <c r="G42" s="13">
        <f t="shared" si="5"/>
        <v>200</v>
      </c>
      <c r="H42" s="13">
        <v>0</v>
      </c>
      <c r="I42" s="13">
        <v>0</v>
      </c>
      <c r="J42" s="13">
        <v>0</v>
      </c>
      <c r="K42" s="13">
        <v>0</v>
      </c>
      <c r="L42" s="13">
        <f t="shared" si="6"/>
        <v>19800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 x14ac:dyDescent="0.25">
      <c r="A43" s="11" t="s">
        <v>63</v>
      </c>
      <c r="B43" s="11" t="s">
        <v>64</v>
      </c>
      <c r="C43" s="11" t="s">
        <v>20</v>
      </c>
      <c r="D43" s="12" t="s">
        <v>65</v>
      </c>
      <c r="E43" s="13" t="s">
        <v>62</v>
      </c>
      <c r="F43" s="13">
        <v>18000</v>
      </c>
      <c r="G43" s="13">
        <f t="shared" si="5"/>
        <v>180</v>
      </c>
      <c r="H43" s="13">
        <v>0</v>
      </c>
      <c r="I43" s="13">
        <v>0</v>
      </c>
      <c r="J43" s="13">
        <v>0</v>
      </c>
      <c r="K43" s="13">
        <v>0</v>
      </c>
      <c r="L43" s="13">
        <f t="shared" si="6"/>
        <v>17820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 x14ac:dyDescent="0.25">
      <c r="A44" s="11" t="s">
        <v>66</v>
      </c>
      <c r="B44" s="11" t="s">
        <v>67</v>
      </c>
      <c r="C44" s="11" t="s">
        <v>15</v>
      </c>
      <c r="D44" s="12" t="s">
        <v>68</v>
      </c>
      <c r="E44" s="13" t="s">
        <v>62</v>
      </c>
      <c r="F44" s="13">
        <v>15000</v>
      </c>
      <c r="G44" s="13">
        <f t="shared" si="5"/>
        <v>150</v>
      </c>
      <c r="H44" s="13">
        <v>0</v>
      </c>
      <c r="I44" s="13">
        <v>0</v>
      </c>
      <c r="J44" s="13">
        <v>0</v>
      </c>
      <c r="K44" s="13">
        <v>0</v>
      </c>
      <c r="L44" s="13">
        <f t="shared" si="6"/>
        <v>14850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 x14ac:dyDescent="0.25">
      <c r="A45" s="16"/>
      <c r="B45" s="16"/>
      <c r="C45" s="16"/>
      <c r="D45" s="17"/>
      <c r="E45" s="18"/>
      <c r="F45" s="18">
        <f t="shared" ref="F45:L45" si="7">SUM(F27:F44)</f>
        <v>278000</v>
      </c>
      <c r="G45" s="18">
        <f t="shared" si="7"/>
        <v>1880</v>
      </c>
      <c r="H45" s="18">
        <f t="shared" si="7"/>
        <v>0</v>
      </c>
      <c r="I45" s="18">
        <f t="shared" si="7"/>
        <v>11200</v>
      </c>
      <c r="J45" s="18">
        <f t="shared" si="7"/>
        <v>0</v>
      </c>
      <c r="K45" s="18">
        <f t="shared" si="7"/>
        <v>0</v>
      </c>
      <c r="L45" s="18">
        <f t="shared" si="7"/>
        <v>264920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 x14ac:dyDescent="0.25">
      <c r="A46" s="14"/>
      <c r="B46" s="14"/>
      <c r="C46" s="14"/>
      <c r="D46" s="20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 x14ac:dyDescent="0.25">
      <c r="A47" s="21" t="s">
        <v>73</v>
      </c>
      <c r="B47" s="14"/>
      <c r="C47" s="14"/>
      <c r="D47" s="2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 x14ac:dyDescent="0.25">
      <c r="A48" s="11" t="s">
        <v>13</v>
      </c>
      <c r="B48" s="11" t="s">
        <v>14</v>
      </c>
      <c r="C48" s="11" t="s">
        <v>15</v>
      </c>
      <c r="D48" s="12" t="s">
        <v>16</v>
      </c>
      <c r="E48" s="13" t="s">
        <v>17</v>
      </c>
      <c r="F48" s="13">
        <f t="shared" ref="F48:F56" si="8">IF(E48="corper",10000,"Enter Value")</f>
        <v>10000</v>
      </c>
      <c r="G48" s="13">
        <f t="shared" ref="G48:G65" si="9">IF(E48="corper",0,F48*0.01)</f>
        <v>0</v>
      </c>
      <c r="H48" s="13">
        <v>0</v>
      </c>
      <c r="I48" s="13">
        <v>0</v>
      </c>
      <c r="J48" s="13">
        <v>0</v>
      </c>
      <c r="K48" s="13">
        <v>0</v>
      </c>
      <c r="L48" s="13">
        <f t="shared" ref="L48:L65" si="10">F48-SUM(G48:I48)+SUM(J48:K48)</f>
        <v>10000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1" t="s">
        <v>18</v>
      </c>
      <c r="B49" s="11" t="s">
        <v>19</v>
      </c>
      <c r="C49" s="11" t="s">
        <v>20</v>
      </c>
      <c r="D49" s="12">
        <v>1486434228</v>
      </c>
      <c r="E49" s="13" t="s">
        <v>17</v>
      </c>
      <c r="F49" s="13">
        <f t="shared" si="8"/>
        <v>10000</v>
      </c>
      <c r="G49" s="13">
        <f t="shared" si="9"/>
        <v>0</v>
      </c>
      <c r="H49" s="13">
        <v>0</v>
      </c>
      <c r="I49" s="13">
        <v>0</v>
      </c>
      <c r="J49" s="13">
        <v>0</v>
      </c>
      <c r="K49" s="13">
        <v>0</v>
      </c>
      <c r="L49" s="13">
        <f t="shared" si="10"/>
        <v>10000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1" t="s">
        <v>24</v>
      </c>
      <c r="B50" s="11" t="s">
        <v>25</v>
      </c>
      <c r="C50" s="11" t="s">
        <v>20</v>
      </c>
      <c r="D50" s="12">
        <v>1496983352</v>
      </c>
      <c r="E50" s="13" t="s">
        <v>17</v>
      </c>
      <c r="F50" s="13">
        <f t="shared" si="8"/>
        <v>10000</v>
      </c>
      <c r="G50" s="13">
        <f t="shared" si="9"/>
        <v>0</v>
      </c>
      <c r="H50" s="13">
        <v>0</v>
      </c>
      <c r="I50" s="13">
        <v>0</v>
      </c>
      <c r="J50" s="13">
        <v>0</v>
      </c>
      <c r="K50" s="13">
        <v>23300</v>
      </c>
      <c r="L50" s="13">
        <f t="shared" si="10"/>
        <v>33300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1" t="s">
        <v>26</v>
      </c>
      <c r="B51" s="11" t="s">
        <v>27</v>
      </c>
      <c r="C51" s="11" t="s">
        <v>20</v>
      </c>
      <c r="D51" s="12" t="s">
        <v>28</v>
      </c>
      <c r="E51" s="13" t="s">
        <v>17</v>
      </c>
      <c r="F51" s="13">
        <f t="shared" si="8"/>
        <v>10000</v>
      </c>
      <c r="G51" s="13">
        <f t="shared" si="9"/>
        <v>0</v>
      </c>
      <c r="H51" s="13">
        <v>0</v>
      </c>
      <c r="I51" s="13">
        <v>0</v>
      </c>
      <c r="J51" s="13">
        <v>0</v>
      </c>
      <c r="K51" s="13">
        <v>0</v>
      </c>
      <c r="L51" s="13">
        <f t="shared" si="10"/>
        <v>10000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1" t="s">
        <v>29</v>
      </c>
      <c r="B52" s="11" t="s">
        <v>30</v>
      </c>
      <c r="C52" s="11" t="s">
        <v>31</v>
      </c>
      <c r="D52" s="12" t="s">
        <v>32</v>
      </c>
      <c r="E52" s="13" t="s">
        <v>17</v>
      </c>
      <c r="F52" s="13">
        <f t="shared" si="8"/>
        <v>10000</v>
      </c>
      <c r="G52" s="13">
        <f t="shared" si="9"/>
        <v>0</v>
      </c>
      <c r="H52" s="13">
        <v>0</v>
      </c>
      <c r="I52" s="13">
        <v>0</v>
      </c>
      <c r="J52" s="13">
        <v>0</v>
      </c>
      <c r="K52" s="13">
        <v>31175</v>
      </c>
      <c r="L52" s="13">
        <f t="shared" si="10"/>
        <v>41175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1" t="s">
        <v>33</v>
      </c>
      <c r="B53" s="11" t="s">
        <v>34</v>
      </c>
      <c r="C53" s="11" t="s">
        <v>20</v>
      </c>
      <c r="D53" s="12" t="s">
        <v>74</v>
      </c>
      <c r="E53" s="13" t="s">
        <v>17</v>
      </c>
      <c r="F53" s="13">
        <f t="shared" si="8"/>
        <v>10000</v>
      </c>
      <c r="G53" s="13">
        <f t="shared" si="9"/>
        <v>0</v>
      </c>
      <c r="H53" s="13">
        <v>0</v>
      </c>
      <c r="I53" s="13">
        <v>0</v>
      </c>
      <c r="J53" s="13">
        <v>0</v>
      </c>
      <c r="K53" s="13">
        <v>0</v>
      </c>
      <c r="L53" s="13">
        <f t="shared" si="10"/>
        <v>10000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1" t="s">
        <v>37</v>
      </c>
      <c r="B54" s="11" t="s">
        <v>38</v>
      </c>
      <c r="C54" s="11" t="s">
        <v>39</v>
      </c>
      <c r="D54" s="12">
        <v>6016842634</v>
      </c>
      <c r="E54" s="13" t="s">
        <v>17</v>
      </c>
      <c r="F54" s="13">
        <f t="shared" si="8"/>
        <v>10000</v>
      </c>
      <c r="G54" s="13">
        <f t="shared" si="9"/>
        <v>0</v>
      </c>
      <c r="H54" s="13">
        <v>0</v>
      </c>
      <c r="I54" s="13">
        <v>0</v>
      </c>
      <c r="J54" s="13">
        <v>0</v>
      </c>
      <c r="K54" s="13">
        <v>0</v>
      </c>
      <c r="L54" s="13">
        <f t="shared" si="10"/>
        <v>10000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1" t="s">
        <v>40</v>
      </c>
      <c r="B55" s="11" t="s">
        <v>41</v>
      </c>
      <c r="C55" s="11" t="s">
        <v>42</v>
      </c>
      <c r="D55" s="12">
        <v>3106893016</v>
      </c>
      <c r="E55" s="13" t="s">
        <v>17</v>
      </c>
      <c r="F55" s="13">
        <f t="shared" si="8"/>
        <v>10000</v>
      </c>
      <c r="G55" s="13">
        <f t="shared" si="9"/>
        <v>0</v>
      </c>
      <c r="H55" s="13">
        <v>0</v>
      </c>
      <c r="I55" s="13">
        <v>0</v>
      </c>
      <c r="J55" s="13">
        <v>0</v>
      </c>
      <c r="K55" s="13">
        <v>0</v>
      </c>
      <c r="L55" s="13">
        <f t="shared" si="10"/>
        <v>10000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1" t="s">
        <v>43</v>
      </c>
      <c r="B56" s="11" t="s">
        <v>44</v>
      </c>
      <c r="C56" s="11" t="s">
        <v>23</v>
      </c>
      <c r="D56" s="15">
        <v>2120312049</v>
      </c>
      <c r="E56" s="13" t="s">
        <v>17</v>
      </c>
      <c r="F56" s="13">
        <f t="shared" si="8"/>
        <v>10000</v>
      </c>
      <c r="G56" s="13">
        <f t="shared" si="9"/>
        <v>0</v>
      </c>
      <c r="H56" s="13">
        <v>0</v>
      </c>
      <c r="I56" s="13">
        <v>0</v>
      </c>
      <c r="J56" s="13">
        <v>0</v>
      </c>
      <c r="K56" s="13">
        <v>7565</v>
      </c>
      <c r="L56" s="13">
        <f t="shared" si="10"/>
        <v>17565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1" t="s">
        <v>45</v>
      </c>
      <c r="B57" s="11" t="s">
        <v>46</v>
      </c>
      <c r="C57" s="11" t="s">
        <v>42</v>
      </c>
      <c r="D57" s="12">
        <v>7346952016</v>
      </c>
      <c r="E57" s="13" t="s">
        <v>47</v>
      </c>
      <c r="F57" s="13">
        <v>30000</v>
      </c>
      <c r="G57" s="13">
        <f t="shared" si="9"/>
        <v>300</v>
      </c>
      <c r="H57" s="13">
        <v>0</v>
      </c>
      <c r="I57" s="13">
        <v>15000</v>
      </c>
      <c r="J57" s="13">
        <v>0</v>
      </c>
      <c r="K57" s="13">
        <v>0</v>
      </c>
      <c r="L57" s="13">
        <f t="shared" si="10"/>
        <v>14700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1" t="s">
        <v>48</v>
      </c>
      <c r="B58" s="11" t="s">
        <v>49</v>
      </c>
      <c r="C58" s="11" t="s">
        <v>42</v>
      </c>
      <c r="D58" s="12" t="s">
        <v>50</v>
      </c>
      <c r="E58" s="13" t="s">
        <v>47</v>
      </c>
      <c r="F58" s="13">
        <v>17000</v>
      </c>
      <c r="G58" s="13">
        <f t="shared" si="9"/>
        <v>170</v>
      </c>
      <c r="H58" s="13">
        <v>0</v>
      </c>
      <c r="I58" s="13">
        <v>0</v>
      </c>
      <c r="J58" s="13">
        <v>0</v>
      </c>
      <c r="K58" s="13">
        <v>0</v>
      </c>
      <c r="L58" s="13">
        <f t="shared" si="10"/>
        <v>16830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1" t="s">
        <v>51</v>
      </c>
      <c r="B59" s="11" t="s">
        <v>52</v>
      </c>
      <c r="C59" s="11" t="s">
        <v>53</v>
      </c>
      <c r="D59" s="12">
        <v>3085168474</v>
      </c>
      <c r="E59" s="13" t="s">
        <v>47</v>
      </c>
      <c r="F59" s="13">
        <v>30000</v>
      </c>
      <c r="G59" s="13">
        <f t="shared" si="9"/>
        <v>300</v>
      </c>
      <c r="H59" s="13">
        <v>0</v>
      </c>
      <c r="I59" s="13">
        <v>0</v>
      </c>
      <c r="J59" s="13">
        <v>0</v>
      </c>
      <c r="K59" s="13">
        <v>10712.23</v>
      </c>
      <c r="L59" s="13">
        <f t="shared" si="10"/>
        <v>40412.229999999996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1" t="s">
        <v>54</v>
      </c>
      <c r="B60" s="11" t="s">
        <v>52</v>
      </c>
      <c r="C60" s="11" t="s">
        <v>15</v>
      </c>
      <c r="D60" s="12" t="s">
        <v>55</v>
      </c>
      <c r="E60" s="13" t="s">
        <v>47</v>
      </c>
      <c r="F60" s="13">
        <v>20000</v>
      </c>
      <c r="G60" s="13">
        <f t="shared" si="9"/>
        <v>200</v>
      </c>
      <c r="H60" s="13">
        <v>0</v>
      </c>
      <c r="I60" s="13">
        <v>0</v>
      </c>
      <c r="J60" s="13">
        <v>0</v>
      </c>
      <c r="K60" s="13">
        <v>0</v>
      </c>
      <c r="L60" s="13">
        <f t="shared" si="10"/>
        <v>19800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1" t="s">
        <v>56</v>
      </c>
      <c r="B61" s="11" t="s">
        <v>57</v>
      </c>
      <c r="C61" s="11" t="s">
        <v>75</v>
      </c>
      <c r="D61" s="12" t="s">
        <v>76</v>
      </c>
      <c r="E61" s="13" t="s">
        <v>47</v>
      </c>
      <c r="F61" s="13">
        <v>18000</v>
      </c>
      <c r="G61" s="13">
        <f t="shared" si="9"/>
        <v>180</v>
      </c>
      <c r="H61" s="13">
        <v>0</v>
      </c>
      <c r="I61" s="13">
        <v>0</v>
      </c>
      <c r="J61" s="13">
        <v>0</v>
      </c>
      <c r="K61" s="13">
        <v>11348.94</v>
      </c>
      <c r="L61" s="13">
        <f t="shared" si="10"/>
        <v>29168.940000000002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1" t="s">
        <v>58</v>
      </c>
      <c r="B62" s="11" t="s">
        <v>59</v>
      </c>
      <c r="C62" s="11" t="s">
        <v>42</v>
      </c>
      <c r="D62" s="12">
        <v>7560696011</v>
      </c>
      <c r="E62" s="13" t="s">
        <v>47</v>
      </c>
      <c r="F62" s="13">
        <v>20000</v>
      </c>
      <c r="G62" s="13">
        <f t="shared" si="9"/>
        <v>200</v>
      </c>
      <c r="H62" s="13">
        <v>0</v>
      </c>
      <c r="I62" s="13">
        <v>0</v>
      </c>
      <c r="J62" s="13">
        <v>0</v>
      </c>
      <c r="K62" s="13">
        <v>11348.94</v>
      </c>
      <c r="L62" s="13">
        <f t="shared" si="10"/>
        <v>31148.940000000002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1" t="s">
        <v>60</v>
      </c>
      <c r="B63" s="11" t="s">
        <v>52</v>
      </c>
      <c r="C63" s="11" t="s">
        <v>15</v>
      </c>
      <c r="D63" s="12" t="s">
        <v>61</v>
      </c>
      <c r="E63" s="13" t="s">
        <v>62</v>
      </c>
      <c r="F63" s="13">
        <v>20000</v>
      </c>
      <c r="G63" s="13">
        <f t="shared" si="9"/>
        <v>200</v>
      </c>
      <c r="H63" s="13">
        <v>0</v>
      </c>
      <c r="I63" s="13">
        <v>5000</v>
      </c>
      <c r="J63" s="13">
        <v>0</v>
      </c>
      <c r="K63" s="13">
        <v>0</v>
      </c>
      <c r="L63" s="13">
        <f t="shared" si="10"/>
        <v>14800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1" t="s">
        <v>63</v>
      </c>
      <c r="B64" s="11" t="s">
        <v>64</v>
      </c>
      <c r="C64" s="11" t="s">
        <v>35</v>
      </c>
      <c r="D64" s="12" t="s">
        <v>77</v>
      </c>
      <c r="E64" s="13" t="s">
        <v>62</v>
      </c>
      <c r="F64" s="13">
        <v>18000</v>
      </c>
      <c r="G64" s="13">
        <f t="shared" si="9"/>
        <v>180</v>
      </c>
      <c r="H64" s="13">
        <v>0</v>
      </c>
      <c r="I64" s="13">
        <v>0</v>
      </c>
      <c r="J64" s="13">
        <v>0</v>
      </c>
      <c r="K64" s="13">
        <v>16248.94</v>
      </c>
      <c r="L64" s="13">
        <f t="shared" si="10"/>
        <v>34068.94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1" t="s">
        <v>66</v>
      </c>
      <c r="B65" s="11" t="s">
        <v>67</v>
      </c>
      <c r="C65" s="11" t="s">
        <v>15</v>
      </c>
      <c r="D65" s="12" t="s">
        <v>68</v>
      </c>
      <c r="E65" s="13" t="s">
        <v>62</v>
      </c>
      <c r="F65" s="13">
        <v>15000</v>
      </c>
      <c r="G65" s="13">
        <f t="shared" si="9"/>
        <v>150</v>
      </c>
      <c r="H65" s="13">
        <v>0</v>
      </c>
      <c r="I65" s="13">
        <v>0</v>
      </c>
      <c r="J65" s="13">
        <v>0</v>
      </c>
      <c r="K65" s="13">
        <v>0</v>
      </c>
      <c r="L65" s="13">
        <f t="shared" si="10"/>
        <v>14850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6"/>
      <c r="B66" s="16"/>
      <c r="C66" s="16"/>
      <c r="D66" s="17"/>
      <c r="E66" s="18"/>
      <c r="F66" s="18">
        <f t="shared" ref="F66:L66" si="11">SUM(F48:F65)</f>
        <v>278000</v>
      </c>
      <c r="G66" s="18">
        <f t="shared" si="11"/>
        <v>1880</v>
      </c>
      <c r="H66" s="18">
        <f t="shared" si="11"/>
        <v>0</v>
      </c>
      <c r="I66" s="18">
        <f t="shared" si="11"/>
        <v>20000</v>
      </c>
      <c r="J66" s="18">
        <f t="shared" si="11"/>
        <v>0</v>
      </c>
      <c r="K66" s="18">
        <f t="shared" si="11"/>
        <v>111699.05</v>
      </c>
      <c r="L66" s="18">
        <f t="shared" si="11"/>
        <v>367819.05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20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21" t="s">
        <v>78</v>
      </c>
      <c r="B68" s="14"/>
      <c r="C68" s="14"/>
      <c r="D68" s="20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1" t="s">
        <v>13</v>
      </c>
      <c r="B69" s="11" t="s">
        <v>14</v>
      </c>
      <c r="C69" s="11" t="s">
        <v>15</v>
      </c>
      <c r="D69" s="12" t="s">
        <v>16</v>
      </c>
      <c r="E69" s="13" t="s">
        <v>17</v>
      </c>
      <c r="F69" s="13">
        <v>5000</v>
      </c>
      <c r="G69" s="13">
        <f t="shared" ref="G69:G83" si="12">IF(E69="corper",0,F69*0.01)</f>
        <v>0</v>
      </c>
      <c r="H69" s="13">
        <v>0</v>
      </c>
      <c r="I69" s="13">
        <v>0</v>
      </c>
      <c r="J69" s="13">
        <v>0</v>
      </c>
      <c r="K69" s="13">
        <v>0</v>
      </c>
      <c r="L69" s="13">
        <f t="shared" ref="L69:L83" si="13">F69-SUM(G69:I69)+SUM(J69:K69)</f>
        <v>5000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1" t="s">
        <v>18</v>
      </c>
      <c r="B70" s="11" t="s">
        <v>19</v>
      </c>
      <c r="C70" s="11" t="s">
        <v>20</v>
      </c>
      <c r="D70" s="12">
        <v>1486434228</v>
      </c>
      <c r="E70" s="13" t="s">
        <v>17</v>
      </c>
      <c r="F70" s="13">
        <v>5000</v>
      </c>
      <c r="G70" s="13">
        <f t="shared" si="12"/>
        <v>0</v>
      </c>
      <c r="H70" s="13">
        <v>0</v>
      </c>
      <c r="I70" s="13">
        <v>0</v>
      </c>
      <c r="J70" s="13">
        <v>0</v>
      </c>
      <c r="K70" s="13">
        <v>0</v>
      </c>
      <c r="L70" s="13">
        <f t="shared" si="13"/>
        <v>5000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1" t="s">
        <v>24</v>
      </c>
      <c r="B71" s="11" t="s">
        <v>25</v>
      </c>
      <c r="C71" s="11" t="s">
        <v>20</v>
      </c>
      <c r="D71" s="12">
        <v>1496983352</v>
      </c>
      <c r="E71" s="13" t="s">
        <v>17</v>
      </c>
      <c r="F71" s="13">
        <v>5000</v>
      </c>
      <c r="G71" s="13">
        <f t="shared" si="12"/>
        <v>0</v>
      </c>
      <c r="H71" s="13">
        <v>0</v>
      </c>
      <c r="I71" s="13">
        <v>0</v>
      </c>
      <c r="J71" s="13">
        <v>0</v>
      </c>
      <c r="K71" s="13">
        <v>0</v>
      </c>
      <c r="L71" s="13">
        <f t="shared" si="13"/>
        <v>5000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1" t="s">
        <v>26</v>
      </c>
      <c r="B72" s="11" t="s">
        <v>27</v>
      </c>
      <c r="C72" s="11" t="s">
        <v>20</v>
      </c>
      <c r="D72" s="12" t="s">
        <v>28</v>
      </c>
      <c r="E72" s="13" t="s">
        <v>17</v>
      </c>
      <c r="F72" s="13">
        <v>5000</v>
      </c>
      <c r="G72" s="13">
        <f t="shared" si="12"/>
        <v>0</v>
      </c>
      <c r="H72" s="13">
        <v>0</v>
      </c>
      <c r="I72" s="13">
        <v>0</v>
      </c>
      <c r="J72" s="13">
        <v>0</v>
      </c>
      <c r="K72" s="13">
        <v>0</v>
      </c>
      <c r="L72" s="13">
        <f t="shared" si="13"/>
        <v>5000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1" t="s">
        <v>29</v>
      </c>
      <c r="B73" s="11" t="s">
        <v>30</v>
      </c>
      <c r="C73" s="11" t="s">
        <v>31</v>
      </c>
      <c r="D73" s="12" t="s">
        <v>32</v>
      </c>
      <c r="E73" s="13" t="s">
        <v>17</v>
      </c>
      <c r="F73" s="13">
        <v>5000</v>
      </c>
      <c r="G73" s="13">
        <f t="shared" si="12"/>
        <v>0</v>
      </c>
      <c r="H73" s="13">
        <v>0</v>
      </c>
      <c r="I73" s="13">
        <v>0</v>
      </c>
      <c r="J73" s="13">
        <v>0</v>
      </c>
      <c r="K73" s="13">
        <v>0</v>
      </c>
      <c r="L73" s="13">
        <f t="shared" si="13"/>
        <v>5000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1" t="s">
        <v>33</v>
      </c>
      <c r="B74" s="11" t="s">
        <v>34</v>
      </c>
      <c r="C74" s="11" t="s">
        <v>20</v>
      </c>
      <c r="D74" s="12" t="s">
        <v>74</v>
      </c>
      <c r="E74" s="13" t="s">
        <v>17</v>
      </c>
      <c r="F74" s="13">
        <v>5000</v>
      </c>
      <c r="G74" s="13">
        <f t="shared" si="12"/>
        <v>0</v>
      </c>
      <c r="H74" s="13">
        <v>0</v>
      </c>
      <c r="I74" s="13">
        <v>0</v>
      </c>
      <c r="J74" s="13">
        <v>0</v>
      </c>
      <c r="K74" s="13">
        <v>0</v>
      </c>
      <c r="L74" s="13">
        <f t="shared" si="13"/>
        <v>5000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1" t="s">
        <v>37</v>
      </c>
      <c r="B75" s="11" t="s">
        <v>38</v>
      </c>
      <c r="C75" s="11" t="s">
        <v>39</v>
      </c>
      <c r="D75" s="12">
        <v>6016842634</v>
      </c>
      <c r="E75" s="13" t="s">
        <v>17</v>
      </c>
      <c r="F75" s="13">
        <v>5000</v>
      </c>
      <c r="G75" s="13">
        <f t="shared" si="12"/>
        <v>0</v>
      </c>
      <c r="H75" s="13">
        <v>0</v>
      </c>
      <c r="I75" s="13">
        <v>0</v>
      </c>
      <c r="J75" s="13">
        <v>0</v>
      </c>
      <c r="K75" s="13">
        <v>0</v>
      </c>
      <c r="L75" s="13">
        <f t="shared" si="13"/>
        <v>5000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1" t="s">
        <v>40</v>
      </c>
      <c r="B76" s="11" t="s">
        <v>41</v>
      </c>
      <c r="C76" s="11" t="s">
        <v>42</v>
      </c>
      <c r="D76" s="12">
        <v>3106893016</v>
      </c>
      <c r="E76" s="13" t="s">
        <v>17</v>
      </c>
      <c r="F76" s="13">
        <v>5000</v>
      </c>
      <c r="G76" s="13">
        <f t="shared" si="12"/>
        <v>0</v>
      </c>
      <c r="H76" s="13">
        <v>0</v>
      </c>
      <c r="I76" s="13">
        <v>0</v>
      </c>
      <c r="J76" s="13">
        <v>0</v>
      </c>
      <c r="K76" s="13">
        <v>0</v>
      </c>
      <c r="L76" s="13">
        <f t="shared" si="13"/>
        <v>5000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1" t="s">
        <v>43</v>
      </c>
      <c r="B77" s="11" t="s">
        <v>44</v>
      </c>
      <c r="C77" s="11" t="s">
        <v>23</v>
      </c>
      <c r="D77" s="15">
        <v>2120312049</v>
      </c>
      <c r="E77" s="13" t="s">
        <v>17</v>
      </c>
      <c r="F77" s="13">
        <v>5000</v>
      </c>
      <c r="G77" s="13">
        <f t="shared" si="12"/>
        <v>0</v>
      </c>
      <c r="H77" s="13">
        <v>0</v>
      </c>
      <c r="I77" s="13">
        <v>0</v>
      </c>
      <c r="J77" s="13">
        <v>0</v>
      </c>
      <c r="K77" s="13">
        <v>0</v>
      </c>
      <c r="L77" s="13">
        <f t="shared" si="13"/>
        <v>5000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1" t="s">
        <v>45</v>
      </c>
      <c r="B78" s="11" t="s">
        <v>46</v>
      </c>
      <c r="C78" s="11" t="s">
        <v>42</v>
      </c>
      <c r="D78" s="12">
        <v>7346952016</v>
      </c>
      <c r="E78" s="13" t="s">
        <v>47</v>
      </c>
      <c r="F78" s="13">
        <v>15000</v>
      </c>
      <c r="G78" s="13">
        <f t="shared" si="12"/>
        <v>150</v>
      </c>
      <c r="H78" s="13">
        <v>0</v>
      </c>
      <c r="I78" s="13">
        <v>15000</v>
      </c>
      <c r="J78" s="13">
        <v>0</v>
      </c>
      <c r="K78" s="13">
        <v>0</v>
      </c>
      <c r="L78" s="13">
        <f t="shared" si="13"/>
        <v>-150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1" t="s">
        <v>48</v>
      </c>
      <c r="B79" s="11" t="s">
        <v>49</v>
      </c>
      <c r="C79" s="11" t="s">
        <v>42</v>
      </c>
      <c r="D79" s="12" t="s">
        <v>50</v>
      </c>
      <c r="E79" s="13" t="s">
        <v>47</v>
      </c>
      <c r="F79" s="13">
        <v>8500</v>
      </c>
      <c r="G79" s="13">
        <f t="shared" si="12"/>
        <v>85</v>
      </c>
      <c r="H79" s="13">
        <v>0</v>
      </c>
      <c r="I79" s="13">
        <v>0</v>
      </c>
      <c r="J79" s="13">
        <v>0</v>
      </c>
      <c r="K79" s="13">
        <v>0</v>
      </c>
      <c r="L79" s="13">
        <f t="shared" si="13"/>
        <v>8415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1" t="s">
        <v>51</v>
      </c>
      <c r="B80" s="11" t="s">
        <v>52</v>
      </c>
      <c r="C80" s="11" t="s">
        <v>53</v>
      </c>
      <c r="D80" s="12">
        <v>3085168474</v>
      </c>
      <c r="E80" s="13" t="s">
        <v>47</v>
      </c>
      <c r="F80" s="13">
        <v>15000</v>
      </c>
      <c r="G80" s="13">
        <f t="shared" si="12"/>
        <v>150</v>
      </c>
      <c r="H80" s="13">
        <v>0</v>
      </c>
      <c r="I80" s="13">
        <v>0</v>
      </c>
      <c r="J80" s="13">
        <v>0</v>
      </c>
      <c r="K80" s="13">
        <v>0</v>
      </c>
      <c r="L80" s="13">
        <f t="shared" si="13"/>
        <v>14850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1" t="s">
        <v>54</v>
      </c>
      <c r="B81" s="11" t="s">
        <v>52</v>
      </c>
      <c r="C81" s="11" t="s">
        <v>15</v>
      </c>
      <c r="D81" s="12" t="s">
        <v>55</v>
      </c>
      <c r="E81" s="13" t="s">
        <v>47</v>
      </c>
      <c r="F81" s="13">
        <v>10000</v>
      </c>
      <c r="G81" s="13">
        <f t="shared" si="12"/>
        <v>100</v>
      </c>
      <c r="H81" s="13">
        <v>0</v>
      </c>
      <c r="I81" s="13">
        <v>0</v>
      </c>
      <c r="J81" s="13">
        <v>0</v>
      </c>
      <c r="K81" s="13">
        <v>0</v>
      </c>
      <c r="L81" s="13">
        <f t="shared" si="13"/>
        <v>9900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1" t="s">
        <v>56</v>
      </c>
      <c r="B82" s="11" t="s">
        <v>57</v>
      </c>
      <c r="C82" s="11" t="s">
        <v>75</v>
      </c>
      <c r="D82" s="12" t="s">
        <v>76</v>
      </c>
      <c r="E82" s="13" t="s">
        <v>47</v>
      </c>
      <c r="F82" s="13">
        <v>9000</v>
      </c>
      <c r="G82" s="13">
        <f t="shared" si="12"/>
        <v>90</v>
      </c>
      <c r="H82" s="13">
        <v>0</v>
      </c>
      <c r="I82" s="13">
        <v>0</v>
      </c>
      <c r="J82" s="13">
        <v>0</v>
      </c>
      <c r="K82" s="13">
        <v>0</v>
      </c>
      <c r="L82" s="13">
        <f t="shared" si="13"/>
        <v>8910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1" t="s">
        <v>58</v>
      </c>
      <c r="B83" s="11" t="s">
        <v>59</v>
      </c>
      <c r="C83" s="11" t="s">
        <v>42</v>
      </c>
      <c r="D83" s="12">
        <v>7560696011</v>
      </c>
      <c r="E83" s="13" t="s">
        <v>47</v>
      </c>
      <c r="F83" s="13">
        <v>10000</v>
      </c>
      <c r="G83" s="13">
        <f t="shared" si="12"/>
        <v>100</v>
      </c>
      <c r="H83" s="13">
        <v>0</v>
      </c>
      <c r="I83" s="13">
        <v>0</v>
      </c>
      <c r="J83" s="13">
        <v>0</v>
      </c>
      <c r="K83" s="13">
        <v>0</v>
      </c>
      <c r="L83" s="13">
        <f t="shared" si="13"/>
        <v>9900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6"/>
      <c r="B84" s="16"/>
      <c r="C84" s="16"/>
      <c r="D84" s="17"/>
      <c r="E84" s="18"/>
      <c r="F84" s="18">
        <f t="shared" ref="F84:L84" si="14">SUM(F69:F83)</f>
        <v>112500</v>
      </c>
      <c r="G84" s="18">
        <f t="shared" si="14"/>
        <v>675</v>
      </c>
      <c r="H84" s="18">
        <f t="shared" si="14"/>
        <v>0</v>
      </c>
      <c r="I84" s="18">
        <f t="shared" si="14"/>
        <v>15000</v>
      </c>
      <c r="J84" s="18">
        <f t="shared" si="14"/>
        <v>0</v>
      </c>
      <c r="K84" s="18">
        <f t="shared" si="14"/>
        <v>0</v>
      </c>
      <c r="L84" s="18">
        <f t="shared" si="14"/>
        <v>96825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20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21" t="s">
        <v>79</v>
      </c>
      <c r="B86" s="14"/>
      <c r="C86" s="14"/>
      <c r="D86" s="20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1" t="s">
        <v>80</v>
      </c>
      <c r="B87" s="11" t="s">
        <v>81</v>
      </c>
      <c r="C87" s="11" t="s">
        <v>42</v>
      </c>
      <c r="D87" s="12" t="s">
        <v>82</v>
      </c>
      <c r="E87" s="13" t="s">
        <v>17</v>
      </c>
      <c r="F87" s="13">
        <v>10000</v>
      </c>
      <c r="G87" s="13">
        <f t="shared" ref="G87:G103" si="15">IF(E87="corper",0,F87*0.01)</f>
        <v>0</v>
      </c>
      <c r="H87" s="13">
        <v>0</v>
      </c>
      <c r="I87" s="13">
        <v>0</v>
      </c>
      <c r="J87" s="13">
        <v>0</v>
      </c>
      <c r="K87" s="13">
        <v>0</v>
      </c>
      <c r="L87" s="13">
        <f t="shared" ref="L87:L105" si="16">F87-SUM(G87:I87)+SUM(J87:K87)</f>
        <v>10000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1" t="s">
        <v>18</v>
      </c>
      <c r="B88" s="11" t="s">
        <v>19</v>
      </c>
      <c r="C88" s="11" t="s">
        <v>20</v>
      </c>
      <c r="D88" s="12">
        <v>1486434228</v>
      </c>
      <c r="E88" s="13" t="s">
        <v>17</v>
      </c>
      <c r="F88" s="13">
        <v>10000</v>
      </c>
      <c r="G88" s="13">
        <f t="shared" si="15"/>
        <v>0</v>
      </c>
      <c r="H88" s="13">
        <v>0</v>
      </c>
      <c r="I88" s="13">
        <v>0</v>
      </c>
      <c r="J88" s="13">
        <v>0</v>
      </c>
      <c r="K88" s="13">
        <v>0</v>
      </c>
      <c r="L88" s="13">
        <f t="shared" si="16"/>
        <v>10000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1" t="s">
        <v>83</v>
      </c>
      <c r="B89" s="11" t="s">
        <v>84</v>
      </c>
      <c r="C89" s="11" t="s">
        <v>35</v>
      </c>
      <c r="D89" s="12" t="s">
        <v>85</v>
      </c>
      <c r="E89" s="13" t="s">
        <v>17</v>
      </c>
      <c r="F89" s="13">
        <v>10000</v>
      </c>
      <c r="G89" s="13">
        <f t="shared" si="15"/>
        <v>0</v>
      </c>
      <c r="H89" s="13">
        <v>0</v>
      </c>
      <c r="I89" s="13">
        <v>0</v>
      </c>
      <c r="J89" s="13">
        <v>0</v>
      </c>
      <c r="K89" s="13">
        <v>0</v>
      </c>
      <c r="L89" s="13">
        <f t="shared" si="16"/>
        <v>10000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1" t="s">
        <v>86</v>
      </c>
      <c r="B90" s="11" t="s">
        <v>87</v>
      </c>
      <c r="C90" s="11" t="s">
        <v>23</v>
      </c>
      <c r="D90" s="12" t="s">
        <v>88</v>
      </c>
      <c r="E90" s="13" t="s">
        <v>17</v>
      </c>
      <c r="F90" s="13">
        <v>10000</v>
      </c>
      <c r="G90" s="13">
        <f t="shared" si="15"/>
        <v>0</v>
      </c>
      <c r="H90" s="13">
        <v>0</v>
      </c>
      <c r="I90" s="13">
        <v>0</v>
      </c>
      <c r="J90" s="13">
        <v>0</v>
      </c>
      <c r="K90" s="13">
        <v>0</v>
      </c>
      <c r="L90" s="13">
        <f t="shared" si="16"/>
        <v>10000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1" t="s">
        <v>24</v>
      </c>
      <c r="B91" s="11" t="s">
        <v>25</v>
      </c>
      <c r="C91" s="11" t="s">
        <v>20</v>
      </c>
      <c r="D91" s="12">
        <v>1496983352</v>
      </c>
      <c r="E91" s="13" t="s">
        <v>17</v>
      </c>
      <c r="F91" s="13">
        <v>10000</v>
      </c>
      <c r="G91" s="13">
        <f t="shared" si="15"/>
        <v>0</v>
      </c>
      <c r="H91" s="13">
        <v>0</v>
      </c>
      <c r="I91" s="13">
        <v>0</v>
      </c>
      <c r="J91" s="13">
        <v>0</v>
      </c>
      <c r="K91" s="13">
        <v>0</v>
      </c>
      <c r="L91" s="13">
        <f t="shared" si="16"/>
        <v>10000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1" t="s">
        <v>26</v>
      </c>
      <c r="B92" s="11" t="s">
        <v>27</v>
      </c>
      <c r="C92" s="11" t="s">
        <v>20</v>
      </c>
      <c r="D92" s="12" t="s">
        <v>28</v>
      </c>
      <c r="E92" s="13" t="s">
        <v>17</v>
      </c>
      <c r="F92" s="13">
        <v>10000</v>
      </c>
      <c r="G92" s="13">
        <f t="shared" si="15"/>
        <v>0</v>
      </c>
      <c r="H92" s="13">
        <v>0</v>
      </c>
      <c r="I92" s="13">
        <v>0</v>
      </c>
      <c r="J92" s="13">
        <v>0</v>
      </c>
      <c r="K92" s="13">
        <v>0</v>
      </c>
      <c r="L92" s="13">
        <f t="shared" si="16"/>
        <v>10000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1" t="s">
        <v>29</v>
      </c>
      <c r="B93" s="11" t="s">
        <v>30</v>
      </c>
      <c r="C93" s="11" t="s">
        <v>31</v>
      </c>
      <c r="D93" s="12" t="s">
        <v>32</v>
      </c>
      <c r="E93" s="13" t="s">
        <v>17</v>
      </c>
      <c r="F93" s="13">
        <v>10000</v>
      </c>
      <c r="G93" s="13">
        <f t="shared" si="15"/>
        <v>0</v>
      </c>
      <c r="H93" s="13">
        <v>0</v>
      </c>
      <c r="I93" s="13">
        <v>0</v>
      </c>
      <c r="J93" s="13">
        <v>0</v>
      </c>
      <c r="K93" s="13">
        <v>0</v>
      </c>
      <c r="L93" s="13">
        <f t="shared" si="16"/>
        <v>10000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1" t="s">
        <v>33</v>
      </c>
      <c r="B94" s="11" t="s">
        <v>34</v>
      </c>
      <c r="C94" s="11" t="s">
        <v>20</v>
      </c>
      <c r="D94" s="12" t="s">
        <v>74</v>
      </c>
      <c r="E94" s="13" t="s">
        <v>17</v>
      </c>
      <c r="F94" s="13">
        <v>10000</v>
      </c>
      <c r="G94" s="13">
        <f t="shared" si="15"/>
        <v>0</v>
      </c>
      <c r="H94" s="13">
        <v>0</v>
      </c>
      <c r="I94" s="13">
        <v>0</v>
      </c>
      <c r="J94" s="13">
        <v>0</v>
      </c>
      <c r="K94" s="13">
        <v>0</v>
      </c>
      <c r="L94" s="13">
        <f t="shared" si="16"/>
        <v>10000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1" t="s">
        <v>89</v>
      </c>
      <c r="B95" s="11" t="s">
        <v>90</v>
      </c>
      <c r="C95" s="11" t="s">
        <v>91</v>
      </c>
      <c r="D95" s="12" t="s">
        <v>92</v>
      </c>
      <c r="E95" s="13" t="s">
        <v>17</v>
      </c>
      <c r="F95" s="13">
        <v>10000</v>
      </c>
      <c r="G95" s="13">
        <f t="shared" si="15"/>
        <v>0</v>
      </c>
      <c r="H95" s="13">
        <v>0</v>
      </c>
      <c r="I95" s="13">
        <v>0</v>
      </c>
      <c r="J95" s="13">
        <v>0</v>
      </c>
      <c r="K95" s="13">
        <v>0</v>
      </c>
      <c r="L95" s="13">
        <f t="shared" si="16"/>
        <v>10000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1" t="s">
        <v>40</v>
      </c>
      <c r="B96" s="11" t="s">
        <v>41</v>
      </c>
      <c r="C96" s="11" t="s">
        <v>42</v>
      </c>
      <c r="D96" s="12">
        <v>3106893016</v>
      </c>
      <c r="E96" s="13" t="s">
        <v>17</v>
      </c>
      <c r="F96" s="13">
        <v>10000</v>
      </c>
      <c r="G96" s="13">
        <f t="shared" si="15"/>
        <v>0</v>
      </c>
      <c r="H96" s="13">
        <v>0</v>
      </c>
      <c r="I96" s="13">
        <v>0</v>
      </c>
      <c r="J96" s="13">
        <v>0</v>
      </c>
      <c r="K96" s="13">
        <v>0</v>
      </c>
      <c r="L96" s="13">
        <f t="shared" si="16"/>
        <v>10000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1" t="s">
        <v>43</v>
      </c>
      <c r="B97" s="11" t="s">
        <v>44</v>
      </c>
      <c r="C97" s="11" t="s">
        <v>23</v>
      </c>
      <c r="D97" s="15">
        <v>2120312049</v>
      </c>
      <c r="E97" s="13" t="s">
        <v>17</v>
      </c>
      <c r="F97" s="13">
        <v>10000</v>
      </c>
      <c r="G97" s="13">
        <f t="shared" si="15"/>
        <v>0</v>
      </c>
      <c r="H97" s="13">
        <v>0</v>
      </c>
      <c r="I97" s="13">
        <v>0</v>
      </c>
      <c r="J97" s="13">
        <v>0</v>
      </c>
      <c r="K97" s="13">
        <v>0</v>
      </c>
      <c r="L97" s="13">
        <f t="shared" si="16"/>
        <v>10000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1" t="s">
        <v>45</v>
      </c>
      <c r="B98" s="11" t="s">
        <v>46</v>
      </c>
      <c r="C98" s="11" t="s">
        <v>42</v>
      </c>
      <c r="D98" s="12">
        <v>7346952016</v>
      </c>
      <c r="E98" s="13" t="s">
        <v>47</v>
      </c>
      <c r="F98" s="13">
        <v>30000</v>
      </c>
      <c r="G98" s="13">
        <f t="shared" si="15"/>
        <v>300</v>
      </c>
      <c r="H98" s="13">
        <v>0</v>
      </c>
      <c r="I98" s="13">
        <v>15000</v>
      </c>
      <c r="J98" s="13">
        <v>0</v>
      </c>
      <c r="K98" s="13">
        <v>0</v>
      </c>
      <c r="L98" s="13">
        <f t="shared" si="16"/>
        <v>14700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1" t="s">
        <v>48</v>
      </c>
      <c r="B99" s="11" t="s">
        <v>49</v>
      </c>
      <c r="C99" s="11" t="s">
        <v>42</v>
      </c>
      <c r="D99" s="12" t="s">
        <v>50</v>
      </c>
      <c r="E99" s="13" t="s">
        <v>47</v>
      </c>
      <c r="F99" s="13">
        <v>17000</v>
      </c>
      <c r="G99" s="13">
        <f t="shared" si="15"/>
        <v>170</v>
      </c>
      <c r="H99" s="13">
        <v>0</v>
      </c>
      <c r="I99" s="13">
        <v>0</v>
      </c>
      <c r="J99" s="13">
        <v>0</v>
      </c>
      <c r="K99" s="13">
        <v>0</v>
      </c>
      <c r="L99" s="13">
        <f t="shared" si="16"/>
        <v>16830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1" t="s">
        <v>51</v>
      </c>
      <c r="B100" s="11" t="s">
        <v>52</v>
      </c>
      <c r="C100" s="11" t="s">
        <v>53</v>
      </c>
      <c r="D100" s="12">
        <v>3085168474</v>
      </c>
      <c r="E100" s="13" t="s">
        <v>47</v>
      </c>
      <c r="F100" s="13">
        <v>30000</v>
      </c>
      <c r="G100" s="13">
        <f t="shared" si="15"/>
        <v>300</v>
      </c>
      <c r="H100" s="13">
        <v>0</v>
      </c>
      <c r="I100" s="13">
        <v>0</v>
      </c>
      <c r="J100" s="13">
        <v>0</v>
      </c>
      <c r="K100" s="13">
        <v>0</v>
      </c>
      <c r="L100" s="13">
        <f t="shared" si="16"/>
        <v>29700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1" t="s">
        <v>54</v>
      </c>
      <c r="B101" s="11" t="s">
        <v>52</v>
      </c>
      <c r="C101" s="11" t="s">
        <v>15</v>
      </c>
      <c r="D101" s="12" t="s">
        <v>55</v>
      </c>
      <c r="E101" s="13" t="s">
        <v>47</v>
      </c>
      <c r="F101" s="13">
        <v>20000</v>
      </c>
      <c r="G101" s="13">
        <f t="shared" si="15"/>
        <v>200</v>
      </c>
      <c r="H101" s="13">
        <v>0</v>
      </c>
      <c r="I101" s="13">
        <v>0</v>
      </c>
      <c r="J101" s="13">
        <v>0</v>
      </c>
      <c r="K101" s="13">
        <v>0</v>
      </c>
      <c r="L101" s="13">
        <f t="shared" si="16"/>
        <v>19800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1" t="s">
        <v>56</v>
      </c>
      <c r="B102" s="11" t="s">
        <v>57</v>
      </c>
      <c r="C102" s="11" t="s">
        <v>75</v>
      </c>
      <c r="D102" s="12" t="s">
        <v>76</v>
      </c>
      <c r="E102" s="13" t="s">
        <v>47</v>
      </c>
      <c r="F102" s="13">
        <v>18000</v>
      </c>
      <c r="G102" s="13">
        <f t="shared" si="15"/>
        <v>180</v>
      </c>
      <c r="H102" s="13">
        <v>0</v>
      </c>
      <c r="I102" s="13">
        <v>0</v>
      </c>
      <c r="J102" s="13">
        <v>0</v>
      </c>
      <c r="K102" s="13">
        <v>0</v>
      </c>
      <c r="L102" s="13">
        <f t="shared" si="16"/>
        <v>17820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1" t="s">
        <v>58</v>
      </c>
      <c r="B103" s="11" t="s">
        <v>59</v>
      </c>
      <c r="C103" s="11" t="s">
        <v>42</v>
      </c>
      <c r="D103" s="12">
        <v>7560696011</v>
      </c>
      <c r="E103" s="13" t="s">
        <v>47</v>
      </c>
      <c r="F103" s="13">
        <v>20000</v>
      </c>
      <c r="G103" s="13">
        <f t="shared" si="15"/>
        <v>200</v>
      </c>
      <c r="H103" s="13">
        <v>0</v>
      </c>
      <c r="I103" s="13">
        <v>0</v>
      </c>
      <c r="J103" s="13">
        <v>0</v>
      </c>
      <c r="K103" s="13">
        <v>0</v>
      </c>
      <c r="L103" s="13">
        <f t="shared" si="16"/>
        <v>19800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1" t="s">
        <v>93</v>
      </c>
      <c r="B104" s="11" t="s">
        <v>94</v>
      </c>
      <c r="C104" s="11" t="s">
        <v>95</v>
      </c>
      <c r="D104" s="12" t="s">
        <v>96</v>
      </c>
      <c r="E104" s="13" t="s">
        <v>47</v>
      </c>
      <c r="F104" s="13">
        <v>10000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f t="shared" si="16"/>
        <v>10000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1" t="s">
        <v>60</v>
      </c>
      <c r="B105" s="11" t="s">
        <v>52</v>
      </c>
      <c r="C105" s="11" t="s">
        <v>15</v>
      </c>
      <c r="D105" s="12" t="s">
        <v>61</v>
      </c>
      <c r="E105" s="13" t="s">
        <v>62</v>
      </c>
      <c r="F105" s="13">
        <v>20000</v>
      </c>
      <c r="G105" s="13">
        <f>IF(E105="corper",0,F105*0.01)</f>
        <v>200</v>
      </c>
      <c r="H105" s="13">
        <v>0</v>
      </c>
      <c r="I105" s="13">
        <v>0</v>
      </c>
      <c r="J105" s="13">
        <v>0</v>
      </c>
      <c r="K105" s="13">
        <v>0</v>
      </c>
      <c r="L105" s="13">
        <f t="shared" si="16"/>
        <v>19800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6"/>
      <c r="B106" s="16"/>
      <c r="C106" s="16"/>
      <c r="D106" s="17"/>
      <c r="E106" s="18"/>
      <c r="F106" s="18">
        <f t="shared" ref="F106:L106" si="17">SUM(F87:F105)</f>
        <v>275000</v>
      </c>
      <c r="G106" s="18">
        <f t="shared" si="17"/>
        <v>1550</v>
      </c>
      <c r="H106" s="18">
        <f t="shared" si="17"/>
        <v>0</v>
      </c>
      <c r="I106" s="18">
        <f t="shared" si="17"/>
        <v>15000</v>
      </c>
      <c r="J106" s="18">
        <f t="shared" si="17"/>
        <v>0</v>
      </c>
      <c r="K106" s="18">
        <f t="shared" si="17"/>
        <v>0</v>
      </c>
      <c r="L106" s="18">
        <f t="shared" si="17"/>
        <v>258450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20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21" t="s">
        <v>97</v>
      </c>
      <c r="B108" s="14"/>
      <c r="C108" s="14"/>
      <c r="D108" s="20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1" t="s">
        <v>80</v>
      </c>
      <c r="B109" s="11" t="s">
        <v>81</v>
      </c>
      <c r="C109" s="11" t="s">
        <v>42</v>
      </c>
      <c r="D109" s="12" t="s">
        <v>82</v>
      </c>
      <c r="E109" s="13" t="s">
        <v>17</v>
      </c>
      <c r="F109" s="13">
        <v>10000</v>
      </c>
      <c r="G109" s="13">
        <f t="shared" ref="G109:G125" si="18">IF(E109="corper",0,F109*0.01)</f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f t="shared" ref="L109:L128" si="19">F109-SUM(G109:I109)+SUM(J109:K109)</f>
        <v>10000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1" t="s">
        <v>18</v>
      </c>
      <c r="B110" s="11" t="s">
        <v>19</v>
      </c>
      <c r="C110" s="11" t="s">
        <v>20</v>
      </c>
      <c r="D110" s="12">
        <v>1486434228</v>
      </c>
      <c r="E110" s="13" t="s">
        <v>17</v>
      </c>
      <c r="F110" s="13">
        <v>10000</v>
      </c>
      <c r="G110" s="13">
        <f t="shared" si="18"/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f t="shared" si="19"/>
        <v>10000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1" t="s">
        <v>83</v>
      </c>
      <c r="B111" s="11" t="s">
        <v>84</v>
      </c>
      <c r="C111" s="11" t="s">
        <v>35</v>
      </c>
      <c r="D111" s="12" t="s">
        <v>85</v>
      </c>
      <c r="E111" s="13" t="s">
        <v>17</v>
      </c>
      <c r="F111" s="13">
        <v>10000</v>
      </c>
      <c r="G111" s="13">
        <f t="shared" si="18"/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f t="shared" si="19"/>
        <v>10000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1" t="s">
        <v>86</v>
      </c>
      <c r="B112" s="11" t="s">
        <v>87</v>
      </c>
      <c r="C112" s="11" t="s">
        <v>23</v>
      </c>
      <c r="D112" s="12" t="s">
        <v>88</v>
      </c>
      <c r="E112" s="13" t="s">
        <v>17</v>
      </c>
      <c r="F112" s="13">
        <v>10000</v>
      </c>
      <c r="G112" s="13">
        <f t="shared" si="18"/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f t="shared" si="19"/>
        <v>10000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1" t="s">
        <v>24</v>
      </c>
      <c r="B113" s="11" t="s">
        <v>25</v>
      </c>
      <c r="C113" s="11" t="s">
        <v>20</v>
      </c>
      <c r="D113" s="12">
        <v>1496983352</v>
      </c>
      <c r="E113" s="13" t="s">
        <v>17</v>
      </c>
      <c r="F113" s="13">
        <v>10000</v>
      </c>
      <c r="G113" s="13">
        <f t="shared" si="18"/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f t="shared" si="19"/>
        <v>10000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1" t="s">
        <v>26</v>
      </c>
      <c r="B114" s="11" t="s">
        <v>27</v>
      </c>
      <c r="C114" s="11" t="s">
        <v>20</v>
      </c>
      <c r="D114" s="12" t="s">
        <v>28</v>
      </c>
      <c r="E114" s="13" t="s">
        <v>17</v>
      </c>
      <c r="F114" s="13">
        <v>10000</v>
      </c>
      <c r="G114" s="13">
        <f t="shared" si="18"/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f t="shared" si="19"/>
        <v>10000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1" t="s">
        <v>29</v>
      </c>
      <c r="B115" s="11" t="s">
        <v>30</v>
      </c>
      <c r="C115" s="11" t="s">
        <v>31</v>
      </c>
      <c r="D115" s="12" t="s">
        <v>32</v>
      </c>
      <c r="E115" s="13" t="s">
        <v>17</v>
      </c>
      <c r="F115" s="13">
        <v>10000</v>
      </c>
      <c r="G115" s="13">
        <f t="shared" si="18"/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f t="shared" si="19"/>
        <v>10000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1" t="s">
        <v>33</v>
      </c>
      <c r="B116" s="11" t="s">
        <v>34</v>
      </c>
      <c r="C116" s="11" t="s">
        <v>20</v>
      </c>
      <c r="D116" s="12" t="s">
        <v>74</v>
      </c>
      <c r="E116" s="13" t="s">
        <v>17</v>
      </c>
      <c r="F116" s="13">
        <v>10000</v>
      </c>
      <c r="G116" s="13">
        <f t="shared" si="18"/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f t="shared" si="19"/>
        <v>10000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1" t="s">
        <v>89</v>
      </c>
      <c r="B117" s="11" t="s">
        <v>90</v>
      </c>
      <c r="C117" s="11" t="s">
        <v>91</v>
      </c>
      <c r="D117" s="12" t="s">
        <v>92</v>
      </c>
      <c r="E117" s="13" t="s">
        <v>17</v>
      </c>
      <c r="F117" s="13">
        <v>10000</v>
      </c>
      <c r="G117" s="13">
        <f t="shared" si="18"/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f t="shared" si="19"/>
        <v>10000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1" t="s">
        <v>40</v>
      </c>
      <c r="B118" s="11" t="s">
        <v>41</v>
      </c>
      <c r="C118" s="11" t="s">
        <v>42</v>
      </c>
      <c r="D118" s="12">
        <v>3106893016</v>
      </c>
      <c r="E118" s="13" t="s">
        <v>17</v>
      </c>
      <c r="F118" s="13">
        <v>10000</v>
      </c>
      <c r="G118" s="13">
        <f t="shared" si="18"/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f t="shared" si="19"/>
        <v>10000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1" t="s">
        <v>43</v>
      </c>
      <c r="B119" s="11" t="s">
        <v>44</v>
      </c>
      <c r="C119" s="11" t="s">
        <v>23</v>
      </c>
      <c r="D119" s="15">
        <v>2120312049</v>
      </c>
      <c r="E119" s="13" t="s">
        <v>17</v>
      </c>
      <c r="F119" s="13">
        <v>10000</v>
      </c>
      <c r="G119" s="13">
        <f t="shared" si="18"/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f t="shared" si="19"/>
        <v>10000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1" t="s">
        <v>45</v>
      </c>
      <c r="B120" s="11" t="s">
        <v>46</v>
      </c>
      <c r="C120" s="11" t="s">
        <v>42</v>
      </c>
      <c r="D120" s="12">
        <v>7346952016</v>
      </c>
      <c r="E120" s="13" t="s">
        <v>47</v>
      </c>
      <c r="F120" s="13">
        <v>30000</v>
      </c>
      <c r="G120" s="13">
        <f t="shared" si="18"/>
        <v>300</v>
      </c>
      <c r="H120" s="13">
        <v>0</v>
      </c>
      <c r="I120" s="13">
        <v>17000</v>
      </c>
      <c r="J120" s="13">
        <v>0</v>
      </c>
      <c r="K120" s="13">
        <v>0</v>
      </c>
      <c r="L120" s="13">
        <f t="shared" si="19"/>
        <v>12700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1" t="s">
        <v>48</v>
      </c>
      <c r="B121" s="11" t="s">
        <v>49</v>
      </c>
      <c r="C121" s="11" t="s">
        <v>42</v>
      </c>
      <c r="D121" s="12" t="s">
        <v>50</v>
      </c>
      <c r="E121" s="13" t="s">
        <v>47</v>
      </c>
      <c r="F121" s="13">
        <v>17000</v>
      </c>
      <c r="G121" s="13">
        <f t="shared" si="18"/>
        <v>170</v>
      </c>
      <c r="H121" s="13">
        <v>0</v>
      </c>
      <c r="I121" s="13">
        <v>0</v>
      </c>
      <c r="J121" s="13">
        <v>0</v>
      </c>
      <c r="K121" s="13">
        <v>0</v>
      </c>
      <c r="L121" s="13">
        <f t="shared" si="19"/>
        <v>16830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1" t="s">
        <v>51</v>
      </c>
      <c r="B122" s="11" t="s">
        <v>52</v>
      </c>
      <c r="C122" s="11" t="s">
        <v>53</v>
      </c>
      <c r="D122" s="12">
        <v>3085168474</v>
      </c>
      <c r="E122" s="13" t="s">
        <v>47</v>
      </c>
      <c r="F122" s="13">
        <v>30000</v>
      </c>
      <c r="G122" s="13">
        <f t="shared" si="18"/>
        <v>300</v>
      </c>
      <c r="H122" s="13">
        <v>0</v>
      </c>
      <c r="I122" s="13">
        <v>0</v>
      </c>
      <c r="J122" s="13">
        <v>0</v>
      </c>
      <c r="K122" s="13">
        <v>0</v>
      </c>
      <c r="L122" s="13">
        <f t="shared" si="19"/>
        <v>29700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1" t="s">
        <v>54</v>
      </c>
      <c r="B123" s="11" t="s">
        <v>52</v>
      </c>
      <c r="C123" s="11" t="s">
        <v>15</v>
      </c>
      <c r="D123" s="12" t="s">
        <v>55</v>
      </c>
      <c r="E123" s="13" t="s">
        <v>47</v>
      </c>
      <c r="F123" s="13">
        <v>20000</v>
      </c>
      <c r="G123" s="13">
        <f t="shared" si="18"/>
        <v>200</v>
      </c>
      <c r="H123" s="13">
        <v>0</v>
      </c>
      <c r="I123" s="13">
        <v>5000</v>
      </c>
      <c r="J123" s="13">
        <v>0</v>
      </c>
      <c r="K123" s="13">
        <v>0</v>
      </c>
      <c r="L123" s="13">
        <f t="shared" si="19"/>
        <v>14800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1" t="s">
        <v>56</v>
      </c>
      <c r="B124" s="11" t="s">
        <v>57</v>
      </c>
      <c r="C124" s="11" t="s">
        <v>75</v>
      </c>
      <c r="D124" s="12" t="s">
        <v>76</v>
      </c>
      <c r="E124" s="13" t="s">
        <v>47</v>
      </c>
      <c r="F124" s="13">
        <v>18000</v>
      </c>
      <c r="G124" s="13">
        <f t="shared" si="18"/>
        <v>180</v>
      </c>
      <c r="H124" s="13">
        <v>0</v>
      </c>
      <c r="I124" s="13">
        <v>0</v>
      </c>
      <c r="J124" s="13">
        <v>0</v>
      </c>
      <c r="K124" s="13">
        <v>0</v>
      </c>
      <c r="L124" s="13">
        <f t="shared" si="19"/>
        <v>17820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1" t="s">
        <v>58</v>
      </c>
      <c r="B125" s="11" t="s">
        <v>59</v>
      </c>
      <c r="C125" s="11" t="s">
        <v>42</v>
      </c>
      <c r="D125" s="12">
        <v>7560696011</v>
      </c>
      <c r="E125" s="13" t="s">
        <v>47</v>
      </c>
      <c r="F125" s="13">
        <v>20000</v>
      </c>
      <c r="G125" s="13">
        <f t="shared" si="18"/>
        <v>200</v>
      </c>
      <c r="H125" s="13">
        <v>0</v>
      </c>
      <c r="I125" s="13">
        <v>0</v>
      </c>
      <c r="J125" s="13">
        <v>0</v>
      </c>
      <c r="K125" s="13">
        <v>0</v>
      </c>
      <c r="L125" s="13">
        <f t="shared" si="19"/>
        <v>19800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1" t="s">
        <v>93</v>
      </c>
      <c r="B126" s="11" t="s">
        <v>94</v>
      </c>
      <c r="C126" s="11" t="s">
        <v>95</v>
      </c>
      <c r="D126" s="12" t="s">
        <v>96</v>
      </c>
      <c r="E126" s="13" t="s">
        <v>47</v>
      </c>
      <c r="F126" s="13">
        <v>10000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f t="shared" si="19"/>
        <v>10000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1" t="s">
        <v>98</v>
      </c>
      <c r="B127" s="11" t="s">
        <v>99</v>
      </c>
      <c r="C127" s="11" t="s">
        <v>100</v>
      </c>
      <c r="D127" s="12" t="s">
        <v>100</v>
      </c>
      <c r="E127" s="13" t="s">
        <v>62</v>
      </c>
      <c r="F127" s="13">
        <v>5000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f t="shared" si="19"/>
        <v>5000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1" t="s">
        <v>60</v>
      </c>
      <c r="B128" s="11" t="s">
        <v>52</v>
      </c>
      <c r="C128" s="11" t="s">
        <v>15</v>
      </c>
      <c r="D128" s="12" t="s">
        <v>61</v>
      </c>
      <c r="E128" s="13" t="s">
        <v>62</v>
      </c>
      <c r="F128" s="13">
        <v>20000</v>
      </c>
      <c r="G128" s="13">
        <f>IF(E128="corper",0,F128*0.01)</f>
        <v>200</v>
      </c>
      <c r="H128" s="13">
        <v>0</v>
      </c>
      <c r="I128" s="13">
        <v>0</v>
      </c>
      <c r="J128" s="13">
        <v>0</v>
      </c>
      <c r="K128" s="13">
        <v>0</v>
      </c>
      <c r="L128" s="13">
        <f t="shared" si="19"/>
        <v>19800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6"/>
      <c r="B129" s="16"/>
      <c r="C129" s="16"/>
      <c r="D129" s="17"/>
      <c r="E129" s="18"/>
      <c r="F129" s="18">
        <f t="shared" ref="F129:L129" si="20">SUM(F109:F128)</f>
        <v>280000</v>
      </c>
      <c r="G129" s="18">
        <f t="shared" si="20"/>
        <v>1550</v>
      </c>
      <c r="H129" s="18">
        <f t="shared" si="20"/>
        <v>0</v>
      </c>
      <c r="I129" s="18">
        <f t="shared" si="20"/>
        <v>22000</v>
      </c>
      <c r="J129" s="18">
        <f t="shared" si="20"/>
        <v>0</v>
      </c>
      <c r="K129" s="18">
        <f t="shared" si="20"/>
        <v>0</v>
      </c>
      <c r="L129" s="18">
        <f t="shared" si="20"/>
        <v>256450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20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21" t="s">
        <v>101</v>
      </c>
      <c r="B131" s="14"/>
      <c r="C131" s="14"/>
      <c r="D131" s="20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1" t="s">
        <v>80</v>
      </c>
      <c r="B132" s="11" t="s">
        <v>81</v>
      </c>
      <c r="C132" s="11" t="s">
        <v>42</v>
      </c>
      <c r="D132" s="12" t="s">
        <v>82</v>
      </c>
      <c r="E132" s="13" t="s">
        <v>17</v>
      </c>
      <c r="F132" s="13">
        <v>10000</v>
      </c>
      <c r="G132" s="13">
        <f t="shared" ref="G132:G146" si="21">IF(E132="corper",0,F132*0.01)</f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f t="shared" ref="L132:L150" si="22">F132-SUM(G132:I132)+SUM(J132:K132)</f>
        <v>10000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1" t="s">
        <v>83</v>
      </c>
      <c r="B133" s="11" t="s">
        <v>84</v>
      </c>
      <c r="C133" s="11" t="s">
        <v>35</v>
      </c>
      <c r="D133" s="12" t="s">
        <v>85</v>
      </c>
      <c r="E133" s="13" t="s">
        <v>17</v>
      </c>
      <c r="F133" s="13">
        <v>10000</v>
      </c>
      <c r="G133" s="13">
        <f t="shared" si="21"/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f t="shared" si="22"/>
        <v>10000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1" t="s">
        <v>86</v>
      </c>
      <c r="B134" s="11" t="s">
        <v>87</v>
      </c>
      <c r="C134" s="11" t="s">
        <v>23</v>
      </c>
      <c r="D134" s="12" t="s">
        <v>88</v>
      </c>
      <c r="E134" s="13" t="s">
        <v>17</v>
      </c>
      <c r="F134" s="13">
        <v>10000</v>
      </c>
      <c r="G134" s="13">
        <f t="shared" si="21"/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f t="shared" si="22"/>
        <v>10000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1" t="s">
        <v>24</v>
      </c>
      <c r="B135" s="11" t="s">
        <v>25</v>
      </c>
      <c r="C135" s="11" t="s">
        <v>20</v>
      </c>
      <c r="D135" s="12">
        <v>1496983352</v>
      </c>
      <c r="E135" s="13" t="s">
        <v>17</v>
      </c>
      <c r="F135" s="13">
        <v>10000</v>
      </c>
      <c r="G135" s="13">
        <f t="shared" si="21"/>
        <v>0</v>
      </c>
      <c r="H135" s="13">
        <v>0</v>
      </c>
      <c r="I135" s="13">
        <v>0</v>
      </c>
      <c r="J135" s="13">
        <v>16225</v>
      </c>
      <c r="K135" s="13">
        <v>0</v>
      </c>
      <c r="L135" s="13">
        <f t="shared" si="22"/>
        <v>26225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1" t="s">
        <v>26</v>
      </c>
      <c r="B136" s="11" t="s">
        <v>27</v>
      </c>
      <c r="C136" s="11" t="s">
        <v>20</v>
      </c>
      <c r="D136" s="12" t="s">
        <v>28</v>
      </c>
      <c r="E136" s="13" t="s">
        <v>17</v>
      </c>
      <c r="F136" s="13">
        <v>10000</v>
      </c>
      <c r="G136" s="13">
        <f t="shared" si="21"/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f t="shared" si="22"/>
        <v>10000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1" t="s">
        <v>29</v>
      </c>
      <c r="B137" s="11" t="s">
        <v>30</v>
      </c>
      <c r="C137" s="11" t="s">
        <v>31</v>
      </c>
      <c r="D137" s="12" t="s">
        <v>32</v>
      </c>
      <c r="E137" s="13" t="s">
        <v>17</v>
      </c>
      <c r="F137" s="13">
        <v>10000</v>
      </c>
      <c r="G137" s="13">
        <f t="shared" si="21"/>
        <v>0</v>
      </c>
      <c r="H137" s="13">
        <v>0</v>
      </c>
      <c r="I137" s="13">
        <v>0</v>
      </c>
      <c r="J137" s="13">
        <v>16225</v>
      </c>
      <c r="K137" s="13">
        <v>0</v>
      </c>
      <c r="L137" s="13">
        <f t="shared" si="22"/>
        <v>26225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1" t="s">
        <v>33</v>
      </c>
      <c r="B138" s="11" t="s">
        <v>34</v>
      </c>
      <c r="C138" s="11" t="s">
        <v>20</v>
      </c>
      <c r="D138" s="12" t="s">
        <v>74</v>
      </c>
      <c r="E138" s="13" t="s">
        <v>17</v>
      </c>
      <c r="F138" s="13">
        <v>10000</v>
      </c>
      <c r="G138" s="13">
        <f t="shared" si="21"/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f t="shared" si="22"/>
        <v>10000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1" t="s">
        <v>89</v>
      </c>
      <c r="B139" s="11" t="s">
        <v>90</v>
      </c>
      <c r="C139" s="11" t="s">
        <v>91</v>
      </c>
      <c r="D139" s="12" t="s">
        <v>92</v>
      </c>
      <c r="E139" s="13" t="s">
        <v>17</v>
      </c>
      <c r="F139" s="13">
        <v>10000</v>
      </c>
      <c r="G139" s="13">
        <f t="shared" si="21"/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f t="shared" si="22"/>
        <v>10000</v>
      </c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1" t="s">
        <v>43</v>
      </c>
      <c r="B140" s="11" t="s">
        <v>44</v>
      </c>
      <c r="C140" s="11" t="s">
        <v>23</v>
      </c>
      <c r="D140" s="15">
        <v>2120312049</v>
      </c>
      <c r="E140" s="13" t="s">
        <v>17</v>
      </c>
      <c r="F140" s="13">
        <v>0</v>
      </c>
      <c r="G140" s="13">
        <f t="shared" si="21"/>
        <v>0</v>
      </c>
      <c r="H140" s="13">
        <v>0</v>
      </c>
      <c r="I140" s="13">
        <v>0</v>
      </c>
      <c r="J140" s="13">
        <v>10376</v>
      </c>
      <c r="K140" s="13">
        <v>0</v>
      </c>
      <c r="L140" s="13">
        <f t="shared" si="22"/>
        <v>10376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1" t="s">
        <v>45</v>
      </c>
      <c r="B141" s="11" t="s">
        <v>46</v>
      </c>
      <c r="C141" s="11" t="s">
        <v>42</v>
      </c>
      <c r="D141" s="12">
        <v>7346952016</v>
      </c>
      <c r="E141" s="13" t="s">
        <v>47</v>
      </c>
      <c r="F141" s="13">
        <v>30000</v>
      </c>
      <c r="G141" s="13">
        <f t="shared" si="21"/>
        <v>300</v>
      </c>
      <c r="H141" s="13">
        <v>0</v>
      </c>
      <c r="I141" s="13">
        <v>0</v>
      </c>
      <c r="J141" s="13">
        <v>0</v>
      </c>
      <c r="K141" s="13">
        <v>0</v>
      </c>
      <c r="L141" s="13">
        <f t="shared" si="22"/>
        <v>29700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1" t="s">
        <v>48</v>
      </c>
      <c r="B142" s="11" t="s">
        <v>49</v>
      </c>
      <c r="C142" s="11" t="s">
        <v>42</v>
      </c>
      <c r="D142" s="12" t="s">
        <v>50</v>
      </c>
      <c r="E142" s="13" t="s">
        <v>47</v>
      </c>
      <c r="F142" s="13">
        <v>17000</v>
      </c>
      <c r="G142" s="13">
        <f t="shared" si="21"/>
        <v>170</v>
      </c>
      <c r="H142" s="13">
        <v>0</v>
      </c>
      <c r="I142" s="13">
        <v>0</v>
      </c>
      <c r="J142" s="13">
        <v>10376</v>
      </c>
      <c r="K142" s="13">
        <v>0</v>
      </c>
      <c r="L142" s="13">
        <f t="shared" si="22"/>
        <v>27206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1" t="s">
        <v>51</v>
      </c>
      <c r="B143" s="11" t="s">
        <v>52</v>
      </c>
      <c r="C143" s="11" t="s">
        <v>53</v>
      </c>
      <c r="D143" s="12">
        <v>3085168474</v>
      </c>
      <c r="E143" s="13" t="s">
        <v>47</v>
      </c>
      <c r="F143" s="13">
        <v>30000</v>
      </c>
      <c r="G143" s="13">
        <f t="shared" si="21"/>
        <v>300</v>
      </c>
      <c r="H143" s="13">
        <v>0</v>
      </c>
      <c r="I143" s="13">
        <v>0</v>
      </c>
      <c r="J143" s="13">
        <v>9594</v>
      </c>
      <c r="K143" s="13">
        <v>0</v>
      </c>
      <c r="L143" s="13">
        <f t="shared" si="22"/>
        <v>39294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1" t="s">
        <v>54</v>
      </c>
      <c r="B144" s="11" t="s">
        <v>52</v>
      </c>
      <c r="C144" s="11" t="s">
        <v>15</v>
      </c>
      <c r="D144" s="12" t="s">
        <v>55</v>
      </c>
      <c r="E144" s="13" t="s">
        <v>47</v>
      </c>
      <c r="F144" s="13">
        <v>20000</v>
      </c>
      <c r="G144" s="13">
        <f t="shared" si="21"/>
        <v>200</v>
      </c>
      <c r="H144" s="13">
        <v>0</v>
      </c>
      <c r="I144" s="13">
        <v>0</v>
      </c>
      <c r="J144" s="13">
        <v>0</v>
      </c>
      <c r="K144" s="13">
        <v>0</v>
      </c>
      <c r="L144" s="13">
        <f t="shared" si="22"/>
        <v>19800</v>
      </c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1" t="s">
        <v>56</v>
      </c>
      <c r="B145" s="11" t="s">
        <v>57</v>
      </c>
      <c r="C145" s="11" t="s">
        <v>75</v>
      </c>
      <c r="D145" s="12" t="s">
        <v>76</v>
      </c>
      <c r="E145" s="13" t="s">
        <v>47</v>
      </c>
      <c r="F145" s="13">
        <v>18000</v>
      </c>
      <c r="G145" s="13">
        <f t="shared" si="21"/>
        <v>180</v>
      </c>
      <c r="H145" s="13">
        <v>0</v>
      </c>
      <c r="I145" s="13">
        <v>0</v>
      </c>
      <c r="J145" s="13">
        <v>10376</v>
      </c>
      <c r="K145" s="13">
        <v>0</v>
      </c>
      <c r="L145" s="13">
        <f t="shared" si="22"/>
        <v>28196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1" t="s">
        <v>58</v>
      </c>
      <c r="B146" s="11" t="s">
        <v>59</v>
      </c>
      <c r="C146" s="11" t="s">
        <v>42</v>
      </c>
      <c r="D146" s="12">
        <v>7560696011</v>
      </c>
      <c r="E146" s="13" t="s">
        <v>47</v>
      </c>
      <c r="F146" s="13">
        <v>20000</v>
      </c>
      <c r="G146" s="13">
        <f t="shared" si="21"/>
        <v>200</v>
      </c>
      <c r="H146" s="13">
        <v>0</v>
      </c>
      <c r="I146" s="13">
        <v>0</v>
      </c>
      <c r="J146" s="13">
        <v>10376</v>
      </c>
      <c r="K146" s="13">
        <v>0</v>
      </c>
      <c r="L146" s="13">
        <f t="shared" si="22"/>
        <v>30176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1" t="s">
        <v>93</v>
      </c>
      <c r="B147" s="11" t="s">
        <v>94</v>
      </c>
      <c r="C147" s="11" t="s">
        <v>95</v>
      </c>
      <c r="D147" s="12" t="s">
        <v>96</v>
      </c>
      <c r="E147" s="13" t="s">
        <v>47</v>
      </c>
      <c r="F147" s="13">
        <v>10000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f t="shared" si="22"/>
        <v>10000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1" t="s">
        <v>98</v>
      </c>
      <c r="B148" s="11" t="s">
        <v>99</v>
      </c>
      <c r="C148" s="11" t="s">
        <v>100</v>
      </c>
      <c r="D148" s="12" t="s">
        <v>100</v>
      </c>
      <c r="E148" s="13" t="s">
        <v>62</v>
      </c>
      <c r="F148" s="13">
        <v>5000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f t="shared" si="22"/>
        <v>5000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1" t="s">
        <v>60</v>
      </c>
      <c r="B149" s="11" t="s">
        <v>102</v>
      </c>
      <c r="C149" s="11" t="s">
        <v>15</v>
      </c>
      <c r="D149" s="12" t="s">
        <v>103</v>
      </c>
      <c r="E149" s="13" t="s">
        <v>62</v>
      </c>
      <c r="F149" s="13">
        <v>15000</v>
      </c>
      <c r="G149" s="13">
        <f t="shared" ref="G149:G150" si="23">IF(E149="corper",0,F149*0.01)</f>
        <v>150</v>
      </c>
      <c r="H149" s="13">
        <v>0</v>
      </c>
      <c r="I149" s="13">
        <v>0</v>
      </c>
      <c r="J149" s="13">
        <v>0</v>
      </c>
      <c r="K149" s="13">
        <v>0</v>
      </c>
      <c r="L149" s="13">
        <f t="shared" si="22"/>
        <v>14850</v>
      </c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1" t="s">
        <v>60</v>
      </c>
      <c r="B150" s="11" t="s">
        <v>52</v>
      </c>
      <c r="C150" s="11" t="s">
        <v>15</v>
      </c>
      <c r="D150" s="12" t="s">
        <v>61</v>
      </c>
      <c r="E150" s="13" t="s">
        <v>62</v>
      </c>
      <c r="F150" s="13">
        <v>20000</v>
      </c>
      <c r="G150" s="13">
        <f t="shared" si="23"/>
        <v>200</v>
      </c>
      <c r="H150" s="13">
        <v>0</v>
      </c>
      <c r="I150" s="13">
        <v>0</v>
      </c>
      <c r="J150" s="13">
        <v>0</v>
      </c>
      <c r="K150" s="13">
        <v>0</v>
      </c>
      <c r="L150" s="13">
        <f t="shared" si="22"/>
        <v>19800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6"/>
      <c r="B151" s="16"/>
      <c r="C151" s="16"/>
      <c r="D151" s="17"/>
      <c r="E151" s="18"/>
      <c r="F151" s="18">
        <f t="shared" ref="F151:L151" si="24">SUM(F132:F150)</f>
        <v>265000</v>
      </c>
      <c r="G151" s="18">
        <f t="shared" si="24"/>
        <v>1700</v>
      </c>
      <c r="H151" s="18">
        <f t="shared" si="24"/>
        <v>0</v>
      </c>
      <c r="I151" s="18">
        <f t="shared" si="24"/>
        <v>0</v>
      </c>
      <c r="J151" s="18">
        <f t="shared" si="24"/>
        <v>83548</v>
      </c>
      <c r="K151" s="18">
        <f t="shared" si="24"/>
        <v>0</v>
      </c>
      <c r="L151" s="18">
        <f t="shared" si="24"/>
        <v>346848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20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21" t="s">
        <v>104</v>
      </c>
      <c r="B153" s="14"/>
      <c r="C153" s="14"/>
      <c r="D153" s="20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1" t="s">
        <v>80</v>
      </c>
      <c r="B154" s="11" t="s">
        <v>81</v>
      </c>
      <c r="C154" s="11" t="s">
        <v>42</v>
      </c>
      <c r="D154" s="12" t="s">
        <v>82</v>
      </c>
      <c r="E154" s="13" t="s">
        <v>17</v>
      </c>
      <c r="F154" s="13"/>
      <c r="G154" s="13">
        <f t="shared" ref="G154:G162" si="25">IF(E154="corper",0,F154*0.01)</f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f t="shared" ref="L154:L165" si="26">F154-SUM(G154:I154)+SUM(J154:K154)</f>
        <v>0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1" t="s">
        <v>83</v>
      </c>
      <c r="B155" s="11" t="s">
        <v>84</v>
      </c>
      <c r="C155" s="11" t="s">
        <v>35</v>
      </c>
      <c r="D155" s="12" t="s">
        <v>85</v>
      </c>
      <c r="E155" s="13" t="s">
        <v>17</v>
      </c>
      <c r="F155" s="13">
        <v>10000</v>
      </c>
      <c r="G155" s="13">
        <f t="shared" si="25"/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f t="shared" si="26"/>
        <v>10000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1" t="s">
        <v>86</v>
      </c>
      <c r="B156" s="11" t="s">
        <v>87</v>
      </c>
      <c r="C156" s="11" t="s">
        <v>23</v>
      </c>
      <c r="D156" s="12" t="s">
        <v>88</v>
      </c>
      <c r="E156" s="13" t="s">
        <v>17</v>
      </c>
      <c r="F156" s="13"/>
      <c r="G156" s="13">
        <f t="shared" si="25"/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f t="shared" si="26"/>
        <v>0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1" t="s">
        <v>89</v>
      </c>
      <c r="B157" s="11" t="s">
        <v>90</v>
      </c>
      <c r="C157" s="11" t="s">
        <v>91</v>
      </c>
      <c r="D157" s="12" t="s">
        <v>92</v>
      </c>
      <c r="E157" s="13" t="s">
        <v>17</v>
      </c>
      <c r="F157" s="13"/>
      <c r="G157" s="13">
        <f t="shared" si="25"/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f t="shared" si="26"/>
        <v>0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1" t="s">
        <v>45</v>
      </c>
      <c r="B158" s="11" t="s">
        <v>46</v>
      </c>
      <c r="C158" s="11" t="s">
        <v>42</v>
      </c>
      <c r="D158" s="12">
        <v>7346952016</v>
      </c>
      <c r="E158" s="13" t="s">
        <v>47</v>
      </c>
      <c r="F158" s="13">
        <v>30000</v>
      </c>
      <c r="G158" s="13">
        <f t="shared" si="25"/>
        <v>300</v>
      </c>
      <c r="H158" s="13">
        <v>0</v>
      </c>
      <c r="I158" s="13">
        <v>0</v>
      </c>
      <c r="J158" s="13">
        <v>0</v>
      </c>
      <c r="K158" s="13">
        <v>0</v>
      </c>
      <c r="L158" s="13">
        <f t="shared" si="26"/>
        <v>29700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1" t="s">
        <v>48</v>
      </c>
      <c r="B159" s="11" t="s">
        <v>49</v>
      </c>
      <c r="C159" s="11" t="s">
        <v>42</v>
      </c>
      <c r="D159" s="12" t="s">
        <v>50</v>
      </c>
      <c r="E159" s="13" t="s">
        <v>47</v>
      </c>
      <c r="F159" s="13"/>
      <c r="G159" s="13">
        <f t="shared" si="25"/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f t="shared" si="26"/>
        <v>0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1" t="s">
        <v>51</v>
      </c>
      <c r="B160" s="11" t="s">
        <v>52</v>
      </c>
      <c r="C160" s="11" t="s">
        <v>53</v>
      </c>
      <c r="D160" s="12">
        <v>3085168474</v>
      </c>
      <c r="E160" s="13" t="s">
        <v>47</v>
      </c>
      <c r="F160" s="13">
        <v>30000</v>
      </c>
      <c r="G160" s="13">
        <f t="shared" si="25"/>
        <v>300</v>
      </c>
      <c r="H160" s="13">
        <v>0</v>
      </c>
      <c r="I160" s="13">
        <v>0</v>
      </c>
      <c r="J160" s="13">
        <v>0</v>
      </c>
      <c r="K160" s="13">
        <v>0</v>
      </c>
      <c r="L160" s="13">
        <f t="shared" si="26"/>
        <v>29700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1" t="s">
        <v>56</v>
      </c>
      <c r="B161" s="11" t="s">
        <v>57</v>
      </c>
      <c r="C161" s="11" t="s">
        <v>75</v>
      </c>
      <c r="D161" s="12" t="s">
        <v>76</v>
      </c>
      <c r="E161" s="13" t="s">
        <v>47</v>
      </c>
      <c r="F161" s="13">
        <v>18000</v>
      </c>
      <c r="G161" s="13">
        <f t="shared" si="25"/>
        <v>180</v>
      </c>
      <c r="H161" s="13">
        <v>0</v>
      </c>
      <c r="I161" s="13">
        <v>0</v>
      </c>
      <c r="J161" s="13">
        <v>0</v>
      </c>
      <c r="K161" s="13">
        <v>0</v>
      </c>
      <c r="L161" s="13">
        <f t="shared" si="26"/>
        <v>17820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1" t="s">
        <v>58</v>
      </c>
      <c r="B162" s="11" t="s">
        <v>59</v>
      </c>
      <c r="C162" s="11" t="s">
        <v>42</v>
      </c>
      <c r="D162" s="12">
        <v>7560696011</v>
      </c>
      <c r="E162" s="13" t="s">
        <v>47</v>
      </c>
      <c r="F162" s="13">
        <v>20000</v>
      </c>
      <c r="G162" s="13">
        <f t="shared" si="25"/>
        <v>200</v>
      </c>
      <c r="H162" s="13">
        <v>0</v>
      </c>
      <c r="I162" s="13">
        <v>0</v>
      </c>
      <c r="J162" s="13">
        <v>0</v>
      </c>
      <c r="K162" s="13">
        <v>0</v>
      </c>
      <c r="L162" s="13">
        <f t="shared" si="26"/>
        <v>19800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1" t="s">
        <v>93</v>
      </c>
      <c r="B163" s="11" t="s">
        <v>94</v>
      </c>
      <c r="C163" s="11" t="s">
        <v>95</v>
      </c>
      <c r="D163" s="12" t="s">
        <v>96</v>
      </c>
      <c r="E163" s="13" t="s">
        <v>47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f t="shared" si="26"/>
        <v>0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1" t="s">
        <v>98</v>
      </c>
      <c r="B164" s="11" t="s">
        <v>99</v>
      </c>
      <c r="C164" s="11" t="s">
        <v>100</v>
      </c>
      <c r="D164" s="12" t="s">
        <v>100</v>
      </c>
      <c r="E164" s="13" t="s">
        <v>62</v>
      </c>
      <c r="F164" s="13">
        <v>5000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f t="shared" si="26"/>
        <v>5000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1" t="s">
        <v>60</v>
      </c>
      <c r="B165" s="11" t="s">
        <v>52</v>
      </c>
      <c r="C165" s="11" t="s">
        <v>15</v>
      </c>
      <c r="D165" s="12" t="s">
        <v>61</v>
      </c>
      <c r="E165" s="13" t="s">
        <v>62</v>
      </c>
      <c r="F165" s="13"/>
      <c r="G165" s="13">
        <f>IF(E165="corper",0,F165*0.01)</f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f t="shared" si="26"/>
        <v>0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6"/>
      <c r="B166" s="16"/>
      <c r="C166" s="16"/>
      <c r="D166" s="17"/>
      <c r="E166" s="18"/>
      <c r="F166" s="18">
        <f t="shared" ref="F166:L166" si="27">SUM(F154:F165)</f>
        <v>113000</v>
      </c>
      <c r="G166" s="18">
        <f t="shared" si="27"/>
        <v>980</v>
      </c>
      <c r="H166" s="18">
        <f t="shared" si="27"/>
        <v>0</v>
      </c>
      <c r="I166" s="18">
        <f t="shared" si="27"/>
        <v>0</v>
      </c>
      <c r="J166" s="18">
        <f t="shared" si="27"/>
        <v>0</v>
      </c>
      <c r="K166" s="18">
        <f t="shared" si="27"/>
        <v>0</v>
      </c>
      <c r="L166" s="18">
        <f t="shared" si="27"/>
        <v>112020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20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22" t="s">
        <v>105</v>
      </c>
      <c r="B168" s="11"/>
      <c r="C168" s="11"/>
      <c r="D168" s="12"/>
      <c r="E168" s="11"/>
      <c r="F168" s="11"/>
      <c r="G168" s="11"/>
      <c r="H168" s="11"/>
      <c r="I168" s="11"/>
      <c r="J168" s="11"/>
      <c r="K168" s="11"/>
      <c r="L168" s="1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1" t="s">
        <v>80</v>
      </c>
      <c r="B169" s="11" t="s">
        <v>81</v>
      </c>
      <c r="C169" s="11" t="s">
        <v>42</v>
      </c>
      <c r="D169" s="12" t="s">
        <v>82</v>
      </c>
      <c r="E169" s="13" t="s">
        <v>17</v>
      </c>
      <c r="F169" s="13">
        <v>10000</v>
      </c>
      <c r="G169" s="13">
        <f t="shared" ref="G169:G177" si="28">IF(E169="corper",0,F169*0.01)</f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f t="shared" ref="L169:L188" si="29">F169-SUM(G169:I169)+SUM(J169:K169)</f>
        <v>10000</v>
      </c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1" t="s">
        <v>83</v>
      </c>
      <c r="B170" s="11" t="s">
        <v>84</v>
      </c>
      <c r="C170" s="11" t="s">
        <v>35</v>
      </c>
      <c r="D170" s="12" t="s">
        <v>85</v>
      </c>
      <c r="E170" s="13" t="s">
        <v>17</v>
      </c>
      <c r="F170" s="13">
        <v>15000</v>
      </c>
      <c r="G170" s="13">
        <f t="shared" si="28"/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f t="shared" si="29"/>
        <v>15000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1" t="s">
        <v>86</v>
      </c>
      <c r="B171" s="11" t="s">
        <v>87</v>
      </c>
      <c r="C171" s="11" t="s">
        <v>23</v>
      </c>
      <c r="D171" s="12" t="s">
        <v>88</v>
      </c>
      <c r="E171" s="13" t="s">
        <v>17</v>
      </c>
      <c r="F171" s="13">
        <v>10000</v>
      </c>
      <c r="G171" s="13">
        <f t="shared" si="28"/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f t="shared" si="29"/>
        <v>10000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1" t="s">
        <v>89</v>
      </c>
      <c r="B172" s="11" t="s">
        <v>90</v>
      </c>
      <c r="C172" s="11" t="s">
        <v>91</v>
      </c>
      <c r="D172" s="12" t="s">
        <v>92</v>
      </c>
      <c r="E172" s="13" t="s">
        <v>17</v>
      </c>
      <c r="F172" s="13">
        <v>10000</v>
      </c>
      <c r="G172" s="13">
        <f t="shared" si="28"/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f t="shared" si="29"/>
        <v>10000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1" t="s">
        <v>45</v>
      </c>
      <c r="B173" s="11" t="s">
        <v>46</v>
      </c>
      <c r="C173" s="11" t="s">
        <v>42</v>
      </c>
      <c r="D173" s="12">
        <v>7346952016</v>
      </c>
      <c r="E173" s="13" t="s">
        <v>47</v>
      </c>
      <c r="F173" s="13">
        <v>30000</v>
      </c>
      <c r="G173" s="13">
        <f t="shared" si="28"/>
        <v>300</v>
      </c>
      <c r="H173" s="13">
        <v>0</v>
      </c>
      <c r="I173" s="13">
        <v>0</v>
      </c>
      <c r="J173" s="13">
        <v>0</v>
      </c>
      <c r="K173" s="13">
        <v>0</v>
      </c>
      <c r="L173" s="13">
        <f t="shared" si="29"/>
        <v>29700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1" t="s">
        <v>48</v>
      </c>
      <c r="B174" s="11" t="s">
        <v>49</v>
      </c>
      <c r="C174" s="11" t="s">
        <v>42</v>
      </c>
      <c r="D174" s="12" t="s">
        <v>50</v>
      </c>
      <c r="E174" s="13" t="s">
        <v>47</v>
      </c>
      <c r="F174" s="13">
        <v>18000</v>
      </c>
      <c r="G174" s="13">
        <f t="shared" si="28"/>
        <v>180</v>
      </c>
      <c r="H174" s="13">
        <v>0</v>
      </c>
      <c r="I174" s="13">
        <v>0</v>
      </c>
      <c r="J174" s="13">
        <v>0</v>
      </c>
      <c r="K174" s="13">
        <v>0</v>
      </c>
      <c r="L174" s="13">
        <f t="shared" si="29"/>
        <v>17820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1" t="s">
        <v>51</v>
      </c>
      <c r="B175" s="11" t="s">
        <v>52</v>
      </c>
      <c r="C175" s="11" t="s">
        <v>53</v>
      </c>
      <c r="D175" s="12">
        <v>3085168474</v>
      </c>
      <c r="E175" s="13" t="s">
        <v>47</v>
      </c>
      <c r="F175" s="13">
        <v>30000</v>
      </c>
      <c r="G175" s="13">
        <f t="shared" si="28"/>
        <v>300</v>
      </c>
      <c r="H175" s="13">
        <v>0</v>
      </c>
      <c r="I175" s="13">
        <v>0</v>
      </c>
      <c r="J175" s="13">
        <v>0</v>
      </c>
      <c r="K175" s="13">
        <v>0</v>
      </c>
      <c r="L175" s="13">
        <f t="shared" si="29"/>
        <v>29700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1" t="s">
        <v>56</v>
      </c>
      <c r="B176" s="11" t="s">
        <v>57</v>
      </c>
      <c r="C176" s="11" t="s">
        <v>75</v>
      </c>
      <c r="D176" s="12" t="s">
        <v>76</v>
      </c>
      <c r="E176" s="13" t="s">
        <v>47</v>
      </c>
      <c r="F176" s="13">
        <v>18000</v>
      </c>
      <c r="G176" s="13">
        <f t="shared" si="28"/>
        <v>180</v>
      </c>
      <c r="H176" s="13">
        <v>0</v>
      </c>
      <c r="I176" s="13">
        <v>0</v>
      </c>
      <c r="J176" s="13">
        <v>0</v>
      </c>
      <c r="K176" s="13">
        <v>0</v>
      </c>
      <c r="L176" s="13">
        <f t="shared" si="29"/>
        <v>17820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6" ht="15.75" customHeight="1" x14ac:dyDescent="0.25">
      <c r="A177" s="11" t="s">
        <v>58</v>
      </c>
      <c r="B177" s="11" t="s">
        <v>59</v>
      </c>
      <c r="C177" s="11" t="s">
        <v>42</v>
      </c>
      <c r="D177" s="12">
        <v>7560696011</v>
      </c>
      <c r="E177" s="13" t="s">
        <v>47</v>
      </c>
      <c r="F177" s="13">
        <v>20000</v>
      </c>
      <c r="G177" s="13">
        <f t="shared" si="28"/>
        <v>200</v>
      </c>
      <c r="H177" s="13">
        <v>0</v>
      </c>
      <c r="I177" s="13">
        <v>0</v>
      </c>
      <c r="J177" s="13">
        <v>0</v>
      </c>
      <c r="K177" s="13">
        <v>0</v>
      </c>
      <c r="L177" s="13">
        <f t="shared" si="29"/>
        <v>19800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6" ht="15.75" customHeight="1" x14ac:dyDescent="0.25">
      <c r="A178" s="11" t="s">
        <v>93</v>
      </c>
      <c r="B178" s="11" t="s">
        <v>94</v>
      </c>
      <c r="C178" s="11" t="s">
        <v>95</v>
      </c>
      <c r="D178" s="12" t="s">
        <v>96</v>
      </c>
      <c r="E178" s="13" t="s">
        <v>47</v>
      </c>
      <c r="F178" s="13">
        <v>10000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f t="shared" si="29"/>
        <v>10000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6" ht="15.75" customHeight="1" x14ac:dyDescent="0.25">
      <c r="A179" s="11" t="s">
        <v>98</v>
      </c>
      <c r="B179" s="11" t="s">
        <v>99</v>
      </c>
      <c r="C179" s="11"/>
      <c r="D179" s="12"/>
      <c r="E179" s="13" t="s">
        <v>62</v>
      </c>
      <c r="F179" s="13">
        <v>5000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f t="shared" si="29"/>
        <v>5000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6" ht="15.75" customHeight="1" x14ac:dyDescent="0.25">
      <c r="A180" s="11" t="s">
        <v>60</v>
      </c>
      <c r="B180" s="11" t="s">
        <v>52</v>
      </c>
      <c r="C180" s="11" t="s">
        <v>15</v>
      </c>
      <c r="D180" s="12" t="s">
        <v>61</v>
      </c>
      <c r="E180" s="13" t="s">
        <v>47</v>
      </c>
      <c r="F180" s="13">
        <v>20000</v>
      </c>
      <c r="G180" s="13">
        <f t="shared" ref="G180:G188" si="30">IF(E180="corper",0,F180*0.01)</f>
        <v>200</v>
      </c>
      <c r="H180" s="13">
        <v>0</v>
      </c>
      <c r="I180" s="13">
        <v>0</v>
      </c>
      <c r="J180" s="13">
        <v>0</v>
      </c>
      <c r="K180" s="13">
        <v>0</v>
      </c>
      <c r="L180" s="13">
        <f t="shared" si="29"/>
        <v>19800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6" ht="15.75" customHeight="1" x14ac:dyDescent="0.25">
      <c r="A181" s="11" t="s">
        <v>106</v>
      </c>
      <c r="B181" s="11" t="s">
        <v>107</v>
      </c>
      <c r="C181" s="11" t="s">
        <v>20</v>
      </c>
      <c r="D181" s="12" t="s">
        <v>108</v>
      </c>
      <c r="E181" s="11" t="s">
        <v>17</v>
      </c>
      <c r="F181" s="13">
        <v>10000</v>
      </c>
      <c r="G181" s="13">
        <f t="shared" si="30"/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f t="shared" si="29"/>
        <v>10000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6" ht="15.75" customHeight="1" x14ac:dyDescent="0.25">
      <c r="A182" s="11" t="s">
        <v>109</v>
      </c>
      <c r="B182" s="11" t="s">
        <v>110</v>
      </c>
      <c r="C182" s="11" t="s">
        <v>20</v>
      </c>
      <c r="D182" s="12" t="s">
        <v>111</v>
      </c>
      <c r="E182" s="11" t="s">
        <v>17</v>
      </c>
      <c r="F182" s="13">
        <v>10000</v>
      </c>
      <c r="G182" s="13">
        <f t="shared" si="30"/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f t="shared" si="29"/>
        <v>10000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6" ht="15.75" customHeight="1" x14ac:dyDescent="0.25">
      <c r="A183" s="11" t="s">
        <v>112</v>
      </c>
      <c r="B183" s="11" t="s">
        <v>113</v>
      </c>
      <c r="C183" s="11" t="s">
        <v>20</v>
      </c>
      <c r="D183" s="12" t="s">
        <v>114</v>
      </c>
      <c r="E183" s="11" t="s">
        <v>47</v>
      </c>
      <c r="F183" s="13">
        <v>30000</v>
      </c>
      <c r="G183" s="13">
        <f t="shared" si="30"/>
        <v>300</v>
      </c>
      <c r="H183" s="13">
        <f t="shared" ref="H183:H184" si="31">F183*0.1</f>
        <v>3000</v>
      </c>
      <c r="I183" s="13">
        <v>0</v>
      </c>
      <c r="J183" s="13">
        <v>0</v>
      </c>
      <c r="K183" s="13">
        <v>0</v>
      </c>
      <c r="L183" s="13">
        <f t="shared" si="29"/>
        <v>26700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6" ht="15.75" customHeight="1" x14ac:dyDescent="0.25">
      <c r="A184" s="11" t="s">
        <v>115</v>
      </c>
      <c r="B184" s="11" t="s">
        <v>116</v>
      </c>
      <c r="C184" s="11" t="s">
        <v>53</v>
      </c>
      <c r="D184" s="12" t="s">
        <v>117</v>
      </c>
      <c r="E184" s="11" t="s">
        <v>47</v>
      </c>
      <c r="F184" s="13">
        <v>25000</v>
      </c>
      <c r="G184" s="13">
        <f t="shared" si="30"/>
        <v>250</v>
      </c>
      <c r="H184" s="13">
        <f t="shared" si="31"/>
        <v>2500</v>
      </c>
      <c r="I184" s="13">
        <v>0</v>
      </c>
      <c r="J184" s="13">
        <v>0</v>
      </c>
      <c r="K184" s="13">
        <v>0</v>
      </c>
      <c r="L184" s="13">
        <f t="shared" si="29"/>
        <v>22250</v>
      </c>
      <c r="M184" s="14" t="s">
        <v>118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6" ht="15.75" customHeight="1" x14ac:dyDescent="0.25">
      <c r="A185" s="11" t="s">
        <v>60</v>
      </c>
      <c r="B185" s="11" t="s">
        <v>102</v>
      </c>
      <c r="C185" s="11" t="s">
        <v>15</v>
      </c>
      <c r="D185" s="12" t="s">
        <v>103</v>
      </c>
      <c r="E185" s="11" t="s">
        <v>47</v>
      </c>
      <c r="F185" s="13">
        <v>18000</v>
      </c>
      <c r="G185" s="13">
        <f t="shared" si="30"/>
        <v>180</v>
      </c>
      <c r="H185" s="13">
        <v>0</v>
      </c>
      <c r="I185" s="13">
        <v>0</v>
      </c>
      <c r="J185" s="13">
        <v>0</v>
      </c>
      <c r="K185" s="13">
        <v>0</v>
      </c>
      <c r="L185" s="13">
        <f t="shared" si="29"/>
        <v>17820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6" ht="15.75" customHeight="1" x14ac:dyDescent="0.25">
      <c r="A186" s="11" t="s">
        <v>119</v>
      </c>
      <c r="B186" s="11" t="s">
        <v>120</v>
      </c>
      <c r="C186" s="11" t="s">
        <v>53</v>
      </c>
      <c r="D186" s="12" t="s">
        <v>121</v>
      </c>
      <c r="E186" s="11" t="s">
        <v>62</v>
      </c>
      <c r="F186" s="13">
        <v>20000</v>
      </c>
      <c r="G186" s="13">
        <f t="shared" si="30"/>
        <v>200</v>
      </c>
      <c r="H186" s="13">
        <v>0</v>
      </c>
      <c r="I186" s="13">
        <v>0</v>
      </c>
      <c r="J186" s="13">
        <v>0</v>
      </c>
      <c r="K186" s="13">
        <v>0</v>
      </c>
      <c r="L186" s="13">
        <f t="shared" si="29"/>
        <v>19800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6" ht="15.75" customHeight="1" x14ac:dyDescent="0.25">
      <c r="A187" s="11" t="s">
        <v>29</v>
      </c>
      <c r="B187" s="11" t="s">
        <v>30</v>
      </c>
      <c r="C187" s="11" t="s">
        <v>31</v>
      </c>
      <c r="D187" s="12" t="s">
        <v>32</v>
      </c>
      <c r="E187" s="13" t="s">
        <v>17</v>
      </c>
      <c r="F187" s="13">
        <v>0</v>
      </c>
      <c r="G187" s="13">
        <f t="shared" si="30"/>
        <v>0</v>
      </c>
      <c r="H187" s="13">
        <v>0</v>
      </c>
      <c r="I187" s="13">
        <v>0</v>
      </c>
      <c r="J187" s="13">
        <v>8225</v>
      </c>
      <c r="K187" s="13">
        <v>0</v>
      </c>
      <c r="L187" s="13">
        <f t="shared" si="29"/>
        <v>8225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6" ht="15.75" customHeight="1" x14ac:dyDescent="0.25">
      <c r="A188" s="11" t="s">
        <v>24</v>
      </c>
      <c r="B188" s="11" t="s">
        <v>25</v>
      </c>
      <c r="C188" s="11" t="s">
        <v>20</v>
      </c>
      <c r="D188" s="12">
        <v>1496983352</v>
      </c>
      <c r="E188" s="13" t="s">
        <v>17</v>
      </c>
      <c r="F188" s="13">
        <v>0</v>
      </c>
      <c r="G188" s="13">
        <f t="shared" si="30"/>
        <v>0</v>
      </c>
      <c r="H188" s="13">
        <v>0</v>
      </c>
      <c r="I188" s="13">
        <v>0</v>
      </c>
      <c r="J188" s="13">
        <v>8225</v>
      </c>
      <c r="K188" s="13">
        <v>0</v>
      </c>
      <c r="L188" s="13">
        <f t="shared" si="29"/>
        <v>8225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6" ht="15.75" customHeight="1" x14ac:dyDescent="0.25">
      <c r="A189" s="23"/>
      <c r="B189" s="23"/>
      <c r="C189" s="23"/>
      <c r="D189" s="24"/>
      <c r="E189" s="23"/>
      <c r="F189" s="25">
        <f t="shared" ref="F189:L189" si="32">SUM(F169:F188)</f>
        <v>309000</v>
      </c>
      <c r="G189" s="25">
        <f t="shared" si="32"/>
        <v>2290</v>
      </c>
      <c r="H189" s="25">
        <f t="shared" si="32"/>
        <v>5500</v>
      </c>
      <c r="I189" s="25">
        <f t="shared" si="32"/>
        <v>0</v>
      </c>
      <c r="J189" s="25">
        <f t="shared" si="32"/>
        <v>16450</v>
      </c>
      <c r="K189" s="25">
        <f t="shared" si="32"/>
        <v>0</v>
      </c>
      <c r="L189" s="25">
        <f t="shared" si="32"/>
        <v>317660</v>
      </c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7"/>
    </row>
    <row r="190" spans="1:26" ht="15.75" customHeight="1" x14ac:dyDescent="0.25">
      <c r="A190" s="14"/>
      <c r="B190" s="14"/>
      <c r="C190" s="14"/>
      <c r="D190" s="20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6" ht="15.75" customHeight="1" x14ac:dyDescent="0.25">
      <c r="A191" s="22" t="s">
        <v>122</v>
      </c>
      <c r="B191" s="11"/>
      <c r="C191" s="11"/>
      <c r="D191" s="12"/>
      <c r="E191" s="11"/>
      <c r="F191" s="11"/>
      <c r="G191" s="11"/>
      <c r="H191" s="11"/>
      <c r="I191" s="11"/>
      <c r="J191" s="11"/>
      <c r="K191" s="11"/>
      <c r="L191" s="1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6" ht="15.75" customHeight="1" x14ac:dyDescent="0.25">
      <c r="A192" s="11" t="s">
        <v>80</v>
      </c>
      <c r="B192" s="11" t="s">
        <v>81</v>
      </c>
      <c r="C192" s="11" t="s">
        <v>42</v>
      </c>
      <c r="D192" s="12" t="s">
        <v>82</v>
      </c>
      <c r="E192" s="13" t="s">
        <v>17</v>
      </c>
      <c r="F192" s="13">
        <v>10000</v>
      </c>
      <c r="G192" s="13">
        <f t="shared" ref="G192:G200" si="33">IF(E192="corper",0,F192*0.01)</f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f t="shared" ref="L192:L208" si="34">F192-SUM(G192:I192)+SUM(J192:K192)</f>
        <v>10000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1" t="s">
        <v>83</v>
      </c>
      <c r="B193" s="11" t="s">
        <v>84</v>
      </c>
      <c r="C193" s="11" t="s">
        <v>35</v>
      </c>
      <c r="D193" s="12" t="s">
        <v>85</v>
      </c>
      <c r="E193" s="13" t="s">
        <v>17</v>
      </c>
      <c r="F193" s="13">
        <v>15000</v>
      </c>
      <c r="G193" s="13">
        <f t="shared" si="33"/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f t="shared" si="34"/>
        <v>15000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1" t="s">
        <v>86</v>
      </c>
      <c r="B194" s="11" t="s">
        <v>87</v>
      </c>
      <c r="C194" s="11" t="s">
        <v>23</v>
      </c>
      <c r="D194" s="12" t="s">
        <v>88</v>
      </c>
      <c r="E194" s="13" t="s">
        <v>17</v>
      </c>
      <c r="F194" s="13">
        <v>10000</v>
      </c>
      <c r="G194" s="13">
        <f t="shared" si="33"/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f t="shared" si="34"/>
        <v>10000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1" t="s">
        <v>89</v>
      </c>
      <c r="B195" s="11" t="s">
        <v>90</v>
      </c>
      <c r="C195" s="11" t="s">
        <v>91</v>
      </c>
      <c r="D195" s="12" t="s">
        <v>92</v>
      </c>
      <c r="E195" s="13" t="s">
        <v>17</v>
      </c>
      <c r="F195" s="13">
        <v>10000</v>
      </c>
      <c r="G195" s="13">
        <f t="shared" si="33"/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f t="shared" si="34"/>
        <v>10000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1" t="s">
        <v>45</v>
      </c>
      <c r="B196" s="11" t="s">
        <v>46</v>
      </c>
      <c r="C196" s="11" t="s">
        <v>42</v>
      </c>
      <c r="D196" s="12">
        <v>7346952016</v>
      </c>
      <c r="E196" s="13" t="s">
        <v>47</v>
      </c>
      <c r="F196" s="13">
        <v>30000</v>
      </c>
      <c r="G196" s="13">
        <f t="shared" si="33"/>
        <v>300</v>
      </c>
      <c r="H196" s="13">
        <v>0</v>
      </c>
      <c r="I196" s="13">
        <v>20000</v>
      </c>
      <c r="J196" s="13">
        <v>0</v>
      </c>
      <c r="K196" s="13">
        <v>0</v>
      </c>
      <c r="L196" s="13">
        <f t="shared" si="34"/>
        <v>9700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1" t="s">
        <v>48</v>
      </c>
      <c r="B197" s="11" t="s">
        <v>49</v>
      </c>
      <c r="C197" s="11" t="s">
        <v>42</v>
      </c>
      <c r="D197" s="12" t="s">
        <v>50</v>
      </c>
      <c r="E197" s="13" t="s">
        <v>47</v>
      </c>
      <c r="F197" s="13">
        <v>18000</v>
      </c>
      <c r="G197" s="13">
        <f t="shared" si="33"/>
        <v>180</v>
      </c>
      <c r="H197" s="13">
        <v>0</v>
      </c>
      <c r="I197" s="13">
        <v>0</v>
      </c>
      <c r="J197" s="13">
        <v>0</v>
      </c>
      <c r="K197" s="13">
        <v>0</v>
      </c>
      <c r="L197" s="13">
        <f t="shared" si="34"/>
        <v>17820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1" t="s">
        <v>51</v>
      </c>
      <c r="B198" s="11" t="s">
        <v>52</v>
      </c>
      <c r="C198" s="11" t="s">
        <v>53</v>
      </c>
      <c r="D198" s="12">
        <v>3085168474</v>
      </c>
      <c r="E198" s="13" t="s">
        <v>47</v>
      </c>
      <c r="F198" s="13">
        <v>30000</v>
      </c>
      <c r="G198" s="13">
        <f t="shared" si="33"/>
        <v>300</v>
      </c>
      <c r="H198" s="13">
        <v>0</v>
      </c>
      <c r="I198" s="13">
        <v>0</v>
      </c>
      <c r="J198" s="13">
        <v>0</v>
      </c>
      <c r="K198" s="13">
        <v>0</v>
      </c>
      <c r="L198" s="13">
        <f t="shared" si="34"/>
        <v>29700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1" t="s">
        <v>56</v>
      </c>
      <c r="B199" s="11" t="s">
        <v>57</v>
      </c>
      <c r="C199" s="11" t="s">
        <v>75</v>
      </c>
      <c r="D199" s="12" t="s">
        <v>76</v>
      </c>
      <c r="E199" s="13" t="s">
        <v>47</v>
      </c>
      <c r="F199" s="13">
        <v>18000</v>
      </c>
      <c r="G199" s="13">
        <f t="shared" si="33"/>
        <v>180</v>
      </c>
      <c r="H199" s="13">
        <v>0</v>
      </c>
      <c r="I199" s="13">
        <v>0</v>
      </c>
      <c r="J199" s="13">
        <v>0</v>
      </c>
      <c r="K199" s="13">
        <v>0</v>
      </c>
      <c r="L199" s="13">
        <f t="shared" si="34"/>
        <v>17820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1" t="s">
        <v>58</v>
      </c>
      <c r="B200" s="11" t="s">
        <v>59</v>
      </c>
      <c r="C200" s="11" t="s">
        <v>20</v>
      </c>
      <c r="D200" s="12" t="s">
        <v>123</v>
      </c>
      <c r="E200" s="13" t="s">
        <v>47</v>
      </c>
      <c r="F200" s="13">
        <v>20000</v>
      </c>
      <c r="G200" s="13">
        <f t="shared" si="33"/>
        <v>200</v>
      </c>
      <c r="H200" s="13">
        <v>0</v>
      </c>
      <c r="I200" s="13">
        <v>10000</v>
      </c>
      <c r="J200" s="13">
        <v>0</v>
      </c>
      <c r="K200" s="13">
        <v>0</v>
      </c>
      <c r="L200" s="13">
        <f t="shared" si="34"/>
        <v>9800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1" t="s">
        <v>93</v>
      </c>
      <c r="B201" s="11" t="s">
        <v>94</v>
      </c>
      <c r="C201" s="11" t="s">
        <v>95</v>
      </c>
      <c r="D201" s="12" t="s">
        <v>96</v>
      </c>
      <c r="E201" s="13" t="s">
        <v>47</v>
      </c>
      <c r="F201" s="13">
        <v>10000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f t="shared" si="34"/>
        <v>10000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1" t="s">
        <v>98</v>
      </c>
      <c r="B202" s="11" t="s">
        <v>99</v>
      </c>
      <c r="C202" s="11"/>
      <c r="D202" s="12"/>
      <c r="E202" s="13" t="s">
        <v>62</v>
      </c>
      <c r="F202" s="13">
        <v>7000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f t="shared" si="34"/>
        <v>7000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1" t="s">
        <v>60</v>
      </c>
      <c r="B203" s="11" t="s">
        <v>52</v>
      </c>
      <c r="C203" s="11" t="s">
        <v>15</v>
      </c>
      <c r="D203" s="12" t="s">
        <v>61</v>
      </c>
      <c r="E203" s="13" t="s">
        <v>47</v>
      </c>
      <c r="F203" s="13">
        <v>20000</v>
      </c>
      <c r="G203" s="13">
        <f t="shared" ref="G203:G208" si="35">IF(E203="corper",0,F203*0.01)</f>
        <v>200</v>
      </c>
      <c r="H203" s="13">
        <v>0</v>
      </c>
      <c r="I203" s="13">
        <v>0</v>
      </c>
      <c r="J203" s="13">
        <v>0</v>
      </c>
      <c r="K203" s="13">
        <v>0</v>
      </c>
      <c r="L203" s="13">
        <f t="shared" si="34"/>
        <v>19800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1" t="s">
        <v>106</v>
      </c>
      <c r="B204" s="11" t="s">
        <v>107</v>
      </c>
      <c r="C204" s="11" t="s">
        <v>20</v>
      </c>
      <c r="D204" s="12" t="s">
        <v>108</v>
      </c>
      <c r="E204" s="11" t="s">
        <v>17</v>
      </c>
      <c r="F204" s="13">
        <v>10000</v>
      </c>
      <c r="G204" s="13">
        <f t="shared" si="35"/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f t="shared" si="34"/>
        <v>10000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1" t="s">
        <v>109</v>
      </c>
      <c r="B205" s="11" t="s">
        <v>110</v>
      </c>
      <c r="C205" s="11" t="s">
        <v>20</v>
      </c>
      <c r="D205" s="12" t="s">
        <v>111</v>
      </c>
      <c r="E205" s="11" t="s">
        <v>17</v>
      </c>
      <c r="F205" s="13">
        <v>10000</v>
      </c>
      <c r="G205" s="13">
        <f t="shared" si="35"/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f t="shared" si="34"/>
        <v>10000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1" t="s">
        <v>112</v>
      </c>
      <c r="B206" s="11" t="s">
        <v>113</v>
      </c>
      <c r="C206" s="11" t="s">
        <v>20</v>
      </c>
      <c r="D206" s="12" t="s">
        <v>114</v>
      </c>
      <c r="E206" s="11" t="s">
        <v>47</v>
      </c>
      <c r="F206" s="13">
        <v>30000</v>
      </c>
      <c r="G206" s="13">
        <f t="shared" si="35"/>
        <v>300</v>
      </c>
      <c r="H206" s="13">
        <f t="shared" ref="H206:H207" si="36">F206*0.1</f>
        <v>3000</v>
      </c>
      <c r="I206" s="13">
        <v>0</v>
      </c>
      <c r="J206" s="13">
        <v>0</v>
      </c>
      <c r="K206" s="13">
        <v>0</v>
      </c>
      <c r="L206" s="13">
        <f t="shared" si="34"/>
        <v>26700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1" t="s">
        <v>115</v>
      </c>
      <c r="B207" s="11" t="s">
        <v>116</v>
      </c>
      <c r="C207" s="11" t="s">
        <v>53</v>
      </c>
      <c r="D207" s="12" t="s">
        <v>117</v>
      </c>
      <c r="E207" s="11" t="s">
        <v>47</v>
      </c>
      <c r="F207" s="13">
        <v>25000</v>
      </c>
      <c r="G207" s="13">
        <f t="shared" si="35"/>
        <v>250</v>
      </c>
      <c r="H207" s="13">
        <f t="shared" si="36"/>
        <v>2500</v>
      </c>
      <c r="I207" s="13">
        <v>0</v>
      </c>
      <c r="J207" s="13">
        <v>0</v>
      </c>
      <c r="K207" s="13">
        <v>0</v>
      </c>
      <c r="L207" s="13">
        <f t="shared" si="34"/>
        <v>22250</v>
      </c>
      <c r="M207" s="14" t="s">
        <v>124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1" t="s">
        <v>119</v>
      </c>
      <c r="B208" s="11" t="s">
        <v>120</v>
      </c>
      <c r="C208" s="11" t="s">
        <v>53</v>
      </c>
      <c r="D208" s="12" t="s">
        <v>121</v>
      </c>
      <c r="E208" s="11" t="s">
        <v>62</v>
      </c>
      <c r="F208" s="13">
        <v>20000</v>
      </c>
      <c r="G208" s="13">
        <f t="shared" si="35"/>
        <v>200</v>
      </c>
      <c r="H208" s="13">
        <v>0</v>
      </c>
      <c r="I208" s="13">
        <v>0</v>
      </c>
      <c r="J208" s="13">
        <v>0</v>
      </c>
      <c r="K208" s="13">
        <v>0</v>
      </c>
      <c r="L208" s="13">
        <f t="shared" si="34"/>
        <v>19800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6" ht="15.75" customHeight="1" x14ac:dyDescent="0.25">
      <c r="A209" s="23"/>
      <c r="B209" s="23"/>
      <c r="C209" s="23"/>
      <c r="D209" s="24"/>
      <c r="E209" s="23"/>
      <c r="F209" s="25">
        <f t="shared" ref="F209:L209" si="37">SUM(F192:F208)</f>
        <v>293000</v>
      </c>
      <c r="G209" s="25">
        <f t="shared" si="37"/>
        <v>2110</v>
      </c>
      <c r="H209" s="25">
        <f t="shared" si="37"/>
        <v>5500</v>
      </c>
      <c r="I209" s="25">
        <f t="shared" si="37"/>
        <v>30000</v>
      </c>
      <c r="J209" s="25">
        <f t="shared" si="37"/>
        <v>0</v>
      </c>
      <c r="K209" s="25">
        <f t="shared" si="37"/>
        <v>0</v>
      </c>
      <c r="L209" s="25">
        <f t="shared" si="37"/>
        <v>255390</v>
      </c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spans="1:26" ht="15.75" customHeight="1" x14ac:dyDescent="0.25">
      <c r="A210" s="14"/>
      <c r="B210" s="14"/>
      <c r="C210" s="14"/>
      <c r="D210" s="20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6" ht="15.75" customHeight="1" x14ac:dyDescent="0.25">
      <c r="A211" s="22" t="s">
        <v>125</v>
      </c>
      <c r="B211" s="11"/>
      <c r="C211" s="11"/>
      <c r="D211" s="12"/>
      <c r="E211" s="11"/>
      <c r="F211" s="11"/>
      <c r="G211" s="11"/>
      <c r="H211" s="11"/>
      <c r="I211" s="11"/>
      <c r="J211" s="11"/>
      <c r="K211" s="11"/>
      <c r="L211" s="1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6" ht="15.75" customHeight="1" x14ac:dyDescent="0.25">
      <c r="A212" s="11" t="s">
        <v>80</v>
      </c>
      <c r="B212" s="11" t="s">
        <v>81</v>
      </c>
      <c r="C212" s="11" t="s">
        <v>42</v>
      </c>
      <c r="D212" s="12" t="s">
        <v>82</v>
      </c>
      <c r="E212" s="13" t="s">
        <v>17</v>
      </c>
      <c r="F212" s="13">
        <v>10000</v>
      </c>
      <c r="G212" s="13">
        <f t="shared" ref="G212:G225" si="38">IF(E212="corper",0,F212*0.01)</f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f t="shared" ref="L212:L226" si="39">F212-SUM(G212:I212)+SUM(J212:K212)</f>
        <v>10000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6" ht="15.75" customHeight="1" x14ac:dyDescent="0.25">
      <c r="A213" s="11" t="s">
        <v>83</v>
      </c>
      <c r="B213" s="11" t="s">
        <v>84</v>
      </c>
      <c r="C213" s="11" t="s">
        <v>35</v>
      </c>
      <c r="D213" s="12" t="s">
        <v>85</v>
      </c>
      <c r="E213" s="13" t="s">
        <v>17</v>
      </c>
      <c r="F213" s="13">
        <v>15000</v>
      </c>
      <c r="G213" s="13">
        <f t="shared" si="38"/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f t="shared" si="39"/>
        <v>15000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6" ht="15.75" customHeight="1" x14ac:dyDescent="0.25">
      <c r="A214" s="11" t="s">
        <v>86</v>
      </c>
      <c r="B214" s="11" t="s">
        <v>87</v>
      </c>
      <c r="C214" s="11" t="s">
        <v>23</v>
      </c>
      <c r="D214" s="12" t="s">
        <v>88</v>
      </c>
      <c r="E214" s="13" t="s">
        <v>17</v>
      </c>
      <c r="F214" s="13">
        <v>10000</v>
      </c>
      <c r="G214" s="13">
        <f t="shared" si="38"/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f t="shared" si="39"/>
        <v>10000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6" ht="15.75" customHeight="1" x14ac:dyDescent="0.25">
      <c r="A215" s="11" t="s">
        <v>89</v>
      </c>
      <c r="B215" s="11" t="s">
        <v>90</v>
      </c>
      <c r="C215" s="11" t="s">
        <v>91</v>
      </c>
      <c r="D215" s="12" t="s">
        <v>92</v>
      </c>
      <c r="E215" s="13" t="s">
        <v>17</v>
      </c>
      <c r="F215" s="13">
        <v>10000</v>
      </c>
      <c r="G215" s="13">
        <f t="shared" si="38"/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f t="shared" si="39"/>
        <v>10000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6" ht="15.75" customHeight="1" x14ac:dyDescent="0.25">
      <c r="A216" s="11" t="s">
        <v>45</v>
      </c>
      <c r="B216" s="11" t="s">
        <v>46</v>
      </c>
      <c r="C216" s="11" t="s">
        <v>42</v>
      </c>
      <c r="D216" s="12">
        <v>7346952016</v>
      </c>
      <c r="E216" s="13" t="s">
        <v>47</v>
      </c>
      <c r="F216" s="13">
        <v>30000</v>
      </c>
      <c r="G216" s="13">
        <f t="shared" si="38"/>
        <v>300</v>
      </c>
      <c r="H216" s="13">
        <v>0</v>
      </c>
      <c r="I216" s="13">
        <v>15000</v>
      </c>
      <c r="J216" s="13">
        <v>0</v>
      </c>
      <c r="K216" s="13">
        <v>0</v>
      </c>
      <c r="L216" s="13">
        <f t="shared" si="39"/>
        <v>14700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6" ht="15.75" customHeight="1" x14ac:dyDescent="0.25">
      <c r="A217" s="11" t="s">
        <v>48</v>
      </c>
      <c r="B217" s="11" t="s">
        <v>49</v>
      </c>
      <c r="C217" s="11" t="s">
        <v>42</v>
      </c>
      <c r="D217" s="12" t="s">
        <v>50</v>
      </c>
      <c r="E217" s="13" t="s">
        <v>47</v>
      </c>
      <c r="F217" s="13">
        <v>18000</v>
      </c>
      <c r="G217" s="13">
        <f t="shared" si="38"/>
        <v>180</v>
      </c>
      <c r="H217" s="13">
        <v>0</v>
      </c>
      <c r="I217" s="13">
        <v>0</v>
      </c>
      <c r="J217" s="13">
        <v>0</v>
      </c>
      <c r="K217" s="13">
        <v>0</v>
      </c>
      <c r="L217" s="13">
        <f t="shared" si="39"/>
        <v>17820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6" ht="15.75" customHeight="1" x14ac:dyDescent="0.25">
      <c r="A218" s="11" t="s">
        <v>51</v>
      </c>
      <c r="B218" s="11" t="s">
        <v>52</v>
      </c>
      <c r="C218" s="11" t="s">
        <v>53</v>
      </c>
      <c r="D218" s="12">
        <v>3085168474</v>
      </c>
      <c r="E218" s="13" t="s">
        <v>47</v>
      </c>
      <c r="F218" s="13">
        <v>30000</v>
      </c>
      <c r="G218" s="13">
        <f t="shared" si="38"/>
        <v>300</v>
      </c>
      <c r="H218" s="13">
        <v>0</v>
      </c>
      <c r="I218" s="13">
        <v>29700</v>
      </c>
      <c r="J218" s="13">
        <v>0</v>
      </c>
      <c r="K218" s="13">
        <v>0</v>
      </c>
      <c r="L218" s="13">
        <f t="shared" si="39"/>
        <v>0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6" ht="15.75" customHeight="1" x14ac:dyDescent="0.25">
      <c r="A219" s="11" t="s">
        <v>56</v>
      </c>
      <c r="B219" s="11" t="s">
        <v>57</v>
      </c>
      <c r="C219" s="11" t="s">
        <v>75</v>
      </c>
      <c r="D219" s="12" t="s">
        <v>76</v>
      </c>
      <c r="E219" s="13" t="s">
        <v>47</v>
      </c>
      <c r="F219" s="13">
        <v>18000</v>
      </c>
      <c r="G219" s="13">
        <f t="shared" si="38"/>
        <v>180</v>
      </c>
      <c r="H219" s="13">
        <v>0</v>
      </c>
      <c r="I219" s="13">
        <v>0</v>
      </c>
      <c r="J219" s="13">
        <v>0</v>
      </c>
      <c r="K219" s="13">
        <v>0</v>
      </c>
      <c r="L219" s="13">
        <f t="shared" si="39"/>
        <v>17820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6" ht="15.75" customHeight="1" x14ac:dyDescent="0.25">
      <c r="A220" s="11" t="s">
        <v>58</v>
      </c>
      <c r="B220" s="11" t="s">
        <v>59</v>
      </c>
      <c r="C220" s="11" t="s">
        <v>20</v>
      </c>
      <c r="D220" s="12" t="s">
        <v>123</v>
      </c>
      <c r="E220" s="13" t="s">
        <v>47</v>
      </c>
      <c r="F220" s="13">
        <v>20000</v>
      </c>
      <c r="G220" s="13">
        <f t="shared" si="38"/>
        <v>200</v>
      </c>
      <c r="H220" s="13">
        <v>0</v>
      </c>
      <c r="I220" s="13">
        <v>0</v>
      </c>
      <c r="J220" s="13">
        <v>0</v>
      </c>
      <c r="K220" s="13">
        <v>0</v>
      </c>
      <c r="L220" s="13">
        <f t="shared" si="39"/>
        <v>19800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6" ht="15.75" customHeight="1" x14ac:dyDescent="0.25">
      <c r="A221" s="11" t="s">
        <v>60</v>
      </c>
      <c r="B221" s="11" t="s">
        <v>52</v>
      </c>
      <c r="C221" s="11" t="s">
        <v>15</v>
      </c>
      <c r="D221" s="12" t="s">
        <v>61</v>
      </c>
      <c r="E221" s="13" t="s">
        <v>47</v>
      </c>
      <c r="F221" s="13">
        <v>20000</v>
      </c>
      <c r="G221" s="13">
        <f t="shared" si="38"/>
        <v>200</v>
      </c>
      <c r="H221" s="13">
        <v>0</v>
      </c>
      <c r="I221" s="13">
        <v>0</v>
      </c>
      <c r="J221" s="13">
        <v>0</v>
      </c>
      <c r="K221" s="13">
        <v>0</v>
      </c>
      <c r="L221" s="13">
        <f t="shared" si="39"/>
        <v>19800</v>
      </c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6" ht="15.75" customHeight="1" x14ac:dyDescent="0.25">
      <c r="A222" s="11" t="s">
        <v>106</v>
      </c>
      <c r="B222" s="11" t="s">
        <v>107</v>
      </c>
      <c r="C222" s="11" t="s">
        <v>20</v>
      </c>
      <c r="D222" s="12" t="s">
        <v>108</v>
      </c>
      <c r="E222" s="11" t="s">
        <v>17</v>
      </c>
      <c r="F222" s="13">
        <v>10000</v>
      </c>
      <c r="G222" s="13">
        <f t="shared" si="38"/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f t="shared" si="39"/>
        <v>10000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6" ht="15.75" customHeight="1" x14ac:dyDescent="0.25">
      <c r="A223" s="11" t="s">
        <v>109</v>
      </c>
      <c r="B223" s="11" t="s">
        <v>110</v>
      </c>
      <c r="C223" s="11" t="s">
        <v>20</v>
      </c>
      <c r="D223" s="12" t="s">
        <v>111</v>
      </c>
      <c r="E223" s="11" t="s">
        <v>17</v>
      </c>
      <c r="F223" s="13">
        <v>10000</v>
      </c>
      <c r="G223" s="13">
        <f t="shared" si="38"/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f t="shared" si="39"/>
        <v>10000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6" ht="15.75" customHeight="1" x14ac:dyDescent="0.25">
      <c r="A224" s="11" t="s">
        <v>112</v>
      </c>
      <c r="B224" s="11" t="s">
        <v>113</v>
      </c>
      <c r="C224" s="11" t="s">
        <v>20</v>
      </c>
      <c r="D224" s="12" t="s">
        <v>114</v>
      </c>
      <c r="E224" s="11" t="s">
        <v>47</v>
      </c>
      <c r="F224" s="13">
        <v>30000</v>
      </c>
      <c r="G224" s="13">
        <f t="shared" si="38"/>
        <v>300</v>
      </c>
      <c r="H224" s="13">
        <f t="shared" ref="H224:H225" si="40">F224*0.1</f>
        <v>3000</v>
      </c>
      <c r="I224" s="13">
        <v>0</v>
      </c>
      <c r="J224" s="13">
        <v>0</v>
      </c>
      <c r="K224" s="13">
        <v>0</v>
      </c>
      <c r="L224" s="13">
        <f t="shared" si="39"/>
        <v>26700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6" ht="15.75" customHeight="1" x14ac:dyDescent="0.25">
      <c r="A225" s="11" t="s">
        <v>115</v>
      </c>
      <c r="B225" s="11" t="s">
        <v>116</v>
      </c>
      <c r="C225" s="11" t="s">
        <v>53</v>
      </c>
      <c r="D225" s="12" t="s">
        <v>117</v>
      </c>
      <c r="E225" s="11" t="s">
        <v>47</v>
      </c>
      <c r="F225" s="13">
        <v>25000</v>
      </c>
      <c r="G225" s="13">
        <f t="shared" si="38"/>
        <v>250</v>
      </c>
      <c r="H225" s="13">
        <f t="shared" si="40"/>
        <v>2500</v>
      </c>
      <c r="I225" s="13">
        <v>0</v>
      </c>
      <c r="J225" s="13">
        <v>0</v>
      </c>
      <c r="K225" s="13">
        <v>0</v>
      </c>
      <c r="L225" s="13">
        <f t="shared" si="39"/>
        <v>22250</v>
      </c>
      <c r="M225" s="14" t="s">
        <v>126</v>
      </c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6" ht="15.75" customHeight="1" x14ac:dyDescent="0.25">
      <c r="A226" s="11" t="s">
        <v>127</v>
      </c>
      <c r="B226" s="11" t="s">
        <v>128</v>
      </c>
      <c r="C226" s="11" t="s">
        <v>35</v>
      </c>
      <c r="D226" s="12" t="s">
        <v>129</v>
      </c>
      <c r="E226" s="11" t="s">
        <v>62</v>
      </c>
      <c r="F226" s="13">
        <v>10000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f t="shared" si="39"/>
        <v>10000</v>
      </c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6" ht="15.75" customHeight="1" x14ac:dyDescent="0.25">
      <c r="A227" s="23"/>
      <c r="B227" s="23"/>
      <c r="C227" s="23"/>
      <c r="D227" s="24"/>
      <c r="E227" s="23"/>
      <c r="F227" s="25">
        <f t="shared" ref="F227:L227" si="41">SUM(F212:F226)</f>
        <v>266000</v>
      </c>
      <c r="G227" s="25">
        <f t="shared" si="41"/>
        <v>1910</v>
      </c>
      <c r="H227" s="25">
        <f t="shared" si="41"/>
        <v>5500</v>
      </c>
      <c r="I227" s="25">
        <f t="shared" si="41"/>
        <v>44700</v>
      </c>
      <c r="J227" s="25">
        <f t="shared" si="41"/>
        <v>0</v>
      </c>
      <c r="K227" s="25">
        <f t="shared" si="41"/>
        <v>0</v>
      </c>
      <c r="L227" s="25">
        <f t="shared" si="41"/>
        <v>213890</v>
      </c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spans="1:26" ht="15.75" customHeight="1" x14ac:dyDescent="0.25">
      <c r="A228" s="14"/>
      <c r="B228" s="14"/>
      <c r="C228" s="14"/>
      <c r="D228" s="20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6" ht="15.75" customHeight="1" x14ac:dyDescent="0.25">
      <c r="A229" s="22" t="s">
        <v>130</v>
      </c>
      <c r="B229" s="11"/>
      <c r="C229" s="11"/>
      <c r="D229" s="12"/>
      <c r="E229" s="11"/>
      <c r="F229" s="11"/>
      <c r="G229" s="11"/>
      <c r="H229" s="11"/>
      <c r="I229" s="11"/>
      <c r="J229" s="11"/>
      <c r="K229" s="11"/>
      <c r="L229" s="1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6" ht="15.75" customHeight="1" x14ac:dyDescent="0.25">
      <c r="A230" s="11" t="s">
        <v>80</v>
      </c>
      <c r="B230" s="11" t="s">
        <v>81</v>
      </c>
      <c r="C230" s="11" t="s">
        <v>42</v>
      </c>
      <c r="D230" s="12" t="s">
        <v>82</v>
      </c>
      <c r="E230" s="13" t="s">
        <v>17</v>
      </c>
      <c r="F230" s="13">
        <v>5000</v>
      </c>
      <c r="G230" s="13">
        <f t="shared" ref="G230:G238" si="42">IF(E230="corper",0,F230*0.01)</f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f t="shared" ref="L230:L246" si="43">F230-SUM(G230:I230)+SUM(J230:K230)</f>
        <v>5000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6" ht="15.75" customHeight="1" x14ac:dyDescent="0.25">
      <c r="A231" s="11" t="s">
        <v>83</v>
      </c>
      <c r="B231" s="11" t="s">
        <v>84</v>
      </c>
      <c r="C231" s="11" t="s">
        <v>35</v>
      </c>
      <c r="D231" s="12" t="s">
        <v>85</v>
      </c>
      <c r="E231" s="13" t="s">
        <v>17</v>
      </c>
      <c r="F231" s="13">
        <v>7500</v>
      </c>
      <c r="G231" s="13">
        <f t="shared" si="42"/>
        <v>0</v>
      </c>
      <c r="H231" s="13">
        <v>0</v>
      </c>
      <c r="I231" s="13">
        <v>0</v>
      </c>
      <c r="J231" s="13">
        <v>28000</v>
      </c>
      <c r="K231" s="13">
        <v>500</v>
      </c>
      <c r="L231" s="13">
        <f t="shared" si="43"/>
        <v>36000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6" ht="15.75" customHeight="1" x14ac:dyDescent="0.25">
      <c r="A232" s="11" t="s">
        <v>86</v>
      </c>
      <c r="B232" s="11" t="s">
        <v>87</v>
      </c>
      <c r="C232" s="11" t="s">
        <v>23</v>
      </c>
      <c r="D232" s="12" t="s">
        <v>88</v>
      </c>
      <c r="E232" s="13" t="s">
        <v>17</v>
      </c>
      <c r="F232" s="13">
        <v>5000</v>
      </c>
      <c r="G232" s="13">
        <f t="shared" si="42"/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f t="shared" si="43"/>
        <v>5000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6" ht="15.75" customHeight="1" x14ac:dyDescent="0.25">
      <c r="A233" s="11" t="s">
        <v>89</v>
      </c>
      <c r="B233" s="11" t="s">
        <v>90</v>
      </c>
      <c r="C233" s="11" t="s">
        <v>91</v>
      </c>
      <c r="D233" s="12" t="s">
        <v>92</v>
      </c>
      <c r="E233" s="13" t="s">
        <v>17</v>
      </c>
      <c r="F233" s="13">
        <v>5000</v>
      </c>
      <c r="G233" s="13">
        <f t="shared" si="42"/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f t="shared" si="43"/>
        <v>5000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6" ht="15.75" customHeight="1" x14ac:dyDescent="0.25">
      <c r="A234" s="11" t="s">
        <v>45</v>
      </c>
      <c r="B234" s="11" t="s">
        <v>46</v>
      </c>
      <c r="C234" s="11" t="s">
        <v>42</v>
      </c>
      <c r="D234" s="12">
        <v>7346952016</v>
      </c>
      <c r="E234" s="13" t="s">
        <v>47</v>
      </c>
      <c r="F234" s="13">
        <v>15000</v>
      </c>
      <c r="G234" s="13">
        <f t="shared" si="42"/>
        <v>150</v>
      </c>
      <c r="H234" s="13">
        <v>0</v>
      </c>
      <c r="I234" s="13">
        <v>14850</v>
      </c>
      <c r="J234" s="13">
        <v>0</v>
      </c>
      <c r="K234" s="13">
        <v>0</v>
      </c>
      <c r="L234" s="13">
        <f t="shared" si="43"/>
        <v>0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6" ht="15.75" customHeight="1" x14ac:dyDescent="0.25">
      <c r="A235" s="11" t="s">
        <v>48</v>
      </c>
      <c r="B235" s="11" t="s">
        <v>49</v>
      </c>
      <c r="C235" s="11" t="s">
        <v>42</v>
      </c>
      <c r="D235" s="12" t="s">
        <v>50</v>
      </c>
      <c r="E235" s="13" t="s">
        <v>47</v>
      </c>
      <c r="F235" s="13">
        <v>9000</v>
      </c>
      <c r="G235" s="13">
        <f t="shared" si="42"/>
        <v>90</v>
      </c>
      <c r="H235" s="13">
        <v>0</v>
      </c>
      <c r="I235" s="13">
        <v>0</v>
      </c>
      <c r="J235" s="13">
        <v>0</v>
      </c>
      <c r="K235" s="13">
        <v>0</v>
      </c>
      <c r="L235" s="13">
        <f t="shared" si="43"/>
        <v>8910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6" ht="15.75" customHeight="1" x14ac:dyDescent="0.25">
      <c r="A236" s="11" t="s">
        <v>51</v>
      </c>
      <c r="B236" s="11" t="s">
        <v>52</v>
      </c>
      <c r="C236" s="11" t="s">
        <v>53</v>
      </c>
      <c r="D236" s="12">
        <v>3085168474</v>
      </c>
      <c r="E236" s="13" t="s">
        <v>47</v>
      </c>
      <c r="F236" s="13">
        <v>15000</v>
      </c>
      <c r="G236" s="13">
        <f t="shared" si="42"/>
        <v>150</v>
      </c>
      <c r="H236" s="13">
        <v>0</v>
      </c>
      <c r="I236" s="13">
        <v>14850</v>
      </c>
      <c r="J236" s="13">
        <v>0</v>
      </c>
      <c r="K236" s="13">
        <v>0</v>
      </c>
      <c r="L236" s="13">
        <f t="shared" si="43"/>
        <v>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6" ht="15.75" customHeight="1" x14ac:dyDescent="0.25">
      <c r="A237" s="11" t="s">
        <v>56</v>
      </c>
      <c r="B237" s="11" t="s">
        <v>57</v>
      </c>
      <c r="C237" s="11" t="s">
        <v>75</v>
      </c>
      <c r="D237" s="12" t="s">
        <v>76</v>
      </c>
      <c r="E237" s="13" t="s">
        <v>47</v>
      </c>
      <c r="F237" s="13">
        <v>9000</v>
      </c>
      <c r="G237" s="13">
        <f t="shared" si="42"/>
        <v>90</v>
      </c>
      <c r="H237" s="13">
        <v>0</v>
      </c>
      <c r="I237" s="13">
        <v>0</v>
      </c>
      <c r="J237" s="13">
        <v>0</v>
      </c>
      <c r="K237" s="13">
        <v>0</v>
      </c>
      <c r="L237" s="13">
        <f t="shared" si="43"/>
        <v>8910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6" ht="15.75" customHeight="1" x14ac:dyDescent="0.25">
      <c r="A238" s="11" t="s">
        <v>58</v>
      </c>
      <c r="B238" s="11" t="s">
        <v>59</v>
      </c>
      <c r="C238" s="11" t="s">
        <v>20</v>
      </c>
      <c r="D238" s="12" t="s">
        <v>123</v>
      </c>
      <c r="E238" s="13" t="s">
        <v>47</v>
      </c>
      <c r="F238" s="13">
        <v>0</v>
      </c>
      <c r="G238" s="13">
        <f t="shared" si="42"/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f t="shared" si="43"/>
        <v>0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6" ht="15.75" customHeight="1" x14ac:dyDescent="0.25">
      <c r="A239" s="11" t="s">
        <v>98</v>
      </c>
      <c r="B239" s="11" t="s">
        <v>99</v>
      </c>
      <c r="C239" s="11"/>
      <c r="D239" s="12"/>
      <c r="E239" s="13" t="s">
        <v>62</v>
      </c>
      <c r="F239" s="13">
        <v>7000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f t="shared" si="43"/>
        <v>7000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6" ht="15.75" customHeight="1" x14ac:dyDescent="0.25">
      <c r="A240" s="11" t="s">
        <v>60</v>
      </c>
      <c r="B240" s="11" t="s">
        <v>52</v>
      </c>
      <c r="C240" s="11" t="s">
        <v>15</v>
      </c>
      <c r="D240" s="12" t="s">
        <v>61</v>
      </c>
      <c r="E240" s="13" t="s">
        <v>47</v>
      </c>
      <c r="F240" s="13">
        <v>10000</v>
      </c>
      <c r="G240" s="13">
        <f t="shared" ref="G240:G245" si="44">IF(E240="corper",0,F240*0.01)</f>
        <v>100</v>
      </c>
      <c r="H240" s="13">
        <v>0</v>
      </c>
      <c r="I240" s="13">
        <v>0</v>
      </c>
      <c r="J240" s="13">
        <v>0</v>
      </c>
      <c r="K240" s="13">
        <v>0</v>
      </c>
      <c r="L240" s="13">
        <f t="shared" si="43"/>
        <v>9900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6" ht="15.75" customHeight="1" x14ac:dyDescent="0.25">
      <c r="A241" s="11" t="s">
        <v>106</v>
      </c>
      <c r="B241" s="11" t="s">
        <v>107</v>
      </c>
      <c r="C241" s="11" t="s">
        <v>20</v>
      </c>
      <c r="D241" s="12" t="s">
        <v>108</v>
      </c>
      <c r="E241" s="11" t="s">
        <v>17</v>
      </c>
      <c r="F241" s="13">
        <v>5000</v>
      </c>
      <c r="G241" s="13">
        <f t="shared" si="44"/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f t="shared" si="43"/>
        <v>5000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6" ht="15.75" customHeight="1" x14ac:dyDescent="0.25">
      <c r="A242" s="11" t="s">
        <v>109</v>
      </c>
      <c r="B242" s="11" t="s">
        <v>110</v>
      </c>
      <c r="C242" s="11" t="s">
        <v>20</v>
      </c>
      <c r="D242" s="12" t="s">
        <v>111</v>
      </c>
      <c r="E242" s="11" t="s">
        <v>17</v>
      </c>
      <c r="F242" s="13">
        <v>5000</v>
      </c>
      <c r="G242" s="13">
        <f t="shared" si="44"/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f t="shared" si="43"/>
        <v>5000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6" ht="15.75" customHeight="1" x14ac:dyDescent="0.25">
      <c r="A243" s="11" t="s">
        <v>112</v>
      </c>
      <c r="B243" s="11" t="s">
        <v>113</v>
      </c>
      <c r="C243" s="11" t="s">
        <v>20</v>
      </c>
      <c r="D243" s="12" t="s">
        <v>114</v>
      </c>
      <c r="E243" s="11" t="s">
        <v>47</v>
      </c>
      <c r="F243" s="13">
        <v>15000</v>
      </c>
      <c r="G243" s="13">
        <f t="shared" si="44"/>
        <v>150</v>
      </c>
      <c r="H243" s="13">
        <f t="shared" ref="H243:H244" si="45">F243*0.1</f>
        <v>1500</v>
      </c>
      <c r="I243" s="13">
        <v>0</v>
      </c>
      <c r="J243" s="13">
        <v>0</v>
      </c>
      <c r="K243" s="13">
        <v>0</v>
      </c>
      <c r="L243" s="13">
        <f t="shared" si="43"/>
        <v>13350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6" ht="15.75" customHeight="1" x14ac:dyDescent="0.25">
      <c r="A244" s="11" t="s">
        <v>115</v>
      </c>
      <c r="B244" s="11" t="s">
        <v>116</v>
      </c>
      <c r="C244" s="11" t="s">
        <v>53</v>
      </c>
      <c r="D244" s="12" t="s">
        <v>117</v>
      </c>
      <c r="E244" s="11" t="s">
        <v>47</v>
      </c>
      <c r="F244" s="13">
        <v>12500</v>
      </c>
      <c r="G244" s="13">
        <f t="shared" si="44"/>
        <v>125</v>
      </c>
      <c r="H244" s="13">
        <f t="shared" si="45"/>
        <v>1250</v>
      </c>
      <c r="I244" s="13">
        <v>0</v>
      </c>
      <c r="J244" s="13">
        <v>0</v>
      </c>
      <c r="K244" s="13">
        <v>0</v>
      </c>
      <c r="L244" s="13">
        <f t="shared" si="43"/>
        <v>11125</v>
      </c>
      <c r="M244" s="14" t="s">
        <v>131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6" ht="15.75" customHeight="1" x14ac:dyDescent="0.25">
      <c r="A245" s="11" t="s">
        <v>119</v>
      </c>
      <c r="B245" s="11" t="s">
        <v>120</v>
      </c>
      <c r="C245" s="11" t="s">
        <v>53</v>
      </c>
      <c r="D245" s="12" t="s">
        <v>121</v>
      </c>
      <c r="E245" s="11" t="s">
        <v>62</v>
      </c>
      <c r="F245" s="13">
        <v>20000</v>
      </c>
      <c r="G245" s="13">
        <f t="shared" si="44"/>
        <v>200</v>
      </c>
      <c r="H245" s="13">
        <v>0</v>
      </c>
      <c r="I245" s="13">
        <v>0</v>
      </c>
      <c r="J245" s="13">
        <v>0</v>
      </c>
      <c r="K245" s="13">
        <v>0</v>
      </c>
      <c r="L245" s="13">
        <f t="shared" si="43"/>
        <v>19800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6" ht="15.75" customHeight="1" x14ac:dyDescent="0.25">
      <c r="A246" s="11" t="s">
        <v>127</v>
      </c>
      <c r="B246" s="11" t="s">
        <v>128</v>
      </c>
      <c r="C246" s="11" t="s">
        <v>35</v>
      </c>
      <c r="D246" s="12" t="s">
        <v>129</v>
      </c>
      <c r="E246" s="11" t="s">
        <v>62</v>
      </c>
      <c r="F246" s="13">
        <v>5000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f t="shared" si="43"/>
        <v>5000</v>
      </c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6" ht="15.75" customHeight="1" x14ac:dyDescent="0.25">
      <c r="A247" s="23"/>
      <c r="B247" s="23"/>
      <c r="C247" s="23"/>
      <c r="D247" s="24"/>
      <c r="E247" s="23"/>
      <c r="F247" s="25">
        <f t="shared" ref="F247:L247" si="46">SUM(F230:F246)</f>
        <v>150000</v>
      </c>
      <c r="G247" s="25">
        <f t="shared" si="46"/>
        <v>1055</v>
      </c>
      <c r="H247" s="25">
        <f t="shared" si="46"/>
        <v>2750</v>
      </c>
      <c r="I247" s="25">
        <f t="shared" si="46"/>
        <v>29700</v>
      </c>
      <c r="J247" s="25">
        <f t="shared" si="46"/>
        <v>28000</v>
      </c>
      <c r="K247" s="25">
        <f t="shared" si="46"/>
        <v>500</v>
      </c>
      <c r="L247" s="25">
        <f t="shared" si="46"/>
        <v>144995</v>
      </c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spans="1:26" ht="15.75" customHeight="1" x14ac:dyDescent="0.25">
      <c r="A248" s="14"/>
      <c r="B248" s="14"/>
      <c r="C248" s="14"/>
      <c r="D248" s="20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6" ht="15.75" customHeight="1" x14ac:dyDescent="0.25">
      <c r="A249" s="14"/>
      <c r="B249" s="14"/>
      <c r="C249" s="14"/>
      <c r="D249" s="20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6" ht="15.75" customHeight="1" x14ac:dyDescent="0.25">
      <c r="A250" s="14"/>
      <c r="B250" s="14"/>
      <c r="C250" s="14"/>
      <c r="D250" s="20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6" ht="15.75" customHeight="1" x14ac:dyDescent="0.25">
      <c r="A251" s="14"/>
      <c r="B251" s="14"/>
      <c r="C251" s="14"/>
      <c r="D251" s="20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6" ht="15.75" customHeight="1" x14ac:dyDescent="0.25">
      <c r="A252" s="14"/>
      <c r="B252" s="14"/>
      <c r="C252" s="14"/>
      <c r="D252" s="20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6" ht="15.75" customHeight="1" x14ac:dyDescent="0.25">
      <c r="A253" s="14"/>
      <c r="B253" s="14"/>
      <c r="C253" s="14"/>
      <c r="D253" s="20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6" ht="15.75" customHeight="1" x14ac:dyDescent="0.25">
      <c r="A254" s="14"/>
      <c r="B254" s="14"/>
      <c r="C254" s="14"/>
      <c r="D254" s="20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6" ht="15.75" customHeight="1" x14ac:dyDescent="0.25">
      <c r="A255" s="14"/>
      <c r="B255" s="14"/>
      <c r="C255" s="14"/>
      <c r="D255" s="20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6" ht="15.75" customHeight="1" x14ac:dyDescent="0.25">
      <c r="A256" s="14"/>
      <c r="B256" s="14"/>
      <c r="C256" s="14"/>
      <c r="D256" s="20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5.75" customHeight="1" x14ac:dyDescent="0.25">
      <c r="A257" s="14"/>
      <c r="B257" s="14"/>
      <c r="C257" s="14"/>
      <c r="D257" s="20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5.75" customHeight="1" x14ac:dyDescent="0.25">
      <c r="A258" s="14"/>
      <c r="B258" s="14"/>
      <c r="C258" s="14"/>
      <c r="D258" s="20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5.75" customHeight="1" x14ac:dyDescent="0.25">
      <c r="A259" s="14"/>
      <c r="B259" s="14"/>
      <c r="C259" s="14"/>
      <c r="D259" s="20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5.75" customHeight="1" x14ac:dyDescent="0.25">
      <c r="A260" s="14"/>
      <c r="B260" s="14"/>
      <c r="C260" s="14"/>
      <c r="D260" s="20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5.75" customHeight="1" x14ac:dyDescent="0.25">
      <c r="A261" s="14"/>
      <c r="B261" s="14"/>
      <c r="C261" s="14"/>
      <c r="D261" s="20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5.75" customHeight="1" x14ac:dyDescent="0.25">
      <c r="A262" s="14"/>
      <c r="B262" s="14"/>
      <c r="C262" s="14"/>
      <c r="D262" s="20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5.75" customHeight="1" x14ac:dyDescent="0.25">
      <c r="A263" s="14"/>
      <c r="B263" s="14"/>
      <c r="C263" s="14"/>
      <c r="D263" s="20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5.75" customHeight="1" x14ac:dyDescent="0.25">
      <c r="A264" s="14"/>
      <c r="B264" s="14"/>
      <c r="C264" s="14"/>
      <c r="D264" s="20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5.75" customHeight="1" x14ac:dyDescent="0.25">
      <c r="A265" s="14"/>
      <c r="B265" s="14"/>
      <c r="C265" s="14"/>
      <c r="D265" s="20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5.75" customHeight="1" x14ac:dyDescent="0.25">
      <c r="A266" s="14"/>
      <c r="B266" s="14"/>
      <c r="C266" s="14"/>
      <c r="D266" s="20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5.75" customHeight="1" x14ac:dyDescent="0.25">
      <c r="A267" s="14"/>
      <c r="B267" s="14"/>
      <c r="C267" s="14"/>
      <c r="D267" s="20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5.75" customHeight="1" x14ac:dyDescent="0.25">
      <c r="A268" s="14"/>
      <c r="B268" s="14"/>
      <c r="C268" s="14"/>
      <c r="D268" s="20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5.75" customHeight="1" x14ac:dyDescent="0.25">
      <c r="A269" s="14"/>
      <c r="B269" s="14"/>
      <c r="C269" s="14"/>
      <c r="D269" s="20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5.75" customHeight="1" x14ac:dyDescent="0.25">
      <c r="A270" s="14"/>
      <c r="B270" s="14"/>
      <c r="C270" s="14"/>
      <c r="D270" s="20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5.75" customHeight="1" x14ac:dyDescent="0.25">
      <c r="A271" s="14"/>
      <c r="B271" s="14"/>
      <c r="C271" s="14"/>
      <c r="D271" s="20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5.75" customHeight="1" x14ac:dyDescent="0.25">
      <c r="A272" s="14"/>
      <c r="B272" s="14"/>
      <c r="C272" s="14"/>
      <c r="D272" s="20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5.75" customHeight="1" x14ac:dyDescent="0.25">
      <c r="A273" s="14"/>
      <c r="B273" s="14"/>
      <c r="C273" s="14"/>
      <c r="D273" s="20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5.75" customHeight="1" x14ac:dyDescent="0.25">
      <c r="A274" s="14"/>
      <c r="B274" s="14"/>
      <c r="C274" s="14"/>
      <c r="D274" s="20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5.75" customHeight="1" x14ac:dyDescent="0.25">
      <c r="A275" s="14"/>
      <c r="B275" s="14"/>
      <c r="C275" s="14"/>
      <c r="D275" s="20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5.75" customHeight="1" x14ac:dyDescent="0.25">
      <c r="A276" s="14"/>
      <c r="B276" s="14"/>
      <c r="C276" s="14"/>
      <c r="D276" s="20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5.75" customHeight="1" x14ac:dyDescent="0.25">
      <c r="A277" s="14"/>
      <c r="B277" s="14"/>
      <c r="C277" s="14"/>
      <c r="D277" s="20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5.75" customHeight="1" x14ac:dyDescent="0.25">
      <c r="A278" s="14"/>
      <c r="B278" s="14"/>
      <c r="C278" s="14"/>
      <c r="D278" s="20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5.75" customHeight="1" x14ac:dyDescent="0.25">
      <c r="A279" s="14"/>
      <c r="B279" s="14"/>
      <c r="C279" s="14"/>
      <c r="D279" s="20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5.75" customHeight="1" x14ac:dyDescent="0.25">
      <c r="A280" s="14"/>
      <c r="B280" s="14"/>
      <c r="C280" s="14"/>
      <c r="D280" s="20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5.75" customHeight="1" x14ac:dyDescent="0.25">
      <c r="A281" s="14"/>
      <c r="B281" s="14"/>
      <c r="C281" s="14"/>
      <c r="D281" s="20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5.75" customHeight="1" x14ac:dyDescent="0.25">
      <c r="A282" s="14"/>
      <c r="B282" s="14"/>
      <c r="C282" s="14"/>
      <c r="D282" s="20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5.75" customHeight="1" x14ac:dyDescent="0.25">
      <c r="A283" s="14"/>
      <c r="B283" s="14"/>
      <c r="C283" s="14"/>
      <c r="D283" s="20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5.75" customHeight="1" x14ac:dyDescent="0.25">
      <c r="A284" s="14"/>
      <c r="B284" s="14"/>
      <c r="C284" s="14"/>
      <c r="D284" s="20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5.75" customHeight="1" x14ac:dyDescent="0.25">
      <c r="A285" s="14"/>
      <c r="B285" s="14"/>
      <c r="C285" s="14"/>
      <c r="D285" s="20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5.75" customHeight="1" x14ac:dyDescent="0.25">
      <c r="A286" s="14"/>
      <c r="B286" s="14"/>
      <c r="C286" s="14"/>
      <c r="D286" s="20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5.75" customHeight="1" x14ac:dyDescent="0.25">
      <c r="A287" s="14"/>
      <c r="B287" s="14"/>
      <c r="C287" s="14"/>
      <c r="D287" s="20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5.75" customHeight="1" x14ac:dyDescent="0.25">
      <c r="A288" s="14"/>
      <c r="B288" s="14"/>
      <c r="C288" s="14"/>
      <c r="D288" s="20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5.75" customHeight="1" x14ac:dyDescent="0.25">
      <c r="A289" s="14"/>
      <c r="B289" s="14"/>
      <c r="C289" s="14"/>
      <c r="D289" s="20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5.75" customHeight="1" x14ac:dyDescent="0.25">
      <c r="A290" s="14"/>
      <c r="B290" s="14"/>
      <c r="C290" s="14"/>
      <c r="D290" s="20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5.75" customHeight="1" x14ac:dyDescent="0.25">
      <c r="A291" s="14"/>
      <c r="B291" s="14"/>
      <c r="C291" s="14"/>
      <c r="D291" s="20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5.75" customHeight="1" x14ac:dyDescent="0.25">
      <c r="A292" s="14"/>
      <c r="B292" s="14"/>
      <c r="C292" s="14"/>
      <c r="D292" s="20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5.75" customHeight="1" x14ac:dyDescent="0.25">
      <c r="A293" s="14"/>
      <c r="B293" s="14"/>
      <c r="C293" s="14"/>
      <c r="D293" s="20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5.75" customHeight="1" x14ac:dyDescent="0.25">
      <c r="A294" s="14"/>
      <c r="B294" s="14"/>
      <c r="C294" s="14"/>
      <c r="D294" s="20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5.75" customHeight="1" x14ac:dyDescent="0.25">
      <c r="A295" s="14"/>
      <c r="B295" s="14"/>
      <c r="C295" s="14"/>
      <c r="D295" s="20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5.75" customHeight="1" x14ac:dyDescent="0.25">
      <c r="A296" s="14"/>
      <c r="B296" s="14"/>
      <c r="C296" s="14"/>
      <c r="D296" s="20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5.75" customHeight="1" x14ac:dyDescent="0.25">
      <c r="A297" s="14"/>
      <c r="B297" s="14"/>
      <c r="C297" s="14"/>
      <c r="D297" s="20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5.75" customHeight="1" x14ac:dyDescent="0.25">
      <c r="A298" s="14"/>
      <c r="B298" s="14"/>
      <c r="C298" s="14"/>
      <c r="D298" s="20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5.75" customHeight="1" x14ac:dyDescent="0.25">
      <c r="A299" s="14"/>
      <c r="B299" s="14"/>
      <c r="C299" s="14"/>
      <c r="D299" s="20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5.75" customHeight="1" x14ac:dyDescent="0.25">
      <c r="A300" s="14"/>
      <c r="B300" s="14"/>
      <c r="C300" s="14"/>
      <c r="D300" s="20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5.75" customHeight="1" x14ac:dyDescent="0.25">
      <c r="A301" s="14"/>
      <c r="B301" s="14"/>
      <c r="C301" s="14"/>
      <c r="D301" s="20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5.75" customHeight="1" x14ac:dyDescent="0.25">
      <c r="A302" s="14"/>
      <c r="B302" s="14"/>
      <c r="C302" s="14"/>
      <c r="D302" s="20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5.75" customHeight="1" x14ac:dyDescent="0.25">
      <c r="A303" s="14"/>
      <c r="B303" s="14"/>
      <c r="C303" s="14"/>
      <c r="D303" s="20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5.75" customHeight="1" x14ac:dyDescent="0.25">
      <c r="A304" s="14"/>
      <c r="B304" s="14"/>
      <c r="C304" s="14"/>
      <c r="D304" s="20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5.75" customHeight="1" x14ac:dyDescent="0.25">
      <c r="A305" s="14"/>
      <c r="B305" s="14"/>
      <c r="C305" s="14"/>
      <c r="D305" s="20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5.75" customHeight="1" x14ac:dyDescent="0.25">
      <c r="A306" s="14"/>
      <c r="B306" s="14"/>
      <c r="C306" s="14"/>
      <c r="D306" s="20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5.75" customHeight="1" x14ac:dyDescent="0.25">
      <c r="A307" s="14"/>
      <c r="B307" s="14"/>
      <c r="C307" s="14"/>
      <c r="D307" s="20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5.75" customHeight="1" x14ac:dyDescent="0.25">
      <c r="A308" s="14"/>
      <c r="B308" s="14"/>
      <c r="C308" s="14"/>
      <c r="D308" s="20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5.75" customHeight="1" x14ac:dyDescent="0.25">
      <c r="A309" s="14"/>
      <c r="B309" s="14"/>
      <c r="C309" s="14"/>
      <c r="D309" s="20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5.75" customHeight="1" x14ac:dyDescent="0.25">
      <c r="A310" s="14"/>
      <c r="B310" s="14"/>
      <c r="C310" s="14"/>
      <c r="D310" s="20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5.75" customHeight="1" x14ac:dyDescent="0.25">
      <c r="A311" s="14"/>
      <c r="B311" s="14"/>
      <c r="C311" s="14"/>
      <c r="D311" s="20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5.75" customHeight="1" x14ac:dyDescent="0.25">
      <c r="A312" s="14"/>
      <c r="B312" s="14"/>
      <c r="C312" s="14"/>
      <c r="D312" s="20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5.75" customHeight="1" x14ac:dyDescent="0.25">
      <c r="A313" s="14"/>
      <c r="B313" s="14"/>
      <c r="C313" s="14"/>
      <c r="D313" s="20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5.75" customHeight="1" x14ac:dyDescent="0.25">
      <c r="A314" s="14"/>
      <c r="B314" s="14"/>
      <c r="C314" s="14"/>
      <c r="D314" s="20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5.75" customHeight="1" x14ac:dyDescent="0.25">
      <c r="A315" s="14"/>
      <c r="B315" s="14"/>
      <c r="C315" s="14"/>
      <c r="D315" s="20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5.75" customHeight="1" x14ac:dyDescent="0.25">
      <c r="A316" s="14"/>
      <c r="B316" s="14"/>
      <c r="C316" s="14"/>
      <c r="D316" s="20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5.75" customHeight="1" x14ac:dyDescent="0.25">
      <c r="A317" s="14"/>
      <c r="B317" s="14"/>
      <c r="C317" s="14"/>
      <c r="D317" s="20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5.75" customHeight="1" x14ac:dyDescent="0.25">
      <c r="A318" s="14"/>
      <c r="B318" s="14"/>
      <c r="C318" s="14"/>
      <c r="D318" s="20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5.75" customHeight="1" x14ac:dyDescent="0.25">
      <c r="A319" s="14"/>
      <c r="B319" s="14"/>
      <c r="C319" s="14"/>
      <c r="D319" s="20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5.75" customHeight="1" x14ac:dyDescent="0.25">
      <c r="A320" s="14"/>
      <c r="B320" s="14"/>
      <c r="C320" s="14"/>
      <c r="D320" s="20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5.75" customHeight="1" x14ac:dyDescent="0.25">
      <c r="A321" s="14"/>
      <c r="B321" s="14"/>
      <c r="C321" s="14"/>
      <c r="D321" s="20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5.75" customHeight="1" x14ac:dyDescent="0.25">
      <c r="A322" s="14"/>
      <c r="B322" s="14"/>
      <c r="C322" s="14"/>
      <c r="D322" s="20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5.75" customHeight="1" x14ac:dyDescent="0.25">
      <c r="A323" s="14"/>
      <c r="B323" s="14"/>
      <c r="C323" s="14"/>
      <c r="D323" s="20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5.75" customHeight="1" x14ac:dyDescent="0.25">
      <c r="A324" s="14"/>
      <c r="B324" s="14"/>
      <c r="C324" s="14"/>
      <c r="D324" s="20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5.75" customHeight="1" x14ac:dyDescent="0.25">
      <c r="A325" s="14"/>
      <c r="B325" s="14"/>
      <c r="C325" s="14"/>
      <c r="D325" s="20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5.75" customHeight="1" x14ac:dyDescent="0.25">
      <c r="A326" s="14"/>
      <c r="B326" s="14"/>
      <c r="C326" s="14"/>
      <c r="D326" s="20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5.75" customHeight="1" x14ac:dyDescent="0.25">
      <c r="A327" s="14"/>
      <c r="B327" s="14"/>
      <c r="C327" s="14"/>
      <c r="D327" s="20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5.75" customHeight="1" x14ac:dyDescent="0.25">
      <c r="A328" s="14"/>
      <c r="B328" s="14"/>
      <c r="C328" s="14"/>
      <c r="D328" s="20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5.75" customHeight="1" x14ac:dyDescent="0.25">
      <c r="A329" s="14"/>
      <c r="B329" s="14"/>
      <c r="C329" s="14"/>
      <c r="D329" s="20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5.75" customHeight="1" x14ac:dyDescent="0.25">
      <c r="A330" s="14"/>
      <c r="B330" s="14"/>
      <c r="C330" s="14"/>
      <c r="D330" s="20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5.75" customHeight="1" x14ac:dyDescent="0.25">
      <c r="A331" s="14"/>
      <c r="B331" s="14"/>
      <c r="C331" s="14"/>
      <c r="D331" s="20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5.75" customHeight="1" x14ac:dyDescent="0.25">
      <c r="A332" s="14"/>
      <c r="B332" s="14"/>
      <c r="C332" s="14"/>
      <c r="D332" s="20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5.75" customHeight="1" x14ac:dyDescent="0.25">
      <c r="A333" s="14"/>
      <c r="B333" s="14"/>
      <c r="C333" s="14"/>
      <c r="D333" s="20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5.75" customHeight="1" x14ac:dyDescent="0.25">
      <c r="A334" s="14"/>
      <c r="B334" s="14"/>
      <c r="C334" s="14"/>
      <c r="D334" s="20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5.75" customHeight="1" x14ac:dyDescent="0.25">
      <c r="A335" s="14"/>
      <c r="B335" s="14"/>
      <c r="C335" s="14"/>
      <c r="D335" s="20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5.75" customHeight="1" x14ac:dyDescent="0.25">
      <c r="A336" s="14"/>
      <c r="B336" s="14"/>
      <c r="C336" s="14"/>
      <c r="D336" s="20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5.75" customHeight="1" x14ac:dyDescent="0.25">
      <c r="A337" s="14"/>
      <c r="B337" s="14"/>
      <c r="C337" s="14"/>
      <c r="D337" s="20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5.75" customHeight="1" x14ac:dyDescent="0.25">
      <c r="A338" s="14"/>
      <c r="B338" s="14"/>
      <c r="C338" s="14"/>
      <c r="D338" s="20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5.75" customHeight="1" x14ac:dyDescent="0.25">
      <c r="A339" s="14"/>
      <c r="B339" s="14"/>
      <c r="C339" s="14"/>
      <c r="D339" s="20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5.75" customHeight="1" x14ac:dyDescent="0.25">
      <c r="A340" s="14"/>
      <c r="B340" s="14"/>
      <c r="C340" s="14"/>
      <c r="D340" s="20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5.75" customHeight="1" x14ac:dyDescent="0.25">
      <c r="A341" s="14"/>
      <c r="B341" s="14"/>
      <c r="C341" s="14"/>
      <c r="D341" s="20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5.75" customHeight="1" x14ac:dyDescent="0.25">
      <c r="A342" s="14"/>
      <c r="B342" s="14"/>
      <c r="C342" s="14"/>
      <c r="D342" s="20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5.75" customHeight="1" x14ac:dyDescent="0.25">
      <c r="A343" s="14"/>
      <c r="B343" s="14"/>
      <c r="C343" s="14"/>
      <c r="D343" s="20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2.85546875" customWidth="1"/>
    <col min="2" max="2" width="11.7109375" customWidth="1"/>
    <col min="3" max="3" width="20.5703125" customWidth="1"/>
    <col min="4" max="4" width="13.42578125" customWidth="1"/>
    <col min="5" max="5" width="16.140625" customWidth="1"/>
    <col min="6" max="6" width="22.7109375" customWidth="1"/>
    <col min="7" max="7" width="19.28515625" customWidth="1"/>
    <col min="8" max="8" width="16" customWidth="1"/>
    <col min="9" max="9" width="18.140625" customWidth="1"/>
    <col min="10" max="10" width="16" customWidth="1"/>
    <col min="11" max="11" width="20.7109375" customWidth="1"/>
    <col min="12" max="12" width="27.5703125" customWidth="1"/>
    <col min="13" max="26" width="22.5703125" customWidth="1"/>
  </cols>
  <sheetData>
    <row r="1" spans="1:26" ht="14.25" customHeight="1" x14ac:dyDescent="0.25">
      <c r="A1" s="28" t="s">
        <v>132</v>
      </c>
      <c r="B1" s="28" t="s">
        <v>2</v>
      </c>
      <c r="C1" s="29" t="s">
        <v>3</v>
      </c>
      <c r="D1" s="30" t="s">
        <v>4</v>
      </c>
      <c r="E1" s="30" t="s">
        <v>5</v>
      </c>
      <c r="F1" s="31" t="s">
        <v>6</v>
      </c>
      <c r="G1" s="31" t="s">
        <v>133</v>
      </c>
      <c r="H1" s="31" t="s">
        <v>8</v>
      </c>
      <c r="I1" s="32" t="s">
        <v>134</v>
      </c>
      <c r="J1" s="33" t="s">
        <v>10</v>
      </c>
      <c r="K1" s="34" t="s">
        <v>11</v>
      </c>
      <c r="L1" s="35" t="s">
        <v>135</v>
      </c>
      <c r="M1" s="36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8"/>
      <c r="Z1" s="39"/>
    </row>
    <row r="2" spans="1:26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41"/>
      <c r="K2" s="43"/>
      <c r="L2" s="44"/>
      <c r="M2" s="45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 x14ac:dyDescent="0.25">
      <c r="A3" s="41" t="s">
        <v>80</v>
      </c>
      <c r="B3" s="41" t="s">
        <v>42</v>
      </c>
      <c r="C3" s="42" t="s">
        <v>82</v>
      </c>
      <c r="D3" s="46" t="s">
        <v>17</v>
      </c>
      <c r="E3" s="46">
        <v>10000</v>
      </c>
      <c r="F3" s="46">
        <f t="shared" ref="F3:F11" si="0">IF(D3="corper",0,E3*0.01)</f>
        <v>0</v>
      </c>
      <c r="G3" s="46">
        <v>0</v>
      </c>
      <c r="H3" s="46">
        <v>10000</v>
      </c>
      <c r="I3" s="46">
        <v>0</v>
      </c>
      <c r="J3" s="46">
        <v>0</v>
      </c>
      <c r="K3" s="47">
        <f t="shared" ref="K3:K18" si="1">E3-SUM(F3:H3)+SUM(I3:J3)</f>
        <v>0</v>
      </c>
      <c r="L3" s="44"/>
      <c r="M3" s="45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 x14ac:dyDescent="0.25">
      <c r="A4" s="41" t="s">
        <v>83</v>
      </c>
      <c r="B4" s="41" t="s">
        <v>35</v>
      </c>
      <c r="C4" s="42" t="s">
        <v>85</v>
      </c>
      <c r="D4" s="46" t="s">
        <v>17</v>
      </c>
      <c r="E4" s="46">
        <v>15000</v>
      </c>
      <c r="F4" s="46">
        <f t="shared" si="0"/>
        <v>0</v>
      </c>
      <c r="G4" s="46">
        <v>0</v>
      </c>
      <c r="H4" s="46">
        <v>15000</v>
      </c>
      <c r="I4" s="46">
        <v>0</v>
      </c>
      <c r="J4" s="46">
        <v>0</v>
      </c>
      <c r="K4" s="47">
        <f t="shared" si="1"/>
        <v>0</v>
      </c>
      <c r="L4" s="39"/>
      <c r="M4" s="45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 x14ac:dyDescent="0.25">
      <c r="A5" s="41" t="s">
        <v>86</v>
      </c>
      <c r="B5" s="41" t="s">
        <v>23</v>
      </c>
      <c r="C5" s="42" t="s">
        <v>88</v>
      </c>
      <c r="D5" s="46" t="s">
        <v>17</v>
      </c>
      <c r="E5" s="46">
        <v>10000</v>
      </c>
      <c r="F5" s="46">
        <f t="shared" si="0"/>
        <v>0</v>
      </c>
      <c r="G5" s="46">
        <v>0</v>
      </c>
      <c r="H5" s="46">
        <v>10000</v>
      </c>
      <c r="I5" s="46">
        <v>0</v>
      </c>
      <c r="J5" s="46">
        <v>0</v>
      </c>
      <c r="K5" s="47">
        <f t="shared" si="1"/>
        <v>0</v>
      </c>
      <c r="L5" s="44"/>
      <c r="M5" s="45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 x14ac:dyDescent="0.25">
      <c r="A6" s="41" t="s">
        <v>89</v>
      </c>
      <c r="B6" s="41" t="s">
        <v>91</v>
      </c>
      <c r="C6" s="42" t="s">
        <v>92</v>
      </c>
      <c r="D6" s="46" t="s">
        <v>17</v>
      </c>
      <c r="E6" s="46">
        <v>10000</v>
      </c>
      <c r="F6" s="46">
        <f t="shared" si="0"/>
        <v>0</v>
      </c>
      <c r="G6" s="46">
        <v>0</v>
      </c>
      <c r="H6" s="46">
        <v>10000</v>
      </c>
      <c r="I6" s="46">
        <v>0</v>
      </c>
      <c r="J6" s="46">
        <v>0</v>
      </c>
      <c r="K6" s="47">
        <f t="shared" si="1"/>
        <v>0</v>
      </c>
      <c r="L6" s="44"/>
      <c r="M6" s="45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 x14ac:dyDescent="0.25">
      <c r="A7" s="41" t="s">
        <v>45</v>
      </c>
      <c r="B7" s="41" t="s">
        <v>42</v>
      </c>
      <c r="C7" s="42">
        <v>7346952016</v>
      </c>
      <c r="D7" s="46" t="s">
        <v>47</v>
      </c>
      <c r="E7" s="46">
        <v>30000</v>
      </c>
      <c r="F7" s="46">
        <f t="shared" si="0"/>
        <v>300</v>
      </c>
      <c r="G7" s="46">
        <v>0</v>
      </c>
      <c r="H7" s="46">
        <v>29700</v>
      </c>
      <c r="I7" s="46">
        <v>0</v>
      </c>
      <c r="J7" s="46">
        <v>0</v>
      </c>
      <c r="K7" s="47">
        <f t="shared" si="1"/>
        <v>0</v>
      </c>
      <c r="L7" s="44"/>
      <c r="M7" s="45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 x14ac:dyDescent="0.25">
      <c r="A8" s="41" t="s">
        <v>48</v>
      </c>
      <c r="B8" s="41" t="s">
        <v>42</v>
      </c>
      <c r="C8" s="42" t="s">
        <v>50</v>
      </c>
      <c r="D8" s="46" t="s">
        <v>47</v>
      </c>
      <c r="E8" s="46">
        <v>18000</v>
      </c>
      <c r="F8" s="46">
        <f t="shared" si="0"/>
        <v>180</v>
      </c>
      <c r="G8" s="46">
        <v>0</v>
      </c>
      <c r="H8" s="46">
        <v>17820</v>
      </c>
      <c r="I8" s="46">
        <v>0</v>
      </c>
      <c r="J8" s="46">
        <v>0</v>
      </c>
      <c r="K8" s="47">
        <f t="shared" si="1"/>
        <v>0</v>
      </c>
      <c r="L8" s="44"/>
      <c r="M8" s="45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 x14ac:dyDescent="0.25">
      <c r="A9" s="41" t="s">
        <v>51</v>
      </c>
      <c r="B9" s="41" t="s">
        <v>53</v>
      </c>
      <c r="C9" s="42">
        <v>3085168474</v>
      </c>
      <c r="D9" s="46" t="s">
        <v>47</v>
      </c>
      <c r="E9" s="46">
        <v>30000</v>
      </c>
      <c r="F9" s="46">
        <f t="shared" si="0"/>
        <v>300</v>
      </c>
      <c r="G9" s="46">
        <v>0</v>
      </c>
      <c r="H9" s="46">
        <v>29700</v>
      </c>
      <c r="I9" s="46">
        <v>0</v>
      </c>
      <c r="J9" s="46">
        <v>0</v>
      </c>
      <c r="K9" s="47">
        <f t="shared" si="1"/>
        <v>0</v>
      </c>
      <c r="L9" s="44"/>
      <c r="M9" s="45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 x14ac:dyDescent="0.25">
      <c r="A10" s="41" t="s">
        <v>56</v>
      </c>
      <c r="B10" s="41" t="s">
        <v>75</v>
      </c>
      <c r="C10" s="42" t="s">
        <v>76</v>
      </c>
      <c r="D10" s="46" t="s">
        <v>47</v>
      </c>
      <c r="E10" s="46">
        <v>18000</v>
      </c>
      <c r="F10" s="46">
        <f t="shared" si="0"/>
        <v>180</v>
      </c>
      <c r="G10" s="46">
        <v>0</v>
      </c>
      <c r="H10" s="46">
        <v>17820</v>
      </c>
      <c r="I10" s="46">
        <v>0</v>
      </c>
      <c r="J10" s="46">
        <v>0</v>
      </c>
      <c r="K10" s="47">
        <f t="shared" si="1"/>
        <v>0</v>
      </c>
      <c r="L10" s="44"/>
      <c r="M10" s="45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 x14ac:dyDescent="0.25">
      <c r="A11" s="41" t="s">
        <v>58</v>
      </c>
      <c r="B11" s="41" t="s">
        <v>20</v>
      </c>
      <c r="C11" s="42" t="s">
        <v>123</v>
      </c>
      <c r="D11" s="46" t="s">
        <v>47</v>
      </c>
      <c r="E11" s="46">
        <v>20000</v>
      </c>
      <c r="F11" s="46">
        <f t="shared" si="0"/>
        <v>200</v>
      </c>
      <c r="G11" s="46">
        <v>0</v>
      </c>
      <c r="H11" s="46">
        <v>19800</v>
      </c>
      <c r="I11" s="46">
        <v>0</v>
      </c>
      <c r="J11" s="46">
        <v>0</v>
      </c>
      <c r="K11" s="47">
        <f t="shared" si="1"/>
        <v>0</v>
      </c>
      <c r="L11" s="44"/>
      <c r="M11" s="45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 x14ac:dyDescent="0.25">
      <c r="A12" s="41" t="s">
        <v>98</v>
      </c>
      <c r="B12" s="41"/>
      <c r="C12" s="42"/>
      <c r="D12" s="46" t="s">
        <v>62</v>
      </c>
      <c r="E12" s="46">
        <v>7000</v>
      </c>
      <c r="F12" s="46">
        <v>0</v>
      </c>
      <c r="G12" s="46">
        <v>0</v>
      </c>
      <c r="H12" s="46">
        <v>7000</v>
      </c>
      <c r="I12" s="46">
        <v>0</v>
      </c>
      <c r="J12" s="46">
        <v>0</v>
      </c>
      <c r="K12" s="47">
        <f t="shared" si="1"/>
        <v>0</v>
      </c>
      <c r="L12" s="44">
        <v>44937</v>
      </c>
      <c r="M12" s="45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 x14ac:dyDescent="0.25">
      <c r="A13" s="41" t="s">
        <v>60</v>
      </c>
      <c r="B13" s="41" t="s">
        <v>15</v>
      </c>
      <c r="C13" s="42" t="s">
        <v>61</v>
      </c>
      <c r="D13" s="46" t="s">
        <v>47</v>
      </c>
      <c r="E13" s="46">
        <v>20000</v>
      </c>
      <c r="F13" s="46">
        <f t="shared" ref="F13:F17" si="2">IF(D13="corper",0,E13*0.01)</f>
        <v>200</v>
      </c>
      <c r="G13" s="46">
        <v>0</v>
      </c>
      <c r="H13" s="46">
        <v>19800</v>
      </c>
      <c r="I13" s="46">
        <v>0</v>
      </c>
      <c r="J13" s="46">
        <v>0</v>
      </c>
      <c r="K13" s="47">
        <f t="shared" si="1"/>
        <v>0</v>
      </c>
      <c r="L13" s="39"/>
      <c r="M13" s="45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 x14ac:dyDescent="0.25">
      <c r="A14" s="41" t="s">
        <v>106</v>
      </c>
      <c r="B14" s="41" t="s">
        <v>20</v>
      </c>
      <c r="C14" s="42" t="s">
        <v>108</v>
      </c>
      <c r="D14" s="41" t="s">
        <v>17</v>
      </c>
      <c r="E14" s="46">
        <v>10000</v>
      </c>
      <c r="F14" s="46">
        <f t="shared" si="2"/>
        <v>0</v>
      </c>
      <c r="G14" s="46">
        <v>0</v>
      </c>
      <c r="H14" s="46">
        <v>10000</v>
      </c>
      <c r="I14" s="46">
        <v>0</v>
      </c>
      <c r="J14" s="46">
        <v>0</v>
      </c>
      <c r="K14" s="47">
        <f t="shared" si="1"/>
        <v>0</v>
      </c>
      <c r="L14" s="44"/>
      <c r="M14" s="45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 x14ac:dyDescent="0.25">
      <c r="A15" s="41" t="s">
        <v>109</v>
      </c>
      <c r="B15" s="41" t="s">
        <v>20</v>
      </c>
      <c r="C15" s="42" t="s">
        <v>111</v>
      </c>
      <c r="D15" s="41" t="s">
        <v>17</v>
      </c>
      <c r="E15" s="46">
        <v>10000</v>
      </c>
      <c r="F15" s="46">
        <f t="shared" si="2"/>
        <v>0</v>
      </c>
      <c r="G15" s="46">
        <v>0</v>
      </c>
      <c r="H15" s="46">
        <v>10000</v>
      </c>
      <c r="I15" s="46">
        <v>0</v>
      </c>
      <c r="J15" s="46">
        <v>0</v>
      </c>
      <c r="K15" s="47">
        <f t="shared" si="1"/>
        <v>0</v>
      </c>
      <c r="L15" s="44"/>
      <c r="M15" s="45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 x14ac:dyDescent="0.25">
      <c r="A16" s="41" t="s">
        <v>115</v>
      </c>
      <c r="B16" s="41" t="s">
        <v>53</v>
      </c>
      <c r="C16" s="42" t="s">
        <v>117</v>
      </c>
      <c r="D16" s="41" t="s">
        <v>47</v>
      </c>
      <c r="E16" s="46">
        <v>25000</v>
      </c>
      <c r="F16" s="46">
        <f t="shared" si="2"/>
        <v>250</v>
      </c>
      <c r="G16" s="46">
        <f>E16*0.1</f>
        <v>2500</v>
      </c>
      <c r="H16" s="46">
        <v>22250</v>
      </c>
      <c r="I16" s="46">
        <v>0</v>
      </c>
      <c r="J16" s="46">
        <v>0</v>
      </c>
      <c r="K16" s="47">
        <f t="shared" si="1"/>
        <v>0</v>
      </c>
      <c r="L16" s="44" t="s">
        <v>136</v>
      </c>
      <c r="M16" s="4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 x14ac:dyDescent="0.25">
      <c r="A17" s="41" t="s">
        <v>137</v>
      </c>
      <c r="B17" s="41"/>
      <c r="C17" s="42"/>
      <c r="D17" s="41" t="s">
        <v>47</v>
      </c>
      <c r="E17" s="46">
        <v>5455</v>
      </c>
      <c r="F17" s="46">
        <f t="shared" si="2"/>
        <v>54.550000000000004</v>
      </c>
      <c r="G17" s="46">
        <v>0</v>
      </c>
      <c r="H17" s="46">
        <v>5400.45</v>
      </c>
      <c r="I17" s="46">
        <v>0</v>
      </c>
      <c r="J17" s="46">
        <v>0</v>
      </c>
      <c r="K17" s="47">
        <f t="shared" si="1"/>
        <v>0</v>
      </c>
      <c r="L17" s="44"/>
      <c r="M17" s="45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 x14ac:dyDescent="0.25">
      <c r="A18" s="41" t="s">
        <v>127</v>
      </c>
      <c r="B18" s="41" t="s">
        <v>35</v>
      </c>
      <c r="C18" s="42" t="s">
        <v>129</v>
      </c>
      <c r="D18" s="41" t="s">
        <v>62</v>
      </c>
      <c r="E18" s="46">
        <v>10000</v>
      </c>
      <c r="F18" s="46">
        <v>0</v>
      </c>
      <c r="G18" s="46">
        <v>0</v>
      </c>
      <c r="H18" s="46">
        <v>10000</v>
      </c>
      <c r="I18" s="46">
        <v>0</v>
      </c>
      <c r="J18" s="46">
        <v>0</v>
      </c>
      <c r="K18" s="47">
        <f t="shared" si="1"/>
        <v>0</v>
      </c>
      <c r="L18" s="44"/>
      <c r="M18" s="45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 x14ac:dyDescent="0.25">
      <c r="A19" s="40"/>
      <c r="B19" s="40"/>
      <c r="C19" s="48"/>
      <c r="D19" s="40"/>
      <c r="E19" s="49">
        <f t="shared" ref="E19:K19" si="3">SUM(E3:E18)</f>
        <v>248455</v>
      </c>
      <c r="F19" s="49">
        <f t="shared" si="3"/>
        <v>1664.55</v>
      </c>
      <c r="G19" s="49">
        <f t="shared" si="3"/>
        <v>2500</v>
      </c>
      <c r="H19" s="49">
        <f t="shared" si="3"/>
        <v>244290.45</v>
      </c>
      <c r="I19" s="49">
        <f t="shared" si="3"/>
        <v>0</v>
      </c>
      <c r="J19" s="49">
        <f t="shared" si="3"/>
        <v>0</v>
      </c>
      <c r="K19" s="50">
        <f t="shared" si="3"/>
        <v>0</v>
      </c>
      <c r="L19" s="51"/>
      <c r="M19" s="52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39"/>
    </row>
    <row r="20" spans="1:26" ht="14.25" customHeight="1" x14ac:dyDescent="0.25">
      <c r="A20" s="39"/>
      <c r="B20" s="39"/>
      <c r="C20" s="54"/>
      <c r="D20" s="39"/>
      <c r="E20" s="39"/>
      <c r="F20" s="39"/>
      <c r="G20" s="39"/>
      <c r="H20" s="39"/>
      <c r="I20" s="39"/>
      <c r="J20" s="39"/>
      <c r="K20" s="39"/>
      <c r="L20" s="44"/>
      <c r="M20" s="45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 x14ac:dyDescent="0.25">
      <c r="A21" s="40" t="s">
        <v>72</v>
      </c>
      <c r="B21" s="41"/>
      <c r="C21" s="42"/>
      <c r="D21" s="41"/>
      <c r="E21" s="41"/>
      <c r="F21" s="41"/>
      <c r="G21" s="41"/>
      <c r="H21" s="41"/>
      <c r="I21" s="41"/>
      <c r="J21" s="41"/>
      <c r="K21" s="43"/>
      <c r="L21" s="44"/>
      <c r="M21" s="45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 x14ac:dyDescent="0.25">
      <c r="A22" s="41" t="s">
        <v>80</v>
      </c>
      <c r="B22" s="41" t="s">
        <v>42</v>
      </c>
      <c r="C22" s="42" t="s">
        <v>82</v>
      </c>
      <c r="D22" s="46" t="s">
        <v>17</v>
      </c>
      <c r="E22" s="46">
        <v>10000</v>
      </c>
      <c r="F22" s="46">
        <f t="shared" ref="F22:F30" si="4">IF(D22="corper",0,E22*0.01)</f>
        <v>0</v>
      </c>
      <c r="G22" s="46">
        <v>0</v>
      </c>
      <c r="H22" s="46">
        <v>10000</v>
      </c>
      <c r="I22" s="46">
        <v>0</v>
      </c>
      <c r="J22" s="46">
        <v>0</v>
      </c>
      <c r="K22" s="47">
        <f t="shared" ref="K22:K37" si="5">E22-SUM(F22:H22)+SUM(I22:J22)</f>
        <v>0</v>
      </c>
      <c r="L22" s="44"/>
      <c r="M22" s="45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 x14ac:dyDescent="0.25">
      <c r="A23" s="41" t="s">
        <v>83</v>
      </c>
      <c r="B23" s="41" t="s">
        <v>35</v>
      </c>
      <c r="C23" s="42" t="s">
        <v>85</v>
      </c>
      <c r="D23" s="46" t="s">
        <v>17</v>
      </c>
      <c r="E23" s="46">
        <v>15000</v>
      </c>
      <c r="F23" s="46">
        <f t="shared" si="4"/>
        <v>0</v>
      </c>
      <c r="G23" s="46">
        <v>0</v>
      </c>
      <c r="H23" s="46">
        <v>10000</v>
      </c>
      <c r="I23" s="46">
        <v>21000</v>
      </c>
      <c r="J23" s="46">
        <v>0</v>
      </c>
      <c r="K23" s="47">
        <f t="shared" si="5"/>
        <v>26000</v>
      </c>
      <c r="L23" s="39"/>
      <c r="M23" s="45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 x14ac:dyDescent="0.25">
      <c r="A24" s="41" t="s">
        <v>86</v>
      </c>
      <c r="B24" s="41" t="s">
        <v>23</v>
      </c>
      <c r="C24" s="42" t="s">
        <v>88</v>
      </c>
      <c r="D24" s="46" t="s">
        <v>17</v>
      </c>
      <c r="E24" s="46">
        <v>5000</v>
      </c>
      <c r="F24" s="46">
        <f t="shared" si="4"/>
        <v>0</v>
      </c>
      <c r="G24" s="46">
        <v>0</v>
      </c>
      <c r="H24" s="46">
        <v>5000</v>
      </c>
      <c r="I24" s="46">
        <v>0</v>
      </c>
      <c r="J24" s="46">
        <v>0</v>
      </c>
      <c r="K24" s="47">
        <f t="shared" si="5"/>
        <v>0</v>
      </c>
      <c r="L24" s="44"/>
      <c r="M24" s="45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 x14ac:dyDescent="0.25">
      <c r="A25" s="41" t="s">
        <v>89</v>
      </c>
      <c r="B25" s="41" t="s">
        <v>91</v>
      </c>
      <c r="C25" s="42" t="s">
        <v>92</v>
      </c>
      <c r="D25" s="46" t="s">
        <v>17</v>
      </c>
      <c r="E25" s="46">
        <v>10000</v>
      </c>
      <c r="F25" s="46">
        <f t="shared" si="4"/>
        <v>0</v>
      </c>
      <c r="G25" s="46">
        <v>0</v>
      </c>
      <c r="H25" s="46">
        <v>10000</v>
      </c>
      <c r="I25" s="46">
        <v>0</v>
      </c>
      <c r="J25" s="46">
        <v>0</v>
      </c>
      <c r="K25" s="47">
        <f t="shared" si="5"/>
        <v>0</v>
      </c>
      <c r="L25" s="44"/>
      <c r="M25" s="45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 x14ac:dyDescent="0.25">
      <c r="A26" s="41" t="s">
        <v>45</v>
      </c>
      <c r="B26" s="41" t="s">
        <v>42</v>
      </c>
      <c r="C26" s="42">
        <v>7346952016</v>
      </c>
      <c r="D26" s="46" t="s">
        <v>47</v>
      </c>
      <c r="E26" s="46">
        <v>30000</v>
      </c>
      <c r="F26" s="46">
        <f t="shared" si="4"/>
        <v>300</v>
      </c>
      <c r="G26" s="46">
        <v>0</v>
      </c>
      <c r="H26" s="46">
        <v>29700</v>
      </c>
      <c r="I26" s="46">
        <v>0</v>
      </c>
      <c r="J26" s="46">
        <v>0</v>
      </c>
      <c r="K26" s="47">
        <f t="shared" si="5"/>
        <v>0</v>
      </c>
      <c r="L26" s="44"/>
      <c r="M26" s="45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 x14ac:dyDescent="0.25">
      <c r="A27" s="41" t="s">
        <v>48</v>
      </c>
      <c r="B27" s="41" t="s">
        <v>42</v>
      </c>
      <c r="C27" s="42" t="s">
        <v>50</v>
      </c>
      <c r="D27" s="46" t="s">
        <v>47</v>
      </c>
      <c r="E27" s="46">
        <v>18000</v>
      </c>
      <c r="F27" s="46">
        <f t="shared" si="4"/>
        <v>180</v>
      </c>
      <c r="G27" s="46">
        <v>0</v>
      </c>
      <c r="H27" s="46">
        <v>17820</v>
      </c>
      <c r="I27" s="46">
        <v>0</v>
      </c>
      <c r="J27" s="46">
        <v>0</v>
      </c>
      <c r="K27" s="47">
        <f t="shared" si="5"/>
        <v>0</v>
      </c>
      <c r="L27" s="44"/>
      <c r="M27" s="45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 x14ac:dyDescent="0.25">
      <c r="A28" s="41" t="s">
        <v>51</v>
      </c>
      <c r="B28" s="41" t="s">
        <v>53</v>
      </c>
      <c r="C28" s="42">
        <v>3085168474</v>
      </c>
      <c r="D28" s="46" t="s">
        <v>47</v>
      </c>
      <c r="E28" s="46">
        <v>30000</v>
      </c>
      <c r="F28" s="46">
        <f t="shared" si="4"/>
        <v>300</v>
      </c>
      <c r="G28" s="46">
        <v>0</v>
      </c>
      <c r="H28" s="46">
        <v>29700</v>
      </c>
      <c r="I28" s="46">
        <v>0</v>
      </c>
      <c r="J28" s="46">
        <v>0</v>
      </c>
      <c r="K28" s="47">
        <f t="shared" si="5"/>
        <v>0</v>
      </c>
      <c r="L28" s="44"/>
      <c r="M28" s="45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 x14ac:dyDescent="0.25">
      <c r="A29" s="41" t="s">
        <v>56</v>
      </c>
      <c r="B29" s="41" t="s">
        <v>75</v>
      </c>
      <c r="C29" s="42" t="s">
        <v>76</v>
      </c>
      <c r="D29" s="46" t="s">
        <v>47</v>
      </c>
      <c r="E29" s="46">
        <v>18000</v>
      </c>
      <c r="F29" s="46">
        <f t="shared" si="4"/>
        <v>180</v>
      </c>
      <c r="G29" s="46">
        <v>0</v>
      </c>
      <c r="H29" s="46">
        <v>17820</v>
      </c>
      <c r="I29" s="46">
        <v>0</v>
      </c>
      <c r="J29" s="46">
        <v>0</v>
      </c>
      <c r="K29" s="47">
        <f t="shared" si="5"/>
        <v>0</v>
      </c>
      <c r="L29" s="44"/>
      <c r="M29" s="45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 x14ac:dyDescent="0.25">
      <c r="A30" s="41" t="s">
        <v>58</v>
      </c>
      <c r="B30" s="41" t="s">
        <v>20</v>
      </c>
      <c r="C30" s="42" t="s">
        <v>123</v>
      </c>
      <c r="D30" s="46" t="s">
        <v>47</v>
      </c>
      <c r="E30" s="46">
        <v>20000</v>
      </c>
      <c r="F30" s="46">
        <f t="shared" si="4"/>
        <v>200</v>
      </c>
      <c r="G30" s="46">
        <v>0</v>
      </c>
      <c r="H30" s="46">
        <v>19800</v>
      </c>
      <c r="I30" s="46">
        <v>0</v>
      </c>
      <c r="J30" s="46">
        <v>0</v>
      </c>
      <c r="K30" s="47">
        <f t="shared" si="5"/>
        <v>0</v>
      </c>
      <c r="L30" s="44"/>
      <c r="M30" s="45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 x14ac:dyDescent="0.25">
      <c r="A31" s="41" t="s">
        <v>98</v>
      </c>
      <c r="B31" s="41"/>
      <c r="C31" s="42"/>
      <c r="D31" s="46" t="s">
        <v>62</v>
      </c>
      <c r="E31" s="46">
        <v>7000</v>
      </c>
      <c r="F31" s="46">
        <v>0</v>
      </c>
      <c r="G31" s="46">
        <v>0</v>
      </c>
      <c r="H31" s="46">
        <v>7000</v>
      </c>
      <c r="I31" s="46">
        <v>0</v>
      </c>
      <c r="J31" s="46">
        <v>0</v>
      </c>
      <c r="K31" s="47">
        <f t="shared" si="5"/>
        <v>0</v>
      </c>
      <c r="L31" s="44">
        <v>44968</v>
      </c>
      <c r="M31" s="45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 x14ac:dyDescent="0.25">
      <c r="A32" s="41" t="s">
        <v>60</v>
      </c>
      <c r="B32" s="41" t="s">
        <v>15</v>
      </c>
      <c r="C32" s="42" t="s">
        <v>61</v>
      </c>
      <c r="D32" s="46" t="s">
        <v>47</v>
      </c>
      <c r="E32" s="46">
        <v>20000</v>
      </c>
      <c r="F32" s="46">
        <f t="shared" ref="F32:F36" si="6">IF(D32="corper",0,E32*0.01)</f>
        <v>200</v>
      </c>
      <c r="G32" s="46">
        <v>0</v>
      </c>
      <c r="H32" s="46">
        <v>20000</v>
      </c>
      <c r="I32" s="46">
        <v>46000</v>
      </c>
      <c r="J32" s="46">
        <v>0</v>
      </c>
      <c r="K32" s="47">
        <f t="shared" si="5"/>
        <v>45800</v>
      </c>
      <c r="L32" s="39"/>
      <c r="M32" s="45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 x14ac:dyDescent="0.25">
      <c r="A33" s="41" t="s">
        <v>106</v>
      </c>
      <c r="B33" s="41" t="s">
        <v>20</v>
      </c>
      <c r="C33" s="42" t="s">
        <v>108</v>
      </c>
      <c r="D33" s="41" t="s">
        <v>17</v>
      </c>
      <c r="E33" s="46">
        <v>10000</v>
      </c>
      <c r="F33" s="46">
        <f t="shared" si="6"/>
        <v>0</v>
      </c>
      <c r="G33" s="46">
        <v>0</v>
      </c>
      <c r="H33" s="46">
        <v>10000</v>
      </c>
      <c r="I33" s="46">
        <v>0</v>
      </c>
      <c r="J33" s="46">
        <v>0</v>
      </c>
      <c r="K33" s="47">
        <f t="shared" si="5"/>
        <v>0</v>
      </c>
      <c r="L33" s="44"/>
      <c r="M33" s="45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 x14ac:dyDescent="0.25">
      <c r="A34" s="41" t="s">
        <v>109</v>
      </c>
      <c r="B34" s="41" t="s">
        <v>20</v>
      </c>
      <c r="C34" s="42" t="s">
        <v>111</v>
      </c>
      <c r="D34" s="41" t="s">
        <v>17</v>
      </c>
      <c r="E34" s="46">
        <v>10000</v>
      </c>
      <c r="F34" s="46">
        <f t="shared" si="6"/>
        <v>0</v>
      </c>
      <c r="G34" s="46">
        <v>0</v>
      </c>
      <c r="H34" s="46">
        <v>10000</v>
      </c>
      <c r="I34" s="46">
        <v>0</v>
      </c>
      <c r="J34" s="46">
        <v>0</v>
      </c>
      <c r="K34" s="47">
        <f t="shared" si="5"/>
        <v>0</v>
      </c>
      <c r="L34" s="44"/>
      <c r="M34" s="45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 x14ac:dyDescent="0.25">
      <c r="A35" s="41" t="s">
        <v>115</v>
      </c>
      <c r="B35" s="41" t="s">
        <v>53</v>
      </c>
      <c r="C35" s="42" t="s">
        <v>117</v>
      </c>
      <c r="D35" s="41" t="s">
        <v>47</v>
      </c>
      <c r="E35" s="46">
        <v>25000</v>
      </c>
      <c r="F35" s="46">
        <f t="shared" si="6"/>
        <v>250</v>
      </c>
      <c r="G35" s="46">
        <f t="shared" ref="G35:G36" si="7">E35*0.1</f>
        <v>2500</v>
      </c>
      <c r="H35" s="46">
        <v>22250</v>
      </c>
      <c r="I35" s="46">
        <v>0</v>
      </c>
      <c r="J35" s="46">
        <v>0</v>
      </c>
      <c r="K35" s="47">
        <f t="shared" si="5"/>
        <v>0</v>
      </c>
      <c r="L35" s="44" t="s">
        <v>138</v>
      </c>
      <c r="M35" s="45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 x14ac:dyDescent="0.25">
      <c r="A36" s="41" t="s">
        <v>137</v>
      </c>
      <c r="B36" s="41"/>
      <c r="C36" s="42"/>
      <c r="D36" s="41" t="s">
        <v>47</v>
      </c>
      <c r="E36" s="46">
        <v>20000</v>
      </c>
      <c r="F36" s="46">
        <f t="shared" si="6"/>
        <v>200</v>
      </c>
      <c r="G36" s="46">
        <f t="shared" si="7"/>
        <v>2000</v>
      </c>
      <c r="H36" s="46">
        <v>17800</v>
      </c>
      <c r="I36" s="46">
        <v>0</v>
      </c>
      <c r="J36" s="46">
        <v>0</v>
      </c>
      <c r="K36" s="47">
        <f t="shared" si="5"/>
        <v>0</v>
      </c>
      <c r="L36" s="44" t="s">
        <v>118</v>
      </c>
      <c r="M36" s="45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 x14ac:dyDescent="0.25">
      <c r="A37" s="41" t="s">
        <v>127</v>
      </c>
      <c r="B37" s="41" t="s">
        <v>35</v>
      </c>
      <c r="C37" s="42" t="s">
        <v>129</v>
      </c>
      <c r="D37" s="41" t="s">
        <v>62</v>
      </c>
      <c r="E37" s="46">
        <v>10000</v>
      </c>
      <c r="F37" s="46">
        <v>0</v>
      </c>
      <c r="G37" s="46">
        <v>0</v>
      </c>
      <c r="H37" s="46">
        <v>10000</v>
      </c>
      <c r="I37" s="46">
        <v>0</v>
      </c>
      <c r="J37" s="46">
        <v>0</v>
      </c>
      <c r="K37" s="47">
        <f t="shared" si="5"/>
        <v>0</v>
      </c>
      <c r="L37" s="44"/>
      <c r="M37" s="45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 x14ac:dyDescent="0.25">
      <c r="A38" s="40"/>
      <c r="B38" s="40"/>
      <c r="C38" s="48"/>
      <c r="D38" s="40"/>
      <c r="E38" s="49">
        <f t="shared" ref="E38:K38" si="8">SUM(E22:E37)</f>
        <v>258000</v>
      </c>
      <c r="F38" s="49">
        <f t="shared" si="8"/>
        <v>1810</v>
      </c>
      <c r="G38" s="49">
        <f t="shared" si="8"/>
        <v>4500</v>
      </c>
      <c r="H38" s="49">
        <f t="shared" si="8"/>
        <v>246890</v>
      </c>
      <c r="I38" s="49">
        <f t="shared" si="8"/>
        <v>67000</v>
      </c>
      <c r="J38" s="49">
        <f t="shared" si="8"/>
        <v>0</v>
      </c>
      <c r="K38" s="50">
        <f t="shared" si="8"/>
        <v>71800</v>
      </c>
      <c r="L38" s="51"/>
      <c r="M38" s="45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 x14ac:dyDescent="0.25">
      <c r="A39" s="39"/>
      <c r="B39" s="39"/>
      <c r="C39" s="54"/>
      <c r="D39" s="39"/>
      <c r="E39" s="39"/>
      <c r="F39" s="39"/>
      <c r="G39" s="39"/>
      <c r="H39" s="39"/>
      <c r="I39" s="39"/>
      <c r="J39" s="39"/>
      <c r="K39" s="39"/>
      <c r="L39" s="44"/>
      <c r="M39" s="45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 x14ac:dyDescent="0.25">
      <c r="A40" s="40" t="s">
        <v>73</v>
      </c>
      <c r="B40" s="41"/>
      <c r="C40" s="42"/>
      <c r="D40" s="41"/>
      <c r="E40" s="41"/>
      <c r="F40" s="41"/>
      <c r="G40" s="41"/>
      <c r="H40" s="41"/>
      <c r="I40" s="41"/>
      <c r="J40" s="41"/>
      <c r="K40" s="43"/>
      <c r="L40" s="44"/>
      <c r="M40" s="45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 x14ac:dyDescent="0.25">
      <c r="A41" s="41" t="s">
        <v>45</v>
      </c>
      <c r="B41" s="41" t="s">
        <v>42</v>
      </c>
      <c r="C41" s="42">
        <v>7346952016</v>
      </c>
      <c r="D41" s="46" t="s">
        <v>47</v>
      </c>
      <c r="E41" s="46">
        <v>30000</v>
      </c>
      <c r="F41" s="46">
        <f t="shared" ref="F41:F44" si="9">IF(D41="corper",0,E41*0.01)</f>
        <v>300</v>
      </c>
      <c r="G41" s="46">
        <v>0</v>
      </c>
      <c r="H41" s="46">
        <v>29700</v>
      </c>
      <c r="I41" s="46">
        <v>0</v>
      </c>
      <c r="J41" s="46">
        <v>0</v>
      </c>
      <c r="K41" s="47">
        <f t="shared" ref="K41:K45" si="10">E41-SUM(F41:H41)+SUM(I41:J41)</f>
        <v>0</v>
      </c>
      <c r="L41" s="44"/>
      <c r="M41" s="45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 x14ac:dyDescent="0.25">
      <c r="A42" s="41" t="s">
        <v>48</v>
      </c>
      <c r="B42" s="41" t="s">
        <v>42</v>
      </c>
      <c r="C42" s="42" t="s">
        <v>50</v>
      </c>
      <c r="D42" s="46" t="s">
        <v>47</v>
      </c>
      <c r="E42" s="46">
        <v>18000</v>
      </c>
      <c r="F42" s="46">
        <f t="shared" si="9"/>
        <v>180</v>
      </c>
      <c r="G42" s="46">
        <v>0</v>
      </c>
      <c r="H42" s="46">
        <v>17820</v>
      </c>
      <c r="I42" s="46">
        <v>0</v>
      </c>
      <c r="J42" s="46">
        <v>0</v>
      </c>
      <c r="K42" s="47">
        <f t="shared" si="10"/>
        <v>0</v>
      </c>
      <c r="L42" s="44"/>
      <c r="M42" s="45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 x14ac:dyDescent="0.25">
      <c r="A43" s="41" t="s">
        <v>51</v>
      </c>
      <c r="B43" s="41" t="s">
        <v>53</v>
      </c>
      <c r="C43" s="42">
        <v>3085168474</v>
      </c>
      <c r="D43" s="46" t="s">
        <v>47</v>
      </c>
      <c r="E43" s="46">
        <v>30000</v>
      </c>
      <c r="F43" s="46">
        <f t="shared" si="9"/>
        <v>300</v>
      </c>
      <c r="G43" s="46">
        <v>0</v>
      </c>
      <c r="H43" s="46">
        <v>29700</v>
      </c>
      <c r="I43" s="46">
        <v>0</v>
      </c>
      <c r="J43" s="46">
        <v>0</v>
      </c>
      <c r="K43" s="47">
        <f t="shared" si="10"/>
        <v>0</v>
      </c>
      <c r="L43" s="44"/>
      <c r="M43" s="45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 x14ac:dyDescent="0.25">
      <c r="A44" s="41" t="s">
        <v>56</v>
      </c>
      <c r="B44" s="41" t="s">
        <v>75</v>
      </c>
      <c r="C44" s="42" t="s">
        <v>76</v>
      </c>
      <c r="D44" s="46" t="s">
        <v>47</v>
      </c>
      <c r="E44" s="46">
        <v>18000</v>
      </c>
      <c r="F44" s="46">
        <f t="shared" si="9"/>
        <v>180</v>
      </c>
      <c r="G44" s="46">
        <v>0</v>
      </c>
      <c r="H44" s="46">
        <v>17820</v>
      </c>
      <c r="I44" s="46">
        <v>0</v>
      </c>
      <c r="J44" s="46">
        <v>0</v>
      </c>
      <c r="K44" s="47">
        <f t="shared" si="10"/>
        <v>0</v>
      </c>
      <c r="L44" s="44"/>
      <c r="M44" s="45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 x14ac:dyDescent="0.25">
      <c r="A45" s="41" t="s">
        <v>98</v>
      </c>
      <c r="B45" s="41"/>
      <c r="C45" s="42"/>
      <c r="D45" s="46" t="s">
        <v>62</v>
      </c>
      <c r="E45" s="46">
        <v>7000</v>
      </c>
      <c r="F45" s="46">
        <v>0</v>
      </c>
      <c r="G45" s="46">
        <v>0</v>
      </c>
      <c r="H45" s="46">
        <v>7000</v>
      </c>
      <c r="I45" s="46">
        <v>0</v>
      </c>
      <c r="J45" s="46">
        <v>0</v>
      </c>
      <c r="K45" s="47">
        <f t="shared" si="10"/>
        <v>0</v>
      </c>
      <c r="L45" s="44">
        <v>44996</v>
      </c>
      <c r="M45" s="45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 x14ac:dyDescent="0.25">
      <c r="A46" s="41" t="s">
        <v>60</v>
      </c>
      <c r="B46" s="41" t="s">
        <v>15</v>
      </c>
      <c r="C46" s="42" t="s">
        <v>61</v>
      </c>
      <c r="D46" s="46" t="s">
        <v>47</v>
      </c>
      <c r="E46" s="46">
        <v>15000</v>
      </c>
      <c r="F46" s="46">
        <f t="shared" ref="F46:F48" si="11">IF(D46="corper",0,E46*0.01)</f>
        <v>150</v>
      </c>
      <c r="G46" s="46">
        <v>0</v>
      </c>
      <c r="H46" s="46">
        <v>20000</v>
      </c>
      <c r="I46" s="46">
        <v>45800</v>
      </c>
      <c r="J46" s="46">
        <v>0</v>
      </c>
      <c r="K46" s="47">
        <v>45150</v>
      </c>
      <c r="L46" s="39"/>
      <c r="M46" s="45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 x14ac:dyDescent="0.25">
      <c r="A47" s="41" t="s">
        <v>109</v>
      </c>
      <c r="B47" s="41" t="s">
        <v>20</v>
      </c>
      <c r="C47" s="42" t="s">
        <v>111</v>
      </c>
      <c r="D47" s="41" t="s">
        <v>17</v>
      </c>
      <c r="E47" s="46">
        <v>10000</v>
      </c>
      <c r="F47" s="46">
        <f t="shared" si="11"/>
        <v>0</v>
      </c>
      <c r="G47" s="46">
        <v>0</v>
      </c>
      <c r="H47" s="46">
        <v>10000</v>
      </c>
      <c r="I47" s="46">
        <v>0</v>
      </c>
      <c r="J47" s="46">
        <v>0</v>
      </c>
      <c r="K47" s="47">
        <f t="shared" ref="K47:K51" si="12">E47-SUM(F47:H47)+SUM(I47:J47)</f>
        <v>0</v>
      </c>
      <c r="L47" s="44"/>
      <c r="M47" s="45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 x14ac:dyDescent="0.25">
      <c r="A48" s="41" t="s">
        <v>115</v>
      </c>
      <c r="B48" s="41" t="s">
        <v>53</v>
      </c>
      <c r="C48" s="42" t="s">
        <v>117</v>
      </c>
      <c r="D48" s="41" t="s">
        <v>47</v>
      </c>
      <c r="E48" s="46">
        <v>25000</v>
      </c>
      <c r="F48" s="46">
        <f t="shared" si="11"/>
        <v>250</v>
      </c>
      <c r="G48" s="46">
        <f>E48*0.1</f>
        <v>2500</v>
      </c>
      <c r="H48" s="46">
        <v>22250</v>
      </c>
      <c r="I48" s="46">
        <v>0</v>
      </c>
      <c r="J48" s="46">
        <v>0</v>
      </c>
      <c r="K48" s="47">
        <f t="shared" si="12"/>
        <v>0</v>
      </c>
      <c r="L48" s="44" t="s">
        <v>139</v>
      </c>
      <c r="M48" s="45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 x14ac:dyDescent="0.25">
      <c r="A49" s="41" t="s">
        <v>140</v>
      </c>
      <c r="B49" s="41"/>
      <c r="C49" s="42"/>
      <c r="D49" s="41" t="s">
        <v>47</v>
      </c>
      <c r="E49" s="46">
        <v>15000</v>
      </c>
      <c r="F49" s="46"/>
      <c r="G49" s="46"/>
      <c r="H49" s="46">
        <v>20000</v>
      </c>
      <c r="I49" s="46">
        <v>4200</v>
      </c>
      <c r="J49" s="46">
        <v>800</v>
      </c>
      <c r="K49" s="47">
        <f t="shared" si="12"/>
        <v>0</v>
      </c>
      <c r="L49" s="44"/>
      <c r="M49" s="45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 x14ac:dyDescent="0.25">
      <c r="A50" s="41" t="s">
        <v>137</v>
      </c>
      <c r="B50" s="41"/>
      <c r="C50" s="42"/>
      <c r="D50" s="41" t="s">
        <v>47</v>
      </c>
      <c r="E50" s="46">
        <v>20000</v>
      </c>
      <c r="F50" s="46">
        <f>IF(D50="corper",0,E50*0.01)</f>
        <v>200</v>
      </c>
      <c r="G50" s="46"/>
      <c r="H50" s="46">
        <v>21800</v>
      </c>
      <c r="I50" s="46">
        <v>0</v>
      </c>
      <c r="J50" s="46">
        <v>2000</v>
      </c>
      <c r="K50" s="47">
        <f t="shared" si="12"/>
        <v>0</v>
      </c>
      <c r="L50" s="44"/>
      <c r="M50" s="45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 x14ac:dyDescent="0.25">
      <c r="A51" s="41" t="s">
        <v>127</v>
      </c>
      <c r="B51" s="41" t="s">
        <v>35</v>
      </c>
      <c r="C51" s="42" t="s">
        <v>129</v>
      </c>
      <c r="D51" s="41" t="s">
        <v>62</v>
      </c>
      <c r="E51" s="46">
        <v>10000</v>
      </c>
      <c r="F51" s="46">
        <v>0</v>
      </c>
      <c r="G51" s="46">
        <v>0</v>
      </c>
      <c r="H51" s="46">
        <v>10000</v>
      </c>
      <c r="I51" s="46">
        <v>0</v>
      </c>
      <c r="J51" s="46">
        <v>0</v>
      </c>
      <c r="K51" s="47">
        <f t="shared" si="12"/>
        <v>0</v>
      </c>
      <c r="L51" s="44"/>
      <c r="M51" s="45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 x14ac:dyDescent="0.25">
      <c r="A52" s="40"/>
      <c r="B52" s="40"/>
      <c r="C52" s="48"/>
      <c r="D52" s="40"/>
      <c r="E52" s="49">
        <f t="shared" ref="E52:K52" si="13">SUM(E41:E51)</f>
        <v>198000</v>
      </c>
      <c r="F52" s="49">
        <f t="shared" si="13"/>
        <v>1560</v>
      </c>
      <c r="G52" s="49">
        <f t="shared" si="13"/>
        <v>2500</v>
      </c>
      <c r="H52" s="49">
        <f t="shared" si="13"/>
        <v>206090</v>
      </c>
      <c r="I52" s="49">
        <f t="shared" si="13"/>
        <v>50000</v>
      </c>
      <c r="J52" s="49">
        <f t="shared" si="13"/>
        <v>2800</v>
      </c>
      <c r="K52" s="50">
        <f t="shared" si="13"/>
        <v>45150</v>
      </c>
      <c r="L52" s="51"/>
      <c r="M52" s="45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 x14ac:dyDescent="0.25">
      <c r="A53" s="39"/>
      <c r="B53" s="39"/>
      <c r="C53" s="54"/>
      <c r="D53" s="39"/>
      <c r="E53" s="39"/>
      <c r="F53" s="39"/>
      <c r="G53" s="39"/>
      <c r="H53" s="39"/>
      <c r="I53" s="39"/>
      <c r="J53" s="39"/>
      <c r="K53" s="39"/>
      <c r="L53" s="44"/>
      <c r="M53" s="45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 x14ac:dyDescent="0.25">
      <c r="A54" s="40" t="s">
        <v>78</v>
      </c>
      <c r="B54" s="41"/>
      <c r="C54" s="42"/>
      <c r="D54" s="41"/>
      <c r="E54" s="41"/>
      <c r="F54" s="41"/>
      <c r="G54" s="41"/>
      <c r="H54" s="41"/>
      <c r="I54" s="41"/>
      <c r="J54" s="41"/>
      <c r="K54" s="43"/>
      <c r="L54" s="44"/>
      <c r="M54" s="45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 x14ac:dyDescent="0.25">
      <c r="A55" s="41" t="s">
        <v>45</v>
      </c>
      <c r="B55" s="41" t="s">
        <v>42</v>
      </c>
      <c r="C55" s="42">
        <v>7346952016</v>
      </c>
      <c r="D55" s="46" t="s">
        <v>47</v>
      </c>
      <c r="E55" s="46">
        <v>10000</v>
      </c>
      <c r="F55" s="46">
        <f t="shared" ref="F55:F61" si="14">IF(D55="corper",0,E55*0.01)</f>
        <v>100</v>
      </c>
      <c r="G55" s="46">
        <v>0</v>
      </c>
      <c r="H55" s="46">
        <v>9900</v>
      </c>
      <c r="I55" s="46">
        <v>0</v>
      </c>
      <c r="J55" s="46">
        <v>0</v>
      </c>
      <c r="K55" s="47">
        <f t="shared" ref="K55:K62" si="15">E55-SUM(F55:H55)+SUM(I55:J55)</f>
        <v>0</v>
      </c>
      <c r="L55" s="44"/>
      <c r="M55" s="45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 x14ac:dyDescent="0.25">
      <c r="A56" s="41" t="s">
        <v>48</v>
      </c>
      <c r="B56" s="41" t="s">
        <v>42</v>
      </c>
      <c r="C56" s="42" t="s">
        <v>50</v>
      </c>
      <c r="D56" s="46" t="s">
        <v>47</v>
      </c>
      <c r="E56" s="46">
        <v>6857</v>
      </c>
      <c r="F56" s="46">
        <f t="shared" si="14"/>
        <v>68.570000000000007</v>
      </c>
      <c r="G56" s="46">
        <v>0</v>
      </c>
      <c r="H56" s="46">
        <v>6788</v>
      </c>
      <c r="I56" s="46">
        <v>0</v>
      </c>
      <c r="J56" s="46">
        <v>0</v>
      </c>
      <c r="K56" s="47">
        <f t="shared" si="15"/>
        <v>0.43000000000029104</v>
      </c>
      <c r="L56" s="44"/>
      <c r="M56" s="45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 x14ac:dyDescent="0.25">
      <c r="A57" s="41" t="s">
        <v>51</v>
      </c>
      <c r="B57" s="41" t="s">
        <v>53</v>
      </c>
      <c r="C57" s="42">
        <v>3085168474</v>
      </c>
      <c r="D57" s="46" t="s">
        <v>47</v>
      </c>
      <c r="E57" s="46">
        <v>30000</v>
      </c>
      <c r="F57" s="46">
        <f t="shared" si="14"/>
        <v>300</v>
      </c>
      <c r="G57" s="46">
        <v>0</v>
      </c>
      <c r="H57" s="46">
        <v>29700</v>
      </c>
      <c r="I57" s="46">
        <v>0</v>
      </c>
      <c r="J57" s="46">
        <v>0</v>
      </c>
      <c r="K57" s="47">
        <f t="shared" si="15"/>
        <v>0</v>
      </c>
      <c r="L57" s="44"/>
      <c r="M57" s="45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 x14ac:dyDescent="0.25">
      <c r="A58" s="41" t="s">
        <v>56</v>
      </c>
      <c r="B58" s="41" t="s">
        <v>75</v>
      </c>
      <c r="C58" s="42" t="s">
        <v>76</v>
      </c>
      <c r="D58" s="46" t="s">
        <v>47</v>
      </c>
      <c r="E58" s="46">
        <v>6857</v>
      </c>
      <c r="F58" s="46">
        <f t="shared" si="14"/>
        <v>68.570000000000007</v>
      </c>
      <c r="G58" s="46">
        <v>0</v>
      </c>
      <c r="H58" s="46">
        <v>6788</v>
      </c>
      <c r="I58" s="46">
        <v>0</v>
      </c>
      <c r="J58" s="46">
        <v>0</v>
      </c>
      <c r="K58" s="47">
        <f t="shared" si="15"/>
        <v>0.43000000000029104</v>
      </c>
      <c r="L58" s="44"/>
      <c r="M58" s="45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 x14ac:dyDescent="0.25">
      <c r="A59" s="41" t="s">
        <v>109</v>
      </c>
      <c r="B59" s="41" t="s">
        <v>20</v>
      </c>
      <c r="C59" s="42" t="s">
        <v>111</v>
      </c>
      <c r="D59" s="41" t="s">
        <v>17</v>
      </c>
      <c r="E59" s="46">
        <v>2000</v>
      </c>
      <c r="F59" s="46">
        <f t="shared" si="14"/>
        <v>0</v>
      </c>
      <c r="G59" s="46">
        <v>0</v>
      </c>
      <c r="H59" s="46">
        <v>2000</v>
      </c>
      <c r="I59" s="46">
        <v>0</v>
      </c>
      <c r="J59" s="46">
        <v>0</v>
      </c>
      <c r="K59" s="47">
        <f t="shared" si="15"/>
        <v>0</v>
      </c>
      <c r="L59" s="44"/>
      <c r="M59" s="45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 x14ac:dyDescent="0.25">
      <c r="A60" s="41" t="s">
        <v>115</v>
      </c>
      <c r="B60" s="41" t="s">
        <v>53</v>
      </c>
      <c r="C60" s="42" t="s">
        <v>117</v>
      </c>
      <c r="D60" s="41" t="s">
        <v>47</v>
      </c>
      <c r="E60" s="46">
        <v>5000</v>
      </c>
      <c r="F60" s="46">
        <f t="shared" si="14"/>
        <v>50</v>
      </c>
      <c r="G60" s="46">
        <v>0</v>
      </c>
      <c r="H60" s="46">
        <v>4950</v>
      </c>
      <c r="I60" s="46">
        <v>0</v>
      </c>
      <c r="J60" s="46">
        <v>0</v>
      </c>
      <c r="K60" s="47">
        <f t="shared" si="15"/>
        <v>0</v>
      </c>
      <c r="L60" s="44"/>
      <c r="M60" s="45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 x14ac:dyDescent="0.25">
      <c r="A61" s="41" t="s">
        <v>137</v>
      </c>
      <c r="B61" s="41"/>
      <c r="C61" s="42"/>
      <c r="D61" s="41" t="s">
        <v>47</v>
      </c>
      <c r="E61" s="46">
        <v>4000</v>
      </c>
      <c r="F61" s="46">
        <f t="shared" si="14"/>
        <v>40</v>
      </c>
      <c r="G61" s="46"/>
      <c r="H61" s="46">
        <v>3960</v>
      </c>
      <c r="I61" s="46"/>
      <c r="J61" s="46"/>
      <c r="K61" s="47">
        <f t="shared" si="15"/>
        <v>0</v>
      </c>
      <c r="L61" s="44"/>
      <c r="M61" s="45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 x14ac:dyDescent="0.25">
      <c r="A62" s="41" t="s">
        <v>127</v>
      </c>
      <c r="B62" s="41" t="s">
        <v>35</v>
      </c>
      <c r="C62" s="42" t="s">
        <v>129</v>
      </c>
      <c r="D62" s="41" t="s">
        <v>62</v>
      </c>
      <c r="E62" s="46">
        <v>2000</v>
      </c>
      <c r="F62" s="46">
        <v>0</v>
      </c>
      <c r="G62" s="46">
        <v>0</v>
      </c>
      <c r="H62" s="46">
        <v>2000</v>
      </c>
      <c r="I62" s="46">
        <v>0</v>
      </c>
      <c r="J62" s="46">
        <v>0</v>
      </c>
      <c r="K62" s="47">
        <f t="shared" si="15"/>
        <v>0</v>
      </c>
      <c r="L62" s="44"/>
      <c r="M62" s="45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 x14ac:dyDescent="0.25">
      <c r="A63" s="40"/>
      <c r="B63" s="40"/>
      <c r="C63" s="48"/>
      <c r="D63" s="40"/>
      <c r="E63" s="49">
        <f t="shared" ref="E63:K63" si="16">SUM(E55:E62)</f>
        <v>66714</v>
      </c>
      <c r="F63" s="49">
        <f t="shared" si="16"/>
        <v>627.14</v>
      </c>
      <c r="G63" s="49">
        <f t="shared" si="16"/>
        <v>0</v>
      </c>
      <c r="H63" s="49">
        <f t="shared" si="16"/>
        <v>66086</v>
      </c>
      <c r="I63" s="49">
        <f t="shared" si="16"/>
        <v>0</v>
      </c>
      <c r="J63" s="49">
        <f t="shared" si="16"/>
        <v>0</v>
      </c>
      <c r="K63" s="50">
        <f t="shared" si="16"/>
        <v>0.86000000000058208</v>
      </c>
      <c r="L63" s="51"/>
      <c r="M63" s="45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 x14ac:dyDescent="0.25">
      <c r="A64" s="39"/>
      <c r="B64" s="39"/>
      <c r="C64" s="54"/>
      <c r="D64" s="39"/>
      <c r="E64" s="39"/>
      <c r="F64" s="39"/>
      <c r="G64" s="39"/>
      <c r="H64" s="39"/>
      <c r="I64" s="39"/>
      <c r="J64" s="39"/>
      <c r="K64" s="39"/>
      <c r="L64" s="44"/>
      <c r="M64" s="45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 x14ac:dyDescent="0.25">
      <c r="A65" s="40" t="s">
        <v>79</v>
      </c>
      <c r="B65" s="41"/>
      <c r="C65" s="42"/>
      <c r="D65" s="41"/>
      <c r="E65" s="41"/>
      <c r="F65" s="41"/>
      <c r="G65" s="41"/>
      <c r="H65" s="41"/>
      <c r="I65" s="41"/>
      <c r="J65" s="41"/>
      <c r="K65" s="43"/>
      <c r="L65" s="44"/>
      <c r="M65" s="45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 x14ac:dyDescent="0.25">
      <c r="A66" s="41" t="s">
        <v>141</v>
      </c>
      <c r="B66" s="41" t="s">
        <v>42</v>
      </c>
      <c r="C66" s="42">
        <v>7346952016</v>
      </c>
      <c r="D66" s="46" t="s">
        <v>47</v>
      </c>
      <c r="E66" s="46">
        <v>33000</v>
      </c>
      <c r="F66" s="46">
        <f t="shared" ref="F66:F70" si="17">IF(D66="corper",0,E66*0.01)</f>
        <v>330</v>
      </c>
      <c r="G66" s="46">
        <v>0</v>
      </c>
      <c r="H66" s="46">
        <v>32700</v>
      </c>
      <c r="I66" s="46">
        <v>0</v>
      </c>
      <c r="J66" s="46">
        <v>0</v>
      </c>
      <c r="K66" s="47">
        <f t="shared" ref="K66:K76" si="18">E66-SUM(F66:H66)+SUM(I66:J66)</f>
        <v>-30</v>
      </c>
      <c r="L66" s="44"/>
      <c r="M66" s="45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 x14ac:dyDescent="0.25">
      <c r="A67" s="41" t="s">
        <v>142</v>
      </c>
      <c r="B67" s="41" t="s">
        <v>42</v>
      </c>
      <c r="C67" s="42" t="s">
        <v>50</v>
      </c>
      <c r="D67" s="46" t="s">
        <v>47</v>
      </c>
      <c r="E67" s="46">
        <v>23000</v>
      </c>
      <c r="F67" s="46">
        <f t="shared" si="17"/>
        <v>230</v>
      </c>
      <c r="G67" s="46">
        <v>0</v>
      </c>
      <c r="H67" s="46">
        <v>22770</v>
      </c>
      <c r="I67" s="46">
        <v>0</v>
      </c>
      <c r="J67" s="46">
        <v>0</v>
      </c>
      <c r="K67" s="47">
        <f t="shared" si="18"/>
        <v>0</v>
      </c>
      <c r="L67" s="44"/>
      <c r="M67" s="45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 x14ac:dyDescent="0.25">
      <c r="A68" s="41" t="s">
        <v>143</v>
      </c>
      <c r="B68" s="41" t="s">
        <v>53</v>
      </c>
      <c r="C68" s="42">
        <v>3085168474</v>
      </c>
      <c r="D68" s="46" t="s">
        <v>47</v>
      </c>
      <c r="E68" s="46">
        <v>30000</v>
      </c>
      <c r="F68" s="46">
        <f t="shared" si="17"/>
        <v>300</v>
      </c>
      <c r="G68" s="46">
        <v>0</v>
      </c>
      <c r="H68" s="46">
        <v>29700</v>
      </c>
      <c r="I68" s="46">
        <v>0</v>
      </c>
      <c r="J68" s="46">
        <v>0</v>
      </c>
      <c r="K68" s="47">
        <f t="shared" si="18"/>
        <v>0</v>
      </c>
      <c r="L68" s="44"/>
      <c r="M68" s="45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 x14ac:dyDescent="0.25">
      <c r="A69" s="41" t="s">
        <v>144</v>
      </c>
      <c r="B69" s="41" t="s">
        <v>75</v>
      </c>
      <c r="C69" s="42" t="s">
        <v>76</v>
      </c>
      <c r="D69" s="46" t="s">
        <v>47</v>
      </c>
      <c r="E69" s="46">
        <v>23000</v>
      </c>
      <c r="F69" s="46">
        <f t="shared" si="17"/>
        <v>230</v>
      </c>
      <c r="G69" s="46">
        <v>0</v>
      </c>
      <c r="H69" s="46">
        <v>22770</v>
      </c>
      <c r="I69" s="46">
        <v>0</v>
      </c>
      <c r="J69" s="46">
        <v>0</v>
      </c>
      <c r="K69" s="47">
        <f t="shared" si="18"/>
        <v>0</v>
      </c>
      <c r="L69" s="44"/>
      <c r="M69" s="45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 x14ac:dyDescent="0.25">
      <c r="A70" s="41" t="s">
        <v>145</v>
      </c>
      <c r="B70" s="41" t="s">
        <v>20</v>
      </c>
      <c r="C70" s="42" t="s">
        <v>111</v>
      </c>
      <c r="D70" s="41" t="s">
        <v>17</v>
      </c>
      <c r="E70" s="46">
        <v>2727</v>
      </c>
      <c r="F70" s="46">
        <f t="shared" si="17"/>
        <v>0</v>
      </c>
      <c r="G70" s="46">
        <v>0</v>
      </c>
      <c r="H70" s="46">
        <v>2727</v>
      </c>
      <c r="I70" s="46">
        <v>0</v>
      </c>
      <c r="J70" s="46">
        <v>0</v>
      </c>
      <c r="K70" s="47">
        <f t="shared" si="18"/>
        <v>0</v>
      </c>
      <c r="L70" s="44"/>
      <c r="M70" s="45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 x14ac:dyDescent="0.25">
      <c r="A71" s="41" t="s">
        <v>146</v>
      </c>
      <c r="B71" s="41"/>
      <c r="C71" s="42"/>
      <c r="D71" s="41" t="s">
        <v>47</v>
      </c>
      <c r="E71" s="46">
        <v>7000</v>
      </c>
      <c r="F71" s="46">
        <v>0</v>
      </c>
      <c r="G71" s="46">
        <v>0</v>
      </c>
      <c r="H71" s="46">
        <v>7000</v>
      </c>
      <c r="I71" s="46">
        <v>0</v>
      </c>
      <c r="J71" s="46">
        <v>0</v>
      </c>
      <c r="K71" s="47">
        <f t="shared" si="18"/>
        <v>0</v>
      </c>
      <c r="L71" s="39" t="s">
        <v>147</v>
      </c>
      <c r="M71" s="45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 x14ac:dyDescent="0.25">
      <c r="A72" s="41" t="s">
        <v>148</v>
      </c>
      <c r="B72" s="41"/>
      <c r="C72" s="42"/>
      <c r="D72" s="41" t="s">
        <v>149</v>
      </c>
      <c r="E72" s="46">
        <v>12000</v>
      </c>
      <c r="F72" s="46">
        <v>0</v>
      </c>
      <c r="G72" s="46">
        <v>0</v>
      </c>
      <c r="H72" s="46">
        <v>12000</v>
      </c>
      <c r="I72" s="46">
        <v>0</v>
      </c>
      <c r="J72" s="46">
        <v>0</v>
      </c>
      <c r="K72" s="47">
        <f t="shared" si="18"/>
        <v>0</v>
      </c>
      <c r="L72" s="39" t="s">
        <v>150</v>
      </c>
      <c r="M72" s="45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 x14ac:dyDescent="0.25">
      <c r="A73" s="41" t="s">
        <v>151</v>
      </c>
      <c r="B73" s="41"/>
      <c r="C73" s="42"/>
      <c r="D73" s="41" t="s">
        <v>47</v>
      </c>
      <c r="E73" s="46">
        <v>20000</v>
      </c>
      <c r="F73" s="46">
        <v>0</v>
      </c>
      <c r="G73" s="46">
        <v>0</v>
      </c>
      <c r="H73" s="46">
        <v>20000</v>
      </c>
      <c r="I73" s="46">
        <v>0</v>
      </c>
      <c r="J73" s="46">
        <v>0</v>
      </c>
      <c r="K73" s="47">
        <f t="shared" si="18"/>
        <v>0</v>
      </c>
      <c r="L73" s="39" t="s">
        <v>150</v>
      </c>
      <c r="M73" s="45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 x14ac:dyDescent="0.25">
      <c r="A74" s="41" t="s">
        <v>152</v>
      </c>
      <c r="B74" s="41"/>
      <c r="C74" s="42"/>
      <c r="D74" s="41" t="s">
        <v>47</v>
      </c>
      <c r="E74" s="46">
        <v>15000</v>
      </c>
      <c r="F74" s="46">
        <v>0</v>
      </c>
      <c r="G74" s="46">
        <v>0</v>
      </c>
      <c r="H74" s="46">
        <v>15000</v>
      </c>
      <c r="I74" s="46">
        <v>0</v>
      </c>
      <c r="J74" s="46">
        <v>0</v>
      </c>
      <c r="K74" s="47">
        <f t="shared" si="18"/>
        <v>0</v>
      </c>
      <c r="L74" s="44" t="s">
        <v>153</v>
      </c>
      <c r="M74" s="45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 x14ac:dyDescent="0.25">
      <c r="A75" s="41" t="s">
        <v>127</v>
      </c>
      <c r="B75" s="41" t="s">
        <v>35</v>
      </c>
      <c r="C75" s="42" t="s">
        <v>129</v>
      </c>
      <c r="D75" s="41" t="s">
        <v>62</v>
      </c>
      <c r="E75" s="46">
        <v>10000</v>
      </c>
      <c r="F75" s="46">
        <v>0</v>
      </c>
      <c r="G75" s="46">
        <v>0</v>
      </c>
      <c r="H75" s="46">
        <v>12000</v>
      </c>
      <c r="I75" s="46">
        <v>2000</v>
      </c>
      <c r="J75" s="46">
        <v>0</v>
      </c>
      <c r="K75" s="47">
        <f t="shared" si="18"/>
        <v>0</v>
      </c>
      <c r="L75" s="44" t="s">
        <v>154</v>
      </c>
      <c r="M75" s="45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 x14ac:dyDescent="0.25">
      <c r="A76" s="41" t="s">
        <v>155</v>
      </c>
      <c r="B76" s="41" t="s">
        <v>42</v>
      </c>
      <c r="C76" s="42" t="s">
        <v>156</v>
      </c>
      <c r="D76" s="41" t="s">
        <v>149</v>
      </c>
      <c r="E76" s="46">
        <v>15000</v>
      </c>
      <c r="F76" s="46">
        <v>0</v>
      </c>
      <c r="G76" s="46">
        <v>0</v>
      </c>
      <c r="H76" s="46">
        <v>15000</v>
      </c>
      <c r="I76" s="46">
        <v>0</v>
      </c>
      <c r="J76" s="46">
        <v>0</v>
      </c>
      <c r="K76" s="47">
        <f t="shared" si="18"/>
        <v>0</v>
      </c>
      <c r="L76" s="44"/>
      <c r="M76" s="45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 x14ac:dyDescent="0.25">
      <c r="A77" s="40"/>
      <c r="B77" s="40"/>
      <c r="C77" s="48"/>
      <c r="D77" s="40"/>
      <c r="E77" s="49">
        <f t="shared" ref="E77:K77" si="19">SUM(E66:E76)</f>
        <v>190727</v>
      </c>
      <c r="F77" s="49">
        <f t="shared" si="19"/>
        <v>1090</v>
      </c>
      <c r="G77" s="49">
        <f t="shared" si="19"/>
        <v>0</v>
      </c>
      <c r="H77" s="49">
        <f t="shared" si="19"/>
        <v>191667</v>
      </c>
      <c r="I77" s="49">
        <f t="shared" si="19"/>
        <v>2000</v>
      </c>
      <c r="J77" s="49">
        <f t="shared" si="19"/>
        <v>0</v>
      </c>
      <c r="K77" s="50">
        <f t="shared" si="19"/>
        <v>-30</v>
      </c>
      <c r="L77" s="44"/>
      <c r="M77" s="45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 x14ac:dyDescent="0.25">
      <c r="A78" s="39"/>
      <c r="B78" s="39"/>
      <c r="C78" s="54"/>
      <c r="D78" s="39"/>
      <c r="E78" s="39"/>
      <c r="F78" s="39"/>
      <c r="G78" s="39"/>
      <c r="H78" s="39"/>
      <c r="I78" s="39"/>
      <c r="J78" s="39"/>
      <c r="K78" s="39"/>
      <c r="L78" s="44"/>
      <c r="M78" s="45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 x14ac:dyDescent="0.25">
      <c r="A79" s="40" t="s">
        <v>97</v>
      </c>
      <c r="B79" s="41"/>
      <c r="C79" s="42"/>
      <c r="D79" s="41"/>
      <c r="E79" s="41"/>
      <c r="F79" s="41"/>
      <c r="G79" s="41"/>
      <c r="H79" s="41"/>
      <c r="I79" s="41"/>
      <c r="J79" s="41"/>
      <c r="K79" s="43"/>
      <c r="L79" s="44"/>
      <c r="M79" s="45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 x14ac:dyDescent="0.25">
      <c r="A80" s="41" t="s">
        <v>141</v>
      </c>
      <c r="B80" s="41" t="s">
        <v>42</v>
      </c>
      <c r="C80" s="42">
        <v>7346952016</v>
      </c>
      <c r="D80" s="46" t="s">
        <v>47</v>
      </c>
      <c r="E80" s="46">
        <v>33000</v>
      </c>
      <c r="F80" s="46">
        <f t="shared" ref="F80:F83" si="20">IF(D80="corper",0,E80*0.01)</f>
        <v>330</v>
      </c>
      <c r="G80" s="46">
        <v>30</v>
      </c>
      <c r="H80" s="46">
        <v>32640</v>
      </c>
      <c r="I80" s="46">
        <v>0</v>
      </c>
      <c r="J80" s="46">
        <v>0</v>
      </c>
      <c r="K80" s="47">
        <f t="shared" ref="K80:K89" si="21">E80-SUM(F80:H80)+SUM(I80:J80)</f>
        <v>0</v>
      </c>
      <c r="L80" s="44"/>
      <c r="M80" s="45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 x14ac:dyDescent="0.25">
      <c r="A81" s="41" t="s">
        <v>142</v>
      </c>
      <c r="B81" s="41" t="s">
        <v>42</v>
      </c>
      <c r="C81" s="42" t="s">
        <v>50</v>
      </c>
      <c r="D81" s="46" t="s">
        <v>47</v>
      </c>
      <c r="E81" s="46">
        <v>23000</v>
      </c>
      <c r="F81" s="46">
        <f t="shared" si="20"/>
        <v>230</v>
      </c>
      <c r="G81" s="46">
        <v>0</v>
      </c>
      <c r="H81" s="46">
        <v>22770</v>
      </c>
      <c r="I81" s="46">
        <v>0</v>
      </c>
      <c r="J81" s="46">
        <v>0</v>
      </c>
      <c r="K81" s="47">
        <f t="shared" si="21"/>
        <v>0</v>
      </c>
      <c r="L81" s="44"/>
      <c r="M81" s="45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 x14ac:dyDescent="0.25">
      <c r="A82" s="41" t="s">
        <v>143</v>
      </c>
      <c r="B82" s="41" t="s">
        <v>53</v>
      </c>
      <c r="C82" s="42">
        <v>3085168474</v>
      </c>
      <c r="D82" s="46" t="s">
        <v>47</v>
      </c>
      <c r="E82" s="46">
        <v>30000</v>
      </c>
      <c r="F82" s="46">
        <f t="shared" si="20"/>
        <v>300</v>
      </c>
      <c r="G82" s="46">
        <v>0</v>
      </c>
      <c r="H82" s="46">
        <v>29700</v>
      </c>
      <c r="I82" s="46">
        <v>0</v>
      </c>
      <c r="J82" s="46">
        <v>0</v>
      </c>
      <c r="K82" s="47">
        <f t="shared" si="21"/>
        <v>0</v>
      </c>
      <c r="L82" s="44"/>
      <c r="M82" s="45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 x14ac:dyDescent="0.25">
      <c r="A83" s="41" t="s">
        <v>144</v>
      </c>
      <c r="B83" s="41" t="s">
        <v>75</v>
      </c>
      <c r="C83" s="42" t="s">
        <v>76</v>
      </c>
      <c r="D83" s="46" t="s">
        <v>47</v>
      </c>
      <c r="E83" s="46">
        <v>23000</v>
      </c>
      <c r="F83" s="46">
        <f t="shared" si="20"/>
        <v>230</v>
      </c>
      <c r="G83" s="46">
        <v>0</v>
      </c>
      <c r="H83" s="46">
        <v>22770</v>
      </c>
      <c r="I83" s="46">
        <v>0</v>
      </c>
      <c r="J83" s="46">
        <v>0</v>
      </c>
      <c r="K83" s="47">
        <f t="shared" si="21"/>
        <v>0</v>
      </c>
      <c r="L83" s="44"/>
      <c r="M83" s="45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 x14ac:dyDescent="0.25">
      <c r="A84" s="41" t="s">
        <v>146</v>
      </c>
      <c r="B84" s="41"/>
      <c r="C84" s="42"/>
      <c r="D84" s="41" t="s">
        <v>62</v>
      </c>
      <c r="E84" s="46">
        <v>7000</v>
      </c>
      <c r="F84" s="46">
        <v>0</v>
      </c>
      <c r="G84" s="46">
        <v>0</v>
      </c>
      <c r="H84" s="46">
        <v>7000</v>
      </c>
      <c r="I84" s="46">
        <v>0</v>
      </c>
      <c r="J84" s="46">
        <v>0</v>
      </c>
      <c r="K84" s="47">
        <f t="shared" si="21"/>
        <v>0</v>
      </c>
      <c r="L84" s="39" t="s">
        <v>157</v>
      </c>
      <c r="M84" s="45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 x14ac:dyDescent="0.25">
      <c r="A85" s="41" t="s">
        <v>148</v>
      </c>
      <c r="B85" s="41"/>
      <c r="C85" s="42"/>
      <c r="D85" s="41" t="s">
        <v>62</v>
      </c>
      <c r="E85" s="46">
        <v>12000</v>
      </c>
      <c r="F85" s="46">
        <v>0</v>
      </c>
      <c r="G85" s="46">
        <v>0</v>
      </c>
      <c r="H85" s="46">
        <v>12000</v>
      </c>
      <c r="I85" s="46">
        <v>0</v>
      </c>
      <c r="J85" s="46">
        <v>0</v>
      </c>
      <c r="K85" s="47">
        <f t="shared" si="21"/>
        <v>0</v>
      </c>
      <c r="L85" s="39" t="s">
        <v>158</v>
      </c>
      <c r="M85" s="45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 x14ac:dyDescent="0.25">
      <c r="A86" s="41" t="s">
        <v>151</v>
      </c>
      <c r="B86" s="41"/>
      <c r="C86" s="42"/>
      <c r="D86" s="41" t="s">
        <v>62</v>
      </c>
      <c r="E86" s="46">
        <v>20000</v>
      </c>
      <c r="F86" s="46">
        <v>0</v>
      </c>
      <c r="G86" s="46">
        <v>0</v>
      </c>
      <c r="H86" s="46">
        <v>20000</v>
      </c>
      <c r="I86" s="46">
        <v>0</v>
      </c>
      <c r="J86" s="46">
        <v>0</v>
      </c>
      <c r="K86" s="47">
        <f t="shared" si="21"/>
        <v>0</v>
      </c>
      <c r="L86" s="39" t="s">
        <v>158</v>
      </c>
      <c r="M86" s="45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 x14ac:dyDescent="0.25">
      <c r="A87" s="41" t="s">
        <v>152</v>
      </c>
      <c r="B87" s="41"/>
      <c r="C87" s="42"/>
      <c r="D87" s="41" t="s">
        <v>62</v>
      </c>
      <c r="E87" s="46">
        <v>15000</v>
      </c>
      <c r="F87" s="46">
        <v>0</v>
      </c>
      <c r="G87" s="46">
        <v>0</v>
      </c>
      <c r="H87" s="46">
        <v>15000</v>
      </c>
      <c r="I87" s="46">
        <v>0</v>
      </c>
      <c r="J87" s="46">
        <v>0</v>
      </c>
      <c r="K87" s="47">
        <f t="shared" si="21"/>
        <v>0</v>
      </c>
      <c r="L87" s="44" t="s">
        <v>159</v>
      </c>
      <c r="M87" s="45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 x14ac:dyDescent="0.25">
      <c r="A88" s="41" t="s">
        <v>127</v>
      </c>
      <c r="B88" s="41" t="s">
        <v>35</v>
      </c>
      <c r="C88" s="42" t="s">
        <v>129</v>
      </c>
      <c r="D88" s="41" t="s">
        <v>62</v>
      </c>
      <c r="E88" s="46">
        <v>12000</v>
      </c>
      <c r="F88" s="46">
        <v>0</v>
      </c>
      <c r="G88" s="46">
        <v>0</v>
      </c>
      <c r="H88" s="46">
        <v>12000</v>
      </c>
      <c r="I88" s="46">
        <v>0</v>
      </c>
      <c r="J88" s="46">
        <v>0</v>
      </c>
      <c r="K88" s="47">
        <f t="shared" si="21"/>
        <v>0</v>
      </c>
      <c r="L88" s="44" t="s">
        <v>160</v>
      </c>
      <c r="M88" s="45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 x14ac:dyDescent="0.25">
      <c r="A89" s="41" t="s">
        <v>155</v>
      </c>
      <c r="B89" s="41" t="s">
        <v>42</v>
      </c>
      <c r="C89" s="42" t="s">
        <v>156</v>
      </c>
      <c r="D89" s="41" t="s">
        <v>149</v>
      </c>
      <c r="E89" s="46">
        <v>15000</v>
      </c>
      <c r="F89" s="46">
        <v>0</v>
      </c>
      <c r="G89" s="46">
        <v>0</v>
      </c>
      <c r="H89" s="46">
        <v>15000</v>
      </c>
      <c r="I89" s="46">
        <v>0</v>
      </c>
      <c r="J89" s="46">
        <v>0</v>
      </c>
      <c r="K89" s="47">
        <f t="shared" si="21"/>
        <v>0</v>
      </c>
      <c r="L89" s="44"/>
      <c r="M89" s="45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 x14ac:dyDescent="0.25">
      <c r="A90" s="40"/>
      <c r="B90" s="40"/>
      <c r="C90" s="48"/>
      <c r="D90" s="40"/>
      <c r="E90" s="49">
        <f t="shared" ref="E90:K90" si="22">SUM(E80:E89)</f>
        <v>190000</v>
      </c>
      <c r="F90" s="49">
        <f t="shared" si="22"/>
        <v>1090</v>
      </c>
      <c r="G90" s="49">
        <f t="shared" si="22"/>
        <v>30</v>
      </c>
      <c r="H90" s="49">
        <f t="shared" si="22"/>
        <v>188880</v>
      </c>
      <c r="I90" s="49">
        <f t="shared" si="22"/>
        <v>0</v>
      </c>
      <c r="J90" s="49">
        <f t="shared" si="22"/>
        <v>0</v>
      </c>
      <c r="K90" s="50">
        <f t="shared" si="22"/>
        <v>0</v>
      </c>
      <c r="L90" s="44"/>
      <c r="M90" s="45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 x14ac:dyDescent="0.25">
      <c r="A91" s="39"/>
      <c r="B91" s="39"/>
      <c r="C91" s="54"/>
      <c r="D91" s="39"/>
      <c r="E91" s="39"/>
      <c r="F91" s="39"/>
      <c r="G91" s="39"/>
      <c r="H91" s="39"/>
      <c r="I91" s="39"/>
      <c r="J91" s="39"/>
      <c r="K91" s="39"/>
      <c r="L91" s="44"/>
      <c r="M91" s="45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 x14ac:dyDescent="0.25">
      <c r="A92" s="40" t="s">
        <v>101</v>
      </c>
      <c r="B92" s="41"/>
      <c r="C92" s="42"/>
      <c r="D92" s="41"/>
      <c r="E92" s="41"/>
      <c r="F92" s="41"/>
      <c r="G92" s="41"/>
      <c r="H92" s="41"/>
      <c r="I92" s="41"/>
      <c r="J92" s="41"/>
      <c r="K92" s="43"/>
      <c r="L92" s="44"/>
      <c r="M92" s="45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 x14ac:dyDescent="0.25">
      <c r="A93" s="41" t="s">
        <v>141</v>
      </c>
      <c r="B93" s="41" t="s">
        <v>42</v>
      </c>
      <c r="C93" s="42">
        <v>7346952016</v>
      </c>
      <c r="D93" s="46" t="s">
        <v>47</v>
      </c>
      <c r="E93" s="46">
        <v>33000</v>
      </c>
      <c r="F93" s="46">
        <f t="shared" ref="F93:F96" si="23">IF(D93="corper",0,E93*0.01)</f>
        <v>330</v>
      </c>
      <c r="G93" s="46">
        <v>0</v>
      </c>
      <c r="H93" s="46">
        <v>32670</v>
      </c>
      <c r="I93" s="46">
        <v>0</v>
      </c>
      <c r="J93" s="46">
        <v>0</v>
      </c>
      <c r="K93" s="47">
        <f t="shared" ref="K93:K102" si="24">E93-SUM(F93:H93)+SUM(I93:J93)</f>
        <v>0</v>
      </c>
      <c r="L93" s="44"/>
      <c r="M93" s="45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 x14ac:dyDescent="0.25">
      <c r="A94" s="41" t="s">
        <v>142</v>
      </c>
      <c r="B94" s="41" t="s">
        <v>42</v>
      </c>
      <c r="C94" s="42" t="s">
        <v>50</v>
      </c>
      <c r="D94" s="46" t="s">
        <v>47</v>
      </c>
      <c r="E94" s="46">
        <v>23000</v>
      </c>
      <c r="F94" s="46">
        <f t="shared" si="23"/>
        <v>230</v>
      </c>
      <c r="G94" s="46">
        <v>0</v>
      </c>
      <c r="H94" s="46">
        <v>22770</v>
      </c>
      <c r="I94" s="46">
        <v>0</v>
      </c>
      <c r="J94" s="46">
        <v>0</v>
      </c>
      <c r="K94" s="47">
        <f t="shared" si="24"/>
        <v>0</v>
      </c>
      <c r="L94" s="44"/>
      <c r="M94" s="45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 x14ac:dyDescent="0.25">
      <c r="A95" s="41" t="s">
        <v>143</v>
      </c>
      <c r="B95" s="41" t="s">
        <v>53</v>
      </c>
      <c r="C95" s="42">
        <v>3085168474</v>
      </c>
      <c r="D95" s="46" t="s">
        <v>47</v>
      </c>
      <c r="E95" s="46">
        <v>30000</v>
      </c>
      <c r="F95" s="46">
        <f t="shared" si="23"/>
        <v>300</v>
      </c>
      <c r="G95" s="46">
        <v>0</v>
      </c>
      <c r="H95" s="46">
        <v>29700</v>
      </c>
      <c r="I95" s="46">
        <v>0</v>
      </c>
      <c r="J95" s="46">
        <v>0</v>
      </c>
      <c r="K95" s="47">
        <f t="shared" si="24"/>
        <v>0</v>
      </c>
      <c r="L95" s="44"/>
      <c r="M95" s="45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 x14ac:dyDescent="0.25">
      <c r="A96" s="41" t="s">
        <v>144</v>
      </c>
      <c r="B96" s="41" t="s">
        <v>75</v>
      </c>
      <c r="C96" s="42" t="s">
        <v>76</v>
      </c>
      <c r="D96" s="46" t="s">
        <v>47</v>
      </c>
      <c r="E96" s="46">
        <v>23000</v>
      </c>
      <c r="F96" s="46">
        <f t="shared" si="23"/>
        <v>230</v>
      </c>
      <c r="G96" s="46">
        <v>0</v>
      </c>
      <c r="H96" s="46">
        <v>22770</v>
      </c>
      <c r="I96" s="46">
        <v>0</v>
      </c>
      <c r="J96" s="46">
        <v>0</v>
      </c>
      <c r="K96" s="47">
        <f t="shared" si="24"/>
        <v>0</v>
      </c>
      <c r="L96" s="44"/>
      <c r="M96" s="45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 x14ac:dyDescent="0.25">
      <c r="A97" s="41" t="s">
        <v>146</v>
      </c>
      <c r="B97" s="41"/>
      <c r="C97" s="42"/>
      <c r="D97" s="41" t="s">
        <v>62</v>
      </c>
      <c r="E97" s="46">
        <v>4516</v>
      </c>
      <c r="F97" s="46">
        <v>0</v>
      </c>
      <c r="G97" s="46">
        <v>0</v>
      </c>
      <c r="H97" s="46">
        <v>5000</v>
      </c>
      <c r="I97" s="46">
        <v>0</v>
      </c>
      <c r="J97" s="46">
        <v>0</v>
      </c>
      <c r="K97" s="47">
        <f t="shared" si="24"/>
        <v>-484</v>
      </c>
      <c r="L97" s="39" t="s">
        <v>157</v>
      </c>
      <c r="M97" s="45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 x14ac:dyDescent="0.25">
      <c r="A98" s="41" t="s">
        <v>148</v>
      </c>
      <c r="B98" s="41"/>
      <c r="C98" s="42"/>
      <c r="D98" s="41" t="s">
        <v>62</v>
      </c>
      <c r="E98" s="46">
        <v>6194</v>
      </c>
      <c r="F98" s="46">
        <v>0</v>
      </c>
      <c r="G98" s="46">
        <v>0</v>
      </c>
      <c r="H98" s="46">
        <v>6194</v>
      </c>
      <c r="I98" s="46">
        <v>0</v>
      </c>
      <c r="J98" s="46">
        <v>0</v>
      </c>
      <c r="K98" s="47">
        <f t="shared" si="24"/>
        <v>0</v>
      </c>
      <c r="L98" s="39" t="s">
        <v>158</v>
      </c>
      <c r="M98" s="45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 x14ac:dyDescent="0.25">
      <c r="A99" s="41" t="s">
        <v>151</v>
      </c>
      <c r="B99" s="41"/>
      <c r="C99" s="42"/>
      <c r="D99" s="41" t="s">
        <v>62</v>
      </c>
      <c r="E99" s="46">
        <v>10323</v>
      </c>
      <c r="F99" s="46">
        <v>0</v>
      </c>
      <c r="G99" s="46">
        <v>0</v>
      </c>
      <c r="H99" s="46">
        <v>10323</v>
      </c>
      <c r="I99" s="46">
        <v>0</v>
      </c>
      <c r="J99" s="46">
        <v>0</v>
      </c>
      <c r="K99" s="47">
        <f t="shared" si="24"/>
        <v>0</v>
      </c>
      <c r="L99" s="39" t="s">
        <v>158</v>
      </c>
      <c r="M99" s="45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 x14ac:dyDescent="0.25">
      <c r="A100" s="41" t="s">
        <v>152</v>
      </c>
      <c r="B100" s="41"/>
      <c r="C100" s="42"/>
      <c r="D100" s="41" t="s">
        <v>62</v>
      </c>
      <c r="E100" s="46">
        <v>11130</v>
      </c>
      <c r="F100" s="46">
        <v>0</v>
      </c>
      <c r="G100" s="46">
        <v>0</v>
      </c>
      <c r="H100" s="46">
        <v>11130</v>
      </c>
      <c r="I100" s="46">
        <v>0</v>
      </c>
      <c r="J100" s="46">
        <v>0</v>
      </c>
      <c r="K100" s="47">
        <f t="shared" si="24"/>
        <v>0</v>
      </c>
      <c r="L100" s="44" t="s">
        <v>159</v>
      </c>
      <c r="M100" s="45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 x14ac:dyDescent="0.25">
      <c r="A101" s="41" t="s">
        <v>127</v>
      </c>
      <c r="B101" s="41" t="s">
        <v>35</v>
      </c>
      <c r="C101" s="42" t="s">
        <v>129</v>
      </c>
      <c r="D101" s="41" t="s">
        <v>62</v>
      </c>
      <c r="E101" s="46">
        <v>5419</v>
      </c>
      <c r="F101" s="46">
        <v>0</v>
      </c>
      <c r="G101" s="46">
        <v>0</v>
      </c>
      <c r="H101" s="46">
        <v>5420</v>
      </c>
      <c r="I101" s="46">
        <v>0</v>
      </c>
      <c r="J101" s="46">
        <v>0</v>
      </c>
      <c r="K101" s="47">
        <f t="shared" si="24"/>
        <v>-1</v>
      </c>
      <c r="L101" s="44" t="s">
        <v>160</v>
      </c>
      <c r="M101" s="45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 x14ac:dyDescent="0.25">
      <c r="A102" s="41" t="s">
        <v>155</v>
      </c>
      <c r="B102" s="41" t="s">
        <v>42</v>
      </c>
      <c r="C102" s="42" t="s">
        <v>156</v>
      </c>
      <c r="D102" s="41" t="s">
        <v>149</v>
      </c>
      <c r="E102" s="46">
        <v>15000</v>
      </c>
      <c r="F102" s="46">
        <v>0</v>
      </c>
      <c r="G102" s="46">
        <v>0</v>
      </c>
      <c r="H102" s="46">
        <v>15000</v>
      </c>
      <c r="I102" s="46">
        <v>0</v>
      </c>
      <c r="J102" s="46">
        <v>0</v>
      </c>
      <c r="K102" s="47">
        <f t="shared" si="24"/>
        <v>0</v>
      </c>
      <c r="L102" s="44"/>
      <c r="M102" s="45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 x14ac:dyDescent="0.25">
      <c r="A103" s="40"/>
      <c r="B103" s="40"/>
      <c r="C103" s="48"/>
      <c r="D103" s="40"/>
      <c r="E103" s="49">
        <f t="shared" ref="E103:K103" si="25">SUM(E93:E102)</f>
        <v>161582</v>
      </c>
      <c r="F103" s="49">
        <f t="shared" si="25"/>
        <v>1090</v>
      </c>
      <c r="G103" s="49">
        <f t="shared" si="25"/>
        <v>0</v>
      </c>
      <c r="H103" s="49">
        <f t="shared" si="25"/>
        <v>160977</v>
      </c>
      <c r="I103" s="49">
        <f t="shared" si="25"/>
        <v>0</v>
      </c>
      <c r="J103" s="49">
        <f t="shared" si="25"/>
        <v>0</v>
      </c>
      <c r="K103" s="50">
        <f t="shared" si="25"/>
        <v>-485</v>
      </c>
      <c r="L103" s="44"/>
      <c r="M103" s="45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 x14ac:dyDescent="0.25">
      <c r="A104" s="39"/>
      <c r="B104" s="39"/>
      <c r="C104" s="54"/>
      <c r="D104" s="39"/>
      <c r="E104" s="39"/>
      <c r="F104" s="39"/>
      <c r="G104" s="39"/>
      <c r="H104" s="39"/>
      <c r="I104" s="39"/>
      <c r="J104" s="39"/>
      <c r="K104" s="39"/>
      <c r="L104" s="44"/>
      <c r="M104" s="45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 x14ac:dyDescent="0.25">
      <c r="A105" s="40" t="s">
        <v>104</v>
      </c>
      <c r="B105" s="41"/>
      <c r="C105" s="42"/>
      <c r="D105" s="41"/>
      <c r="E105" s="41"/>
      <c r="F105" s="41"/>
      <c r="G105" s="41"/>
      <c r="H105" s="41"/>
      <c r="I105" s="41"/>
      <c r="J105" s="41"/>
      <c r="K105" s="43"/>
      <c r="L105" s="44"/>
      <c r="M105" s="45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 x14ac:dyDescent="0.25">
      <c r="A106" s="41" t="s">
        <v>141</v>
      </c>
      <c r="B106" s="41" t="s">
        <v>42</v>
      </c>
      <c r="C106" s="42">
        <v>7346952016</v>
      </c>
      <c r="D106" s="46" t="s">
        <v>47</v>
      </c>
      <c r="E106" s="46">
        <v>33000</v>
      </c>
      <c r="F106" s="46">
        <f t="shared" ref="F106:F108" si="26">IF(D106="corper",0,E106*0.01)</f>
        <v>330</v>
      </c>
      <c r="G106" s="46">
        <v>0</v>
      </c>
      <c r="H106" s="46">
        <v>32670</v>
      </c>
      <c r="I106" s="46">
        <v>0</v>
      </c>
      <c r="J106" s="46">
        <v>0</v>
      </c>
      <c r="K106" s="47">
        <f t="shared" ref="K106:K108" si="27">E106-SUM(F106:H106)+SUM(I106:J106)</f>
        <v>0</v>
      </c>
      <c r="L106" s="44"/>
      <c r="M106" s="45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 x14ac:dyDescent="0.25">
      <c r="A107" s="41" t="s">
        <v>143</v>
      </c>
      <c r="B107" s="41" t="s">
        <v>53</v>
      </c>
      <c r="C107" s="42">
        <v>3085168474</v>
      </c>
      <c r="D107" s="46" t="s">
        <v>47</v>
      </c>
      <c r="E107" s="46">
        <v>30000</v>
      </c>
      <c r="F107" s="46">
        <f t="shared" si="26"/>
        <v>300</v>
      </c>
      <c r="G107" s="46">
        <v>0</v>
      </c>
      <c r="H107" s="46">
        <v>29700</v>
      </c>
      <c r="I107" s="46">
        <v>0</v>
      </c>
      <c r="J107" s="46">
        <v>0</v>
      </c>
      <c r="K107" s="47">
        <f t="shared" si="27"/>
        <v>0</v>
      </c>
      <c r="L107" s="44"/>
      <c r="M107" s="45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 x14ac:dyDescent="0.25">
      <c r="A108" s="41" t="s">
        <v>144</v>
      </c>
      <c r="B108" s="41" t="s">
        <v>75</v>
      </c>
      <c r="C108" s="42" t="s">
        <v>76</v>
      </c>
      <c r="D108" s="46" t="s">
        <v>47</v>
      </c>
      <c r="E108" s="46">
        <v>23000</v>
      </c>
      <c r="F108" s="46">
        <f t="shared" si="26"/>
        <v>230</v>
      </c>
      <c r="G108" s="46">
        <v>0</v>
      </c>
      <c r="H108" s="46">
        <v>22770</v>
      </c>
      <c r="I108" s="46">
        <v>0</v>
      </c>
      <c r="J108" s="46">
        <v>0</v>
      </c>
      <c r="K108" s="47">
        <f t="shared" si="27"/>
        <v>0</v>
      </c>
      <c r="L108" s="44"/>
      <c r="M108" s="45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 x14ac:dyDescent="0.25">
      <c r="A109" s="40"/>
      <c r="B109" s="40"/>
      <c r="C109" s="48"/>
      <c r="D109" s="40"/>
      <c r="E109" s="49">
        <f t="shared" ref="E109:K109" si="28">SUM(E106:E108)</f>
        <v>86000</v>
      </c>
      <c r="F109" s="49">
        <f t="shared" si="28"/>
        <v>860</v>
      </c>
      <c r="G109" s="49">
        <f t="shared" si="28"/>
        <v>0</v>
      </c>
      <c r="H109" s="49">
        <f t="shared" si="28"/>
        <v>85140</v>
      </c>
      <c r="I109" s="49">
        <f t="shared" si="28"/>
        <v>0</v>
      </c>
      <c r="J109" s="49">
        <f t="shared" si="28"/>
        <v>0</v>
      </c>
      <c r="K109" s="50">
        <f t="shared" si="28"/>
        <v>0</v>
      </c>
      <c r="L109" s="44"/>
      <c r="M109" s="45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44"/>
      <c r="M110" s="45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 x14ac:dyDescent="0.25">
      <c r="A111" s="40" t="s">
        <v>105</v>
      </c>
      <c r="B111" s="41"/>
      <c r="C111" s="42"/>
      <c r="D111" s="41"/>
      <c r="E111" s="41"/>
      <c r="F111" s="41"/>
      <c r="G111" s="41"/>
      <c r="H111" s="41"/>
      <c r="I111" s="41"/>
      <c r="J111" s="41"/>
      <c r="K111" s="43"/>
      <c r="L111" s="44"/>
      <c r="M111" s="45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 x14ac:dyDescent="0.25">
      <c r="A112" s="41" t="s">
        <v>161</v>
      </c>
      <c r="B112" s="41" t="s">
        <v>162</v>
      </c>
      <c r="C112" s="42" t="s">
        <v>163</v>
      </c>
      <c r="D112" s="41" t="s">
        <v>17</v>
      </c>
      <c r="E112" s="46">
        <v>6190.48</v>
      </c>
      <c r="F112" s="46">
        <f t="shared" ref="F112:F118" si="29">IF(D112="CORPER",0,IF(D112="PART-TIME",0,E112*0.01))</f>
        <v>0</v>
      </c>
      <c r="G112" s="46">
        <v>0</v>
      </c>
      <c r="H112" s="46">
        <v>6190.48</v>
      </c>
      <c r="I112" s="46">
        <v>0</v>
      </c>
      <c r="J112" s="46">
        <v>0</v>
      </c>
      <c r="K112" s="47">
        <f t="shared" ref="K112:K127" si="30">E112-SUM(F112:H112)+SUM(I112:J112)</f>
        <v>0</v>
      </c>
      <c r="L112" s="44"/>
      <c r="M112" s="45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 x14ac:dyDescent="0.25">
      <c r="A113" s="41" t="s">
        <v>164</v>
      </c>
      <c r="B113" s="41" t="s">
        <v>165</v>
      </c>
      <c r="C113" s="42" t="s">
        <v>166</v>
      </c>
      <c r="D113" s="41" t="s">
        <v>17</v>
      </c>
      <c r="E113" s="46">
        <v>6190.48</v>
      </c>
      <c r="F113" s="46">
        <f t="shared" si="29"/>
        <v>0</v>
      </c>
      <c r="G113" s="46">
        <v>0</v>
      </c>
      <c r="H113" s="46">
        <v>6190.48</v>
      </c>
      <c r="I113" s="46">
        <v>0</v>
      </c>
      <c r="J113" s="46">
        <v>0</v>
      </c>
      <c r="K113" s="47">
        <f t="shared" si="30"/>
        <v>0</v>
      </c>
      <c r="L113" s="44"/>
      <c r="M113" s="45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 x14ac:dyDescent="0.25">
      <c r="A114" s="41" t="s">
        <v>141</v>
      </c>
      <c r="B114" s="41" t="s">
        <v>42</v>
      </c>
      <c r="C114" s="42">
        <v>7346952016</v>
      </c>
      <c r="D114" s="46" t="s">
        <v>167</v>
      </c>
      <c r="E114" s="46">
        <v>20428.57</v>
      </c>
      <c r="F114" s="46">
        <f t="shared" si="29"/>
        <v>204.28569999999999</v>
      </c>
      <c r="G114" s="46">
        <v>0</v>
      </c>
      <c r="H114" s="46">
        <v>20224.28</v>
      </c>
      <c r="I114" s="46">
        <v>0</v>
      </c>
      <c r="J114" s="46">
        <v>0</v>
      </c>
      <c r="K114" s="47">
        <f t="shared" si="30"/>
        <v>4.3000000005122274E-3</v>
      </c>
      <c r="L114" s="44"/>
      <c r="M114" s="45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 x14ac:dyDescent="0.25">
      <c r="A115" s="41" t="s">
        <v>168</v>
      </c>
      <c r="B115" s="41" t="s">
        <v>162</v>
      </c>
      <c r="C115" s="42" t="s">
        <v>169</v>
      </c>
      <c r="D115" s="41" t="s">
        <v>167</v>
      </c>
      <c r="E115" s="46">
        <v>15476.19</v>
      </c>
      <c r="F115" s="46">
        <f t="shared" si="29"/>
        <v>154.7619</v>
      </c>
      <c r="G115" s="46">
        <v>0</v>
      </c>
      <c r="H115" s="46">
        <v>15321.43</v>
      </c>
      <c r="I115" s="46">
        <v>0</v>
      </c>
      <c r="J115" s="46">
        <v>0</v>
      </c>
      <c r="K115" s="47">
        <f t="shared" si="30"/>
        <v>-1.8999999992956873E-3</v>
      </c>
      <c r="L115" s="44"/>
      <c r="M115" s="45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 x14ac:dyDescent="0.25">
      <c r="A116" s="41" t="s">
        <v>142</v>
      </c>
      <c r="B116" s="41" t="s">
        <v>42</v>
      </c>
      <c r="C116" s="42" t="s">
        <v>50</v>
      </c>
      <c r="D116" s="46" t="s">
        <v>167</v>
      </c>
      <c r="E116" s="46">
        <v>14238.1</v>
      </c>
      <c r="F116" s="46">
        <f t="shared" si="29"/>
        <v>142.381</v>
      </c>
      <c r="G116" s="46">
        <v>0</v>
      </c>
      <c r="H116" s="46">
        <v>14095.72</v>
      </c>
      <c r="I116" s="46">
        <v>0</v>
      </c>
      <c r="J116" s="46">
        <v>0</v>
      </c>
      <c r="K116" s="47">
        <f t="shared" si="30"/>
        <v>-9.9999999838473741E-4</v>
      </c>
      <c r="L116" s="44"/>
      <c r="M116" s="45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 x14ac:dyDescent="0.25">
      <c r="A117" s="41" t="s">
        <v>144</v>
      </c>
      <c r="B117" s="41" t="s">
        <v>75</v>
      </c>
      <c r="C117" s="42" t="s">
        <v>76</v>
      </c>
      <c r="D117" s="46" t="s">
        <v>167</v>
      </c>
      <c r="E117" s="46">
        <v>14238.1</v>
      </c>
      <c r="F117" s="46">
        <f t="shared" si="29"/>
        <v>142.381</v>
      </c>
      <c r="G117" s="46">
        <v>0</v>
      </c>
      <c r="H117" s="46">
        <v>14095.72</v>
      </c>
      <c r="I117" s="46">
        <v>0</v>
      </c>
      <c r="J117" s="46">
        <v>0</v>
      </c>
      <c r="K117" s="47">
        <f t="shared" si="30"/>
        <v>-9.9999999838473741E-4</v>
      </c>
      <c r="L117" s="44"/>
      <c r="M117" s="45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 x14ac:dyDescent="0.25">
      <c r="A118" s="41" t="s">
        <v>170</v>
      </c>
      <c r="B118" s="41" t="s">
        <v>162</v>
      </c>
      <c r="C118" s="42" t="s">
        <v>171</v>
      </c>
      <c r="D118" s="41" t="s">
        <v>167</v>
      </c>
      <c r="E118" s="46">
        <v>12380.95</v>
      </c>
      <c r="F118" s="46">
        <f t="shared" si="29"/>
        <v>123.80950000000001</v>
      </c>
      <c r="G118" s="46">
        <v>0</v>
      </c>
      <c r="H118" s="46">
        <v>12257.14</v>
      </c>
      <c r="I118" s="46">
        <v>0</v>
      </c>
      <c r="J118" s="46">
        <v>0</v>
      </c>
      <c r="K118" s="47">
        <f t="shared" si="30"/>
        <v>5.0000000192085281E-4</v>
      </c>
      <c r="L118" s="44"/>
      <c r="M118" s="45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 x14ac:dyDescent="0.25">
      <c r="A119" s="41" t="s">
        <v>172</v>
      </c>
      <c r="B119" s="41" t="s">
        <v>35</v>
      </c>
      <c r="C119" s="42" t="s">
        <v>129</v>
      </c>
      <c r="D119" s="41" t="s">
        <v>167</v>
      </c>
      <c r="E119" s="46">
        <v>9285.7099999999991</v>
      </c>
      <c r="F119" s="46">
        <v>0</v>
      </c>
      <c r="G119" s="46">
        <v>0</v>
      </c>
      <c r="H119" s="46">
        <v>9285.7099999999991</v>
      </c>
      <c r="I119" s="46">
        <v>0</v>
      </c>
      <c r="J119" s="46">
        <v>0</v>
      </c>
      <c r="K119" s="47">
        <f t="shared" si="30"/>
        <v>0</v>
      </c>
      <c r="L119" s="44"/>
      <c r="M119" s="45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 x14ac:dyDescent="0.25">
      <c r="A120" s="41" t="s">
        <v>173</v>
      </c>
      <c r="B120" s="41" t="s">
        <v>53</v>
      </c>
      <c r="C120" s="42" t="s">
        <v>174</v>
      </c>
      <c r="D120" s="41" t="s">
        <v>175</v>
      </c>
      <c r="E120" s="46">
        <v>12380.95</v>
      </c>
      <c r="F120" s="46">
        <f t="shared" ref="F120:F127" si="31">IF(D120="CORPER",0,IF(D120="PART-TIME",0,E120*0.01))</f>
        <v>0</v>
      </c>
      <c r="G120" s="46">
        <v>0</v>
      </c>
      <c r="H120" s="46">
        <v>12380.95</v>
      </c>
      <c r="I120" s="46">
        <v>0</v>
      </c>
      <c r="J120" s="46">
        <v>0</v>
      </c>
      <c r="K120" s="47">
        <f t="shared" si="30"/>
        <v>0</v>
      </c>
      <c r="L120" s="44"/>
      <c r="M120" s="45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 x14ac:dyDescent="0.25">
      <c r="A121" s="41" t="s">
        <v>155</v>
      </c>
      <c r="B121" s="41" t="s">
        <v>42</v>
      </c>
      <c r="C121" s="42" t="s">
        <v>156</v>
      </c>
      <c r="D121" s="41" t="s">
        <v>175</v>
      </c>
      <c r="E121" s="46">
        <v>4244.8999999999996</v>
      </c>
      <c r="F121" s="46">
        <f t="shared" si="31"/>
        <v>0</v>
      </c>
      <c r="G121" s="46">
        <v>0</v>
      </c>
      <c r="H121" s="46">
        <v>4244.8999999999996</v>
      </c>
      <c r="I121" s="46">
        <v>0</v>
      </c>
      <c r="J121" s="46">
        <v>0</v>
      </c>
      <c r="K121" s="47">
        <f t="shared" si="30"/>
        <v>0</v>
      </c>
      <c r="L121" s="44"/>
      <c r="M121" s="45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 x14ac:dyDescent="0.25">
      <c r="A122" s="41" t="s">
        <v>176</v>
      </c>
      <c r="B122" s="41" t="s">
        <v>35</v>
      </c>
      <c r="C122" s="42" t="s">
        <v>177</v>
      </c>
      <c r="D122" s="41" t="s">
        <v>175</v>
      </c>
      <c r="E122" s="46">
        <v>11142.86</v>
      </c>
      <c r="F122" s="46">
        <f t="shared" si="31"/>
        <v>0</v>
      </c>
      <c r="G122" s="46">
        <v>0</v>
      </c>
      <c r="H122" s="46">
        <v>11142.86</v>
      </c>
      <c r="I122" s="46">
        <v>0</v>
      </c>
      <c r="J122" s="46">
        <v>0</v>
      </c>
      <c r="K122" s="47">
        <f t="shared" si="30"/>
        <v>0</v>
      </c>
      <c r="L122" s="44"/>
      <c r="M122" s="45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 x14ac:dyDescent="0.25">
      <c r="A123" s="41" t="s">
        <v>146</v>
      </c>
      <c r="B123" s="41"/>
      <c r="C123" s="42"/>
      <c r="D123" s="41" t="s">
        <v>175</v>
      </c>
      <c r="E123" s="46">
        <v>10000</v>
      </c>
      <c r="F123" s="46">
        <f t="shared" si="31"/>
        <v>0</v>
      </c>
      <c r="G123" s="46">
        <v>0</v>
      </c>
      <c r="H123" s="46">
        <v>10000</v>
      </c>
      <c r="I123" s="46">
        <v>0</v>
      </c>
      <c r="J123" s="46">
        <v>0</v>
      </c>
      <c r="K123" s="47">
        <f t="shared" si="30"/>
        <v>0</v>
      </c>
      <c r="L123" s="44"/>
      <c r="M123" s="45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 x14ac:dyDescent="0.25">
      <c r="A124" s="41" t="s">
        <v>178</v>
      </c>
      <c r="B124" s="41" t="s">
        <v>162</v>
      </c>
      <c r="C124" s="42" t="s">
        <v>179</v>
      </c>
      <c r="D124" s="41" t="s">
        <v>17</v>
      </c>
      <c r="E124" s="46">
        <v>6190</v>
      </c>
      <c r="F124" s="46">
        <f t="shared" si="31"/>
        <v>0</v>
      </c>
      <c r="G124" s="46">
        <v>0</v>
      </c>
      <c r="H124" s="46">
        <v>6190.48</v>
      </c>
      <c r="I124" s="46">
        <v>0</v>
      </c>
      <c r="J124" s="46">
        <v>0</v>
      </c>
      <c r="K124" s="47">
        <f t="shared" si="30"/>
        <v>-0.47999999999956344</v>
      </c>
      <c r="L124" s="44"/>
      <c r="M124" s="45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 x14ac:dyDescent="0.25">
      <c r="A125" s="41" t="s">
        <v>148</v>
      </c>
      <c r="B125" s="41" t="s">
        <v>15</v>
      </c>
      <c r="C125" s="42" t="s">
        <v>180</v>
      </c>
      <c r="D125" s="41" t="s">
        <v>175</v>
      </c>
      <c r="E125" s="46">
        <v>6000</v>
      </c>
      <c r="F125" s="46">
        <f t="shared" si="31"/>
        <v>0</v>
      </c>
      <c r="G125" s="46">
        <v>0</v>
      </c>
      <c r="H125" s="46">
        <v>6000</v>
      </c>
      <c r="I125" s="46">
        <v>0</v>
      </c>
      <c r="J125" s="46">
        <v>0</v>
      </c>
      <c r="K125" s="47">
        <f t="shared" si="30"/>
        <v>0</v>
      </c>
      <c r="L125" s="44"/>
      <c r="M125" s="45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 x14ac:dyDescent="0.25">
      <c r="A126" s="41" t="s">
        <v>181</v>
      </c>
      <c r="B126" s="41" t="s">
        <v>162</v>
      </c>
      <c r="C126" s="42" t="s">
        <v>182</v>
      </c>
      <c r="D126" s="41" t="s">
        <v>17</v>
      </c>
      <c r="E126" s="46">
        <v>2380.9499999999998</v>
      </c>
      <c r="F126" s="46">
        <f t="shared" si="31"/>
        <v>0</v>
      </c>
      <c r="G126" s="46">
        <v>0</v>
      </c>
      <c r="H126" s="46">
        <v>2380.9499999999998</v>
      </c>
      <c r="I126" s="46">
        <v>0</v>
      </c>
      <c r="J126" s="46">
        <v>0</v>
      </c>
      <c r="K126" s="47">
        <f t="shared" si="30"/>
        <v>0</v>
      </c>
      <c r="L126" s="44"/>
      <c r="M126" s="45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 x14ac:dyDescent="0.25">
      <c r="A127" s="41" t="s">
        <v>183</v>
      </c>
      <c r="B127" s="41" t="s">
        <v>53</v>
      </c>
      <c r="C127" s="42" t="s">
        <v>184</v>
      </c>
      <c r="D127" s="41" t="s">
        <v>175</v>
      </c>
      <c r="E127" s="46">
        <v>5952.38</v>
      </c>
      <c r="F127" s="46">
        <f t="shared" si="31"/>
        <v>0</v>
      </c>
      <c r="G127" s="46">
        <v>0</v>
      </c>
      <c r="H127" s="46">
        <v>5952.38</v>
      </c>
      <c r="I127" s="46">
        <v>0</v>
      </c>
      <c r="J127" s="46">
        <v>0</v>
      </c>
      <c r="K127" s="47">
        <f t="shared" si="30"/>
        <v>0</v>
      </c>
      <c r="L127" s="44"/>
      <c r="M127" s="45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 x14ac:dyDescent="0.25">
      <c r="A128" s="40"/>
      <c r="B128" s="40"/>
      <c r="C128" s="48"/>
      <c r="D128" s="40"/>
      <c r="E128" s="49">
        <f t="shared" ref="E128:K128" si="32">SUM(E112:E127)</f>
        <v>156720.62</v>
      </c>
      <c r="F128" s="49">
        <f t="shared" si="32"/>
        <v>767.61909999999989</v>
      </c>
      <c r="G128" s="49">
        <f t="shared" si="32"/>
        <v>0</v>
      </c>
      <c r="H128" s="49">
        <f t="shared" si="32"/>
        <v>155953.48000000001</v>
      </c>
      <c r="I128" s="49">
        <f t="shared" si="32"/>
        <v>0</v>
      </c>
      <c r="J128" s="49">
        <f t="shared" si="32"/>
        <v>0</v>
      </c>
      <c r="K128" s="50">
        <f t="shared" si="32"/>
        <v>-0.47909999999319552</v>
      </c>
      <c r="L128" s="44"/>
      <c r="M128" s="45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4"/>
      <c r="M129" s="45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 x14ac:dyDescent="0.25">
      <c r="A130" s="40" t="s">
        <v>122</v>
      </c>
      <c r="B130" s="41"/>
      <c r="C130" s="42"/>
      <c r="D130" s="41"/>
      <c r="E130" s="41"/>
      <c r="F130" s="41"/>
      <c r="G130" s="41"/>
      <c r="H130" s="41"/>
      <c r="I130" s="41"/>
      <c r="J130" s="41"/>
      <c r="K130" s="41"/>
      <c r="L130" s="55"/>
      <c r="M130" s="45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 x14ac:dyDescent="0.25">
      <c r="A131" s="41" t="s">
        <v>161</v>
      </c>
      <c r="B131" s="41" t="s">
        <v>162</v>
      </c>
      <c r="C131" s="42" t="s">
        <v>163</v>
      </c>
      <c r="D131" s="41" t="s">
        <v>17</v>
      </c>
      <c r="E131" s="46">
        <v>10000</v>
      </c>
      <c r="F131" s="46">
        <f t="shared" ref="F131:F140" si="33">IF(D131="FULL-TIME",E131*0.01,0)</f>
        <v>0</v>
      </c>
      <c r="G131" s="46">
        <v>0</v>
      </c>
      <c r="H131" s="46">
        <v>10000</v>
      </c>
      <c r="I131" s="46">
        <v>0</v>
      </c>
      <c r="J131" s="46">
        <v>0</v>
      </c>
      <c r="K131" s="46">
        <f t="shared" ref="K131:K148" si="34">E131-SUM(F131:H131)+SUM(I131:J131)</f>
        <v>0</v>
      </c>
      <c r="L131" s="55"/>
      <c r="M131" s="45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 x14ac:dyDescent="0.25">
      <c r="A132" s="41" t="s">
        <v>164</v>
      </c>
      <c r="B132" s="41" t="s">
        <v>165</v>
      </c>
      <c r="C132" s="42" t="s">
        <v>166</v>
      </c>
      <c r="D132" s="41" t="s">
        <v>17</v>
      </c>
      <c r="E132" s="46">
        <v>10000</v>
      </c>
      <c r="F132" s="46">
        <f t="shared" si="33"/>
        <v>0</v>
      </c>
      <c r="G132" s="46">
        <v>0</v>
      </c>
      <c r="H132" s="46">
        <v>10000</v>
      </c>
      <c r="I132" s="46">
        <v>0</v>
      </c>
      <c r="J132" s="46">
        <v>0</v>
      </c>
      <c r="K132" s="46">
        <f t="shared" si="34"/>
        <v>0</v>
      </c>
      <c r="L132" s="55"/>
      <c r="M132" s="45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 x14ac:dyDescent="0.25">
      <c r="A133" s="41" t="s">
        <v>178</v>
      </c>
      <c r="B133" s="41" t="s">
        <v>162</v>
      </c>
      <c r="C133" s="42" t="s">
        <v>179</v>
      </c>
      <c r="D133" s="41" t="s">
        <v>17</v>
      </c>
      <c r="E133" s="46">
        <v>10000</v>
      </c>
      <c r="F133" s="46">
        <f t="shared" si="33"/>
        <v>0</v>
      </c>
      <c r="G133" s="46">
        <v>0</v>
      </c>
      <c r="H133" s="46">
        <v>10000</v>
      </c>
      <c r="I133" s="46">
        <v>0</v>
      </c>
      <c r="J133" s="46">
        <v>0</v>
      </c>
      <c r="K133" s="46">
        <f t="shared" si="34"/>
        <v>0</v>
      </c>
      <c r="L133" s="55"/>
      <c r="M133" s="45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 x14ac:dyDescent="0.25">
      <c r="A134" s="41" t="s">
        <v>181</v>
      </c>
      <c r="B134" s="41" t="s">
        <v>162</v>
      </c>
      <c r="C134" s="42" t="s">
        <v>182</v>
      </c>
      <c r="D134" s="41" t="s">
        <v>17</v>
      </c>
      <c r="E134" s="46">
        <v>10000</v>
      </c>
      <c r="F134" s="46">
        <f t="shared" si="33"/>
        <v>0</v>
      </c>
      <c r="G134" s="46">
        <v>0</v>
      </c>
      <c r="H134" s="46">
        <v>10000</v>
      </c>
      <c r="I134" s="46">
        <v>0</v>
      </c>
      <c r="J134" s="46">
        <v>0</v>
      </c>
      <c r="K134" s="46">
        <f t="shared" si="34"/>
        <v>0</v>
      </c>
      <c r="L134" s="55"/>
      <c r="M134" s="45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 x14ac:dyDescent="0.25">
      <c r="A135" s="41" t="s">
        <v>185</v>
      </c>
      <c r="B135" s="41" t="s">
        <v>20</v>
      </c>
      <c r="C135" s="39">
        <v>774746872</v>
      </c>
      <c r="D135" s="41" t="s">
        <v>17</v>
      </c>
      <c r="E135" s="46">
        <v>10000</v>
      </c>
      <c r="F135" s="46">
        <f t="shared" si="33"/>
        <v>0</v>
      </c>
      <c r="G135" s="46">
        <v>0</v>
      </c>
      <c r="H135" s="46">
        <v>10000</v>
      </c>
      <c r="I135" s="46">
        <v>0</v>
      </c>
      <c r="J135" s="46">
        <v>0</v>
      </c>
      <c r="K135" s="46">
        <f t="shared" si="34"/>
        <v>0</v>
      </c>
      <c r="L135" s="55"/>
      <c r="M135" s="45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 x14ac:dyDescent="0.25">
      <c r="A136" s="41" t="s">
        <v>141</v>
      </c>
      <c r="B136" s="41" t="s">
        <v>42</v>
      </c>
      <c r="C136" s="42">
        <v>7346952016</v>
      </c>
      <c r="D136" s="46" t="s">
        <v>167</v>
      </c>
      <c r="E136" s="46">
        <v>33000</v>
      </c>
      <c r="F136" s="46">
        <f t="shared" si="33"/>
        <v>330</v>
      </c>
      <c r="G136" s="46">
        <v>0</v>
      </c>
      <c r="H136" s="46">
        <v>32670</v>
      </c>
      <c r="I136" s="46">
        <v>0</v>
      </c>
      <c r="J136" s="46">
        <v>0</v>
      </c>
      <c r="K136" s="46">
        <f t="shared" si="34"/>
        <v>0</v>
      </c>
      <c r="L136" s="55"/>
      <c r="M136" s="45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 x14ac:dyDescent="0.25">
      <c r="A137" s="41" t="s">
        <v>168</v>
      </c>
      <c r="B137" s="41" t="s">
        <v>162</v>
      </c>
      <c r="C137" s="42" t="s">
        <v>169</v>
      </c>
      <c r="D137" s="41" t="s">
        <v>167</v>
      </c>
      <c r="E137" s="46">
        <v>25000</v>
      </c>
      <c r="F137" s="46">
        <f t="shared" si="33"/>
        <v>250</v>
      </c>
      <c r="G137" s="46">
        <v>0</v>
      </c>
      <c r="H137" s="46">
        <v>24750</v>
      </c>
      <c r="I137" s="46">
        <v>0</v>
      </c>
      <c r="J137" s="46">
        <v>0</v>
      </c>
      <c r="K137" s="46">
        <f t="shared" si="34"/>
        <v>0</v>
      </c>
      <c r="L137" s="55"/>
      <c r="M137" s="45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 x14ac:dyDescent="0.25">
      <c r="A138" s="41" t="s">
        <v>142</v>
      </c>
      <c r="B138" s="41" t="s">
        <v>42</v>
      </c>
      <c r="C138" s="42" t="s">
        <v>50</v>
      </c>
      <c r="D138" s="46" t="s">
        <v>167</v>
      </c>
      <c r="E138" s="46">
        <v>23000</v>
      </c>
      <c r="F138" s="46">
        <f t="shared" si="33"/>
        <v>230</v>
      </c>
      <c r="G138" s="46">
        <v>0</v>
      </c>
      <c r="H138" s="46">
        <v>22770</v>
      </c>
      <c r="I138" s="46">
        <v>0</v>
      </c>
      <c r="J138" s="46">
        <v>0</v>
      </c>
      <c r="K138" s="46">
        <f t="shared" si="34"/>
        <v>0</v>
      </c>
      <c r="L138" s="55"/>
      <c r="M138" s="45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 x14ac:dyDescent="0.25">
      <c r="A139" s="41" t="s">
        <v>144</v>
      </c>
      <c r="B139" s="41" t="s">
        <v>75</v>
      </c>
      <c r="C139" s="42" t="s">
        <v>76</v>
      </c>
      <c r="D139" s="46" t="s">
        <v>167</v>
      </c>
      <c r="E139" s="46">
        <v>23000</v>
      </c>
      <c r="F139" s="46">
        <f t="shared" si="33"/>
        <v>230</v>
      </c>
      <c r="G139" s="46">
        <v>0</v>
      </c>
      <c r="H139" s="46">
        <v>22770</v>
      </c>
      <c r="I139" s="46">
        <v>0</v>
      </c>
      <c r="J139" s="46">
        <v>0</v>
      </c>
      <c r="K139" s="46">
        <f t="shared" si="34"/>
        <v>0</v>
      </c>
      <c r="L139" s="55"/>
      <c r="M139" s="45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 x14ac:dyDescent="0.25">
      <c r="A140" s="41" t="s">
        <v>170</v>
      </c>
      <c r="B140" s="41" t="s">
        <v>162</v>
      </c>
      <c r="C140" s="42"/>
      <c r="D140" s="41" t="s">
        <v>167</v>
      </c>
      <c r="E140" s="46">
        <v>20000</v>
      </c>
      <c r="F140" s="46">
        <f t="shared" si="33"/>
        <v>200</v>
      </c>
      <c r="G140" s="46">
        <v>0</v>
      </c>
      <c r="H140" s="46">
        <v>19800</v>
      </c>
      <c r="I140" s="46">
        <v>0</v>
      </c>
      <c r="J140" s="46">
        <v>0</v>
      </c>
      <c r="K140" s="46">
        <f t="shared" si="34"/>
        <v>0</v>
      </c>
      <c r="L140" s="55"/>
      <c r="M140" s="45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 x14ac:dyDescent="0.25">
      <c r="A141" s="41" t="s">
        <v>172</v>
      </c>
      <c r="B141" s="41" t="s">
        <v>35</v>
      </c>
      <c r="C141" s="42" t="s">
        <v>129</v>
      </c>
      <c r="D141" s="41" t="s">
        <v>167</v>
      </c>
      <c r="E141" s="46">
        <v>15000</v>
      </c>
      <c r="F141" s="46">
        <v>0</v>
      </c>
      <c r="G141" s="46">
        <v>0</v>
      </c>
      <c r="H141" s="46">
        <v>15000</v>
      </c>
      <c r="I141" s="46">
        <v>0</v>
      </c>
      <c r="J141" s="46">
        <v>0</v>
      </c>
      <c r="K141" s="46">
        <f t="shared" si="34"/>
        <v>0</v>
      </c>
      <c r="L141" s="55"/>
      <c r="M141" s="45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 x14ac:dyDescent="0.25">
      <c r="A142" s="41" t="s">
        <v>173</v>
      </c>
      <c r="B142" s="41" t="s">
        <v>53</v>
      </c>
      <c r="C142" s="42" t="s">
        <v>174</v>
      </c>
      <c r="D142" s="41" t="s">
        <v>4</v>
      </c>
      <c r="E142" s="46">
        <v>20000</v>
      </c>
      <c r="F142" s="46">
        <f t="shared" ref="F142:F148" si="35">IF(D142="FULL-TIME",E142*0.01,0)</f>
        <v>0</v>
      </c>
      <c r="G142" s="46">
        <v>0</v>
      </c>
      <c r="H142" s="46">
        <v>20000</v>
      </c>
      <c r="I142" s="46">
        <v>0</v>
      </c>
      <c r="J142" s="46">
        <v>0</v>
      </c>
      <c r="K142" s="46">
        <f t="shared" si="34"/>
        <v>0</v>
      </c>
      <c r="L142" s="55"/>
      <c r="M142" s="45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 x14ac:dyDescent="0.25">
      <c r="A143" s="41" t="s">
        <v>176</v>
      </c>
      <c r="B143" s="41" t="s">
        <v>35</v>
      </c>
      <c r="C143" s="42" t="s">
        <v>177</v>
      </c>
      <c r="D143" s="41" t="s">
        <v>4</v>
      </c>
      <c r="E143" s="46">
        <v>18000</v>
      </c>
      <c r="F143" s="46">
        <f t="shared" si="35"/>
        <v>0</v>
      </c>
      <c r="G143" s="46">
        <v>0</v>
      </c>
      <c r="H143" s="46">
        <v>18000</v>
      </c>
      <c r="I143" s="46">
        <v>0</v>
      </c>
      <c r="J143" s="46">
        <v>0</v>
      </c>
      <c r="K143" s="46">
        <f t="shared" si="34"/>
        <v>0</v>
      </c>
      <c r="L143" s="55"/>
      <c r="M143" s="45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 x14ac:dyDescent="0.25">
      <c r="A144" s="41" t="s">
        <v>186</v>
      </c>
      <c r="B144" s="41" t="s">
        <v>162</v>
      </c>
      <c r="C144" s="42" t="s">
        <v>187</v>
      </c>
      <c r="D144" s="41" t="s">
        <v>167</v>
      </c>
      <c r="E144" s="46">
        <v>10000</v>
      </c>
      <c r="F144" s="46">
        <f t="shared" si="35"/>
        <v>100</v>
      </c>
      <c r="G144" s="46">
        <v>0</v>
      </c>
      <c r="H144" s="46">
        <v>9900</v>
      </c>
      <c r="I144" s="46">
        <v>0</v>
      </c>
      <c r="J144" s="46">
        <v>0</v>
      </c>
      <c r="K144" s="46">
        <f t="shared" si="34"/>
        <v>0</v>
      </c>
      <c r="L144" s="55"/>
      <c r="M144" s="45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 x14ac:dyDescent="0.25">
      <c r="A145" s="41" t="s">
        <v>146</v>
      </c>
      <c r="B145" s="41"/>
      <c r="C145" s="42"/>
      <c r="D145" s="41" t="s">
        <v>4</v>
      </c>
      <c r="E145" s="46">
        <v>10000</v>
      </c>
      <c r="F145" s="46">
        <f t="shared" si="35"/>
        <v>0</v>
      </c>
      <c r="G145" s="46">
        <v>0</v>
      </c>
      <c r="H145" s="46">
        <v>10000</v>
      </c>
      <c r="I145" s="46">
        <v>0</v>
      </c>
      <c r="J145" s="46">
        <v>0</v>
      </c>
      <c r="K145" s="46">
        <f t="shared" si="34"/>
        <v>0</v>
      </c>
      <c r="L145" s="55">
        <v>45213</v>
      </c>
      <c r="M145" s="45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 x14ac:dyDescent="0.25">
      <c r="A146" s="41" t="s">
        <v>148</v>
      </c>
      <c r="B146" s="41" t="s">
        <v>15</v>
      </c>
      <c r="C146" s="42" t="s">
        <v>180</v>
      </c>
      <c r="D146" s="41" t="s">
        <v>4</v>
      </c>
      <c r="E146" s="46">
        <v>12000</v>
      </c>
      <c r="F146" s="46">
        <f t="shared" si="35"/>
        <v>0</v>
      </c>
      <c r="G146" s="46">
        <v>0</v>
      </c>
      <c r="H146" s="46">
        <v>12000</v>
      </c>
      <c r="I146" s="46">
        <v>0</v>
      </c>
      <c r="J146" s="46">
        <v>0</v>
      </c>
      <c r="K146" s="46">
        <f t="shared" si="34"/>
        <v>0</v>
      </c>
      <c r="L146" s="55"/>
      <c r="M146" s="45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 x14ac:dyDescent="0.25">
      <c r="A147" s="41" t="s">
        <v>188</v>
      </c>
      <c r="B147" s="41" t="s">
        <v>23</v>
      </c>
      <c r="C147" s="42" t="s">
        <v>189</v>
      </c>
      <c r="D147" s="41" t="s">
        <v>4</v>
      </c>
      <c r="E147" s="46">
        <v>25000</v>
      </c>
      <c r="F147" s="46">
        <f t="shared" si="35"/>
        <v>0</v>
      </c>
      <c r="G147" s="46">
        <v>0</v>
      </c>
      <c r="H147" s="46">
        <v>25000</v>
      </c>
      <c r="I147" s="46">
        <v>0</v>
      </c>
      <c r="J147" s="46">
        <v>0</v>
      </c>
      <c r="K147" s="46">
        <f t="shared" si="34"/>
        <v>0</v>
      </c>
      <c r="L147" s="55"/>
      <c r="M147" s="45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 x14ac:dyDescent="0.25">
      <c r="A148" s="41" t="s">
        <v>183</v>
      </c>
      <c r="B148" s="41" t="s">
        <v>53</v>
      </c>
      <c r="C148" s="42" t="s">
        <v>184</v>
      </c>
      <c r="D148" s="41" t="s">
        <v>4</v>
      </c>
      <c r="E148" s="46">
        <v>25000</v>
      </c>
      <c r="F148" s="46">
        <f t="shared" si="35"/>
        <v>0</v>
      </c>
      <c r="G148" s="46">
        <v>0</v>
      </c>
      <c r="H148" s="46">
        <v>25000</v>
      </c>
      <c r="I148" s="46">
        <v>0</v>
      </c>
      <c r="J148" s="46">
        <v>0</v>
      </c>
      <c r="K148" s="46">
        <f t="shared" si="34"/>
        <v>0</v>
      </c>
      <c r="L148" s="55"/>
      <c r="M148" s="45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 x14ac:dyDescent="0.25">
      <c r="A149" s="40"/>
      <c r="B149" s="40"/>
      <c r="C149" s="48"/>
      <c r="D149" s="40"/>
      <c r="E149" s="49">
        <f t="shared" ref="E149:K149" si="36">SUM(E131:E148)</f>
        <v>309000</v>
      </c>
      <c r="F149" s="49">
        <f t="shared" si="36"/>
        <v>1340</v>
      </c>
      <c r="G149" s="49">
        <f t="shared" si="36"/>
        <v>0</v>
      </c>
      <c r="H149" s="49">
        <f t="shared" si="36"/>
        <v>307660</v>
      </c>
      <c r="I149" s="49">
        <f t="shared" si="36"/>
        <v>0</v>
      </c>
      <c r="J149" s="49">
        <f t="shared" si="36"/>
        <v>0</v>
      </c>
      <c r="K149" s="49">
        <f t="shared" si="36"/>
        <v>0</v>
      </c>
      <c r="L149" s="55"/>
      <c r="M149" s="45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45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 x14ac:dyDescent="0.25">
      <c r="A151" s="40" t="s">
        <v>125</v>
      </c>
      <c r="B151" s="41"/>
      <c r="C151" s="42"/>
      <c r="D151" s="41"/>
      <c r="E151" s="41"/>
      <c r="F151" s="41"/>
      <c r="G151" s="41"/>
      <c r="H151" s="41"/>
      <c r="I151" s="41"/>
      <c r="J151" s="41"/>
      <c r="K151" s="41"/>
      <c r="L151" s="55"/>
      <c r="M151" s="45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 x14ac:dyDescent="0.25">
      <c r="A152" s="41" t="s">
        <v>161</v>
      </c>
      <c r="B152" s="41" t="s">
        <v>162</v>
      </c>
      <c r="C152" s="42" t="s">
        <v>163</v>
      </c>
      <c r="D152" s="41" t="s">
        <v>17</v>
      </c>
      <c r="E152" s="46">
        <v>10000</v>
      </c>
      <c r="F152" s="46">
        <f t="shared" ref="F152:F160" si="37">IF(D152="FULL-TIME",E152*0.01,0)</f>
        <v>0</v>
      </c>
      <c r="G152" s="46">
        <v>0</v>
      </c>
      <c r="H152" s="46">
        <v>10000</v>
      </c>
      <c r="I152" s="46">
        <v>0</v>
      </c>
      <c r="J152" s="46">
        <v>0</v>
      </c>
      <c r="K152" s="46">
        <f t="shared" ref="K152:K168" si="38">E152-SUM(F152:H152)+SUM(I152:J152)</f>
        <v>0</v>
      </c>
      <c r="L152" s="55"/>
      <c r="M152" s="45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 x14ac:dyDescent="0.25">
      <c r="A153" s="41" t="s">
        <v>164</v>
      </c>
      <c r="B153" s="41" t="s">
        <v>165</v>
      </c>
      <c r="C153" s="42" t="s">
        <v>166</v>
      </c>
      <c r="D153" s="41" t="s">
        <v>17</v>
      </c>
      <c r="E153" s="46">
        <v>10000</v>
      </c>
      <c r="F153" s="46">
        <f t="shared" si="37"/>
        <v>0</v>
      </c>
      <c r="G153" s="46">
        <v>0</v>
      </c>
      <c r="H153" s="46">
        <v>10000</v>
      </c>
      <c r="I153" s="46">
        <v>0</v>
      </c>
      <c r="J153" s="46">
        <v>0</v>
      </c>
      <c r="K153" s="46">
        <f t="shared" si="38"/>
        <v>0</v>
      </c>
      <c r="L153" s="55"/>
      <c r="M153" s="45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 x14ac:dyDescent="0.25">
      <c r="A154" s="41" t="s">
        <v>178</v>
      </c>
      <c r="B154" s="41" t="s">
        <v>162</v>
      </c>
      <c r="C154" s="42" t="s">
        <v>179</v>
      </c>
      <c r="D154" s="41" t="s">
        <v>17</v>
      </c>
      <c r="E154" s="46">
        <v>10000</v>
      </c>
      <c r="F154" s="46">
        <f t="shared" si="37"/>
        <v>0</v>
      </c>
      <c r="G154" s="46">
        <v>0</v>
      </c>
      <c r="H154" s="46">
        <v>10000</v>
      </c>
      <c r="I154" s="46">
        <v>0</v>
      </c>
      <c r="J154" s="46">
        <v>0</v>
      </c>
      <c r="K154" s="46">
        <f t="shared" si="38"/>
        <v>0</v>
      </c>
      <c r="L154" s="55"/>
      <c r="M154" s="45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 x14ac:dyDescent="0.25">
      <c r="A155" s="41" t="s">
        <v>181</v>
      </c>
      <c r="B155" s="41" t="s">
        <v>162</v>
      </c>
      <c r="C155" s="42" t="s">
        <v>182</v>
      </c>
      <c r="D155" s="41" t="s">
        <v>17</v>
      </c>
      <c r="E155" s="46">
        <v>10000</v>
      </c>
      <c r="F155" s="46">
        <f t="shared" si="37"/>
        <v>0</v>
      </c>
      <c r="G155" s="46">
        <v>0</v>
      </c>
      <c r="H155" s="46">
        <v>10000</v>
      </c>
      <c r="I155" s="46">
        <v>0</v>
      </c>
      <c r="J155" s="46">
        <v>0</v>
      </c>
      <c r="K155" s="46">
        <f t="shared" si="38"/>
        <v>0</v>
      </c>
      <c r="L155" s="55"/>
      <c r="M155" s="45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 x14ac:dyDescent="0.25">
      <c r="A156" s="41" t="s">
        <v>185</v>
      </c>
      <c r="B156" s="41" t="s">
        <v>20</v>
      </c>
      <c r="C156" s="39">
        <v>774746872</v>
      </c>
      <c r="D156" s="41" t="s">
        <v>17</v>
      </c>
      <c r="E156" s="46">
        <v>10000</v>
      </c>
      <c r="F156" s="46">
        <f t="shared" si="37"/>
        <v>0</v>
      </c>
      <c r="G156" s="46">
        <v>0</v>
      </c>
      <c r="H156" s="46">
        <v>10000</v>
      </c>
      <c r="I156" s="46">
        <v>0</v>
      </c>
      <c r="J156" s="46">
        <v>0</v>
      </c>
      <c r="K156" s="46">
        <f t="shared" si="38"/>
        <v>0</v>
      </c>
      <c r="L156" s="55"/>
      <c r="M156" s="45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 x14ac:dyDescent="0.25">
      <c r="A157" s="41" t="s">
        <v>141</v>
      </c>
      <c r="B157" s="41" t="s">
        <v>162</v>
      </c>
      <c r="C157" s="42" t="s">
        <v>190</v>
      </c>
      <c r="D157" s="46" t="s">
        <v>167</v>
      </c>
      <c r="E157" s="46">
        <v>33000</v>
      </c>
      <c r="F157" s="46">
        <f t="shared" si="37"/>
        <v>330</v>
      </c>
      <c r="G157" s="46">
        <v>0</v>
      </c>
      <c r="H157" s="46">
        <v>32670</v>
      </c>
      <c r="I157" s="46">
        <v>0</v>
      </c>
      <c r="J157" s="46">
        <v>0</v>
      </c>
      <c r="K157" s="46">
        <f t="shared" si="38"/>
        <v>0</v>
      </c>
      <c r="L157" s="55"/>
      <c r="M157" s="45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 x14ac:dyDescent="0.25">
      <c r="A158" s="41" t="s">
        <v>142</v>
      </c>
      <c r="B158" s="41" t="s">
        <v>42</v>
      </c>
      <c r="C158" s="42" t="s">
        <v>50</v>
      </c>
      <c r="D158" s="46" t="s">
        <v>167</v>
      </c>
      <c r="E158" s="46">
        <v>23000</v>
      </c>
      <c r="F158" s="46">
        <f t="shared" si="37"/>
        <v>230</v>
      </c>
      <c r="G158" s="46">
        <v>0</v>
      </c>
      <c r="H158" s="46">
        <v>22770</v>
      </c>
      <c r="I158" s="46">
        <v>0</v>
      </c>
      <c r="J158" s="46">
        <v>0</v>
      </c>
      <c r="K158" s="46">
        <f t="shared" si="38"/>
        <v>0</v>
      </c>
      <c r="L158" s="55"/>
      <c r="M158" s="45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 x14ac:dyDescent="0.25">
      <c r="A159" s="41" t="s">
        <v>144</v>
      </c>
      <c r="B159" s="41" t="s">
        <v>162</v>
      </c>
      <c r="C159" s="42" t="s">
        <v>191</v>
      </c>
      <c r="D159" s="46" t="s">
        <v>167</v>
      </c>
      <c r="E159" s="46">
        <v>23000</v>
      </c>
      <c r="F159" s="46">
        <f t="shared" si="37"/>
        <v>230</v>
      </c>
      <c r="G159" s="46">
        <v>0</v>
      </c>
      <c r="H159" s="46">
        <v>22770</v>
      </c>
      <c r="I159" s="46">
        <v>0</v>
      </c>
      <c r="J159" s="46">
        <v>0</v>
      </c>
      <c r="K159" s="46">
        <f t="shared" si="38"/>
        <v>0</v>
      </c>
      <c r="L159" s="55"/>
      <c r="M159" s="45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 x14ac:dyDescent="0.25">
      <c r="A160" s="41" t="s">
        <v>170</v>
      </c>
      <c r="B160" s="41" t="s">
        <v>162</v>
      </c>
      <c r="C160" s="42" t="s">
        <v>171</v>
      </c>
      <c r="D160" s="41" t="s">
        <v>167</v>
      </c>
      <c r="E160" s="46">
        <v>20000</v>
      </c>
      <c r="F160" s="46">
        <f t="shared" si="37"/>
        <v>200</v>
      </c>
      <c r="G160" s="46">
        <v>0</v>
      </c>
      <c r="H160" s="46">
        <v>19800</v>
      </c>
      <c r="I160" s="46">
        <v>0</v>
      </c>
      <c r="J160" s="46">
        <v>0</v>
      </c>
      <c r="K160" s="46">
        <f t="shared" si="38"/>
        <v>0</v>
      </c>
      <c r="L160" s="55"/>
      <c r="M160" s="45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 x14ac:dyDescent="0.25">
      <c r="A161" s="41" t="s">
        <v>172</v>
      </c>
      <c r="B161" s="41" t="s">
        <v>35</v>
      </c>
      <c r="C161" s="42" t="s">
        <v>129</v>
      </c>
      <c r="D161" s="41" t="s">
        <v>167</v>
      </c>
      <c r="E161" s="46">
        <v>15000</v>
      </c>
      <c r="F161" s="46">
        <v>0</v>
      </c>
      <c r="G161" s="46">
        <v>0</v>
      </c>
      <c r="H161" s="46">
        <v>15000</v>
      </c>
      <c r="I161" s="46">
        <v>0</v>
      </c>
      <c r="J161" s="46">
        <v>0</v>
      </c>
      <c r="K161" s="46">
        <f t="shared" si="38"/>
        <v>0</v>
      </c>
      <c r="L161" s="55"/>
      <c r="M161" s="45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 x14ac:dyDescent="0.25">
      <c r="A162" s="41" t="s">
        <v>173</v>
      </c>
      <c r="B162" s="41" t="s">
        <v>53</v>
      </c>
      <c r="C162" s="42" t="s">
        <v>174</v>
      </c>
      <c r="D162" s="41" t="s">
        <v>4</v>
      </c>
      <c r="E162" s="46">
        <v>20000</v>
      </c>
      <c r="F162" s="46">
        <f t="shared" ref="F162:F168" si="39">IF(D162="FULL-TIME",E162*0.01,0)</f>
        <v>0</v>
      </c>
      <c r="G162" s="46">
        <v>0</v>
      </c>
      <c r="H162" s="46">
        <v>10000</v>
      </c>
      <c r="I162" s="46">
        <v>0</v>
      </c>
      <c r="J162" s="46">
        <v>0</v>
      </c>
      <c r="K162" s="46">
        <f t="shared" si="38"/>
        <v>10000</v>
      </c>
      <c r="L162" s="55"/>
      <c r="M162" s="45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 x14ac:dyDescent="0.25">
      <c r="A163" s="41" t="s">
        <v>176</v>
      </c>
      <c r="B163" s="41" t="s">
        <v>35</v>
      </c>
      <c r="C163" s="42" t="s">
        <v>177</v>
      </c>
      <c r="D163" s="41" t="s">
        <v>4</v>
      </c>
      <c r="E163" s="46">
        <v>18000</v>
      </c>
      <c r="F163" s="46">
        <f t="shared" si="39"/>
        <v>0</v>
      </c>
      <c r="G163" s="46">
        <v>0</v>
      </c>
      <c r="H163" s="46">
        <v>18000</v>
      </c>
      <c r="I163" s="46">
        <v>0</v>
      </c>
      <c r="J163" s="46">
        <v>0</v>
      </c>
      <c r="K163" s="46">
        <f t="shared" si="38"/>
        <v>0</v>
      </c>
      <c r="L163" s="55"/>
      <c r="M163" s="45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 x14ac:dyDescent="0.25">
      <c r="A164" s="41" t="s">
        <v>186</v>
      </c>
      <c r="B164" s="41" t="s">
        <v>162</v>
      </c>
      <c r="C164" s="42" t="s">
        <v>187</v>
      </c>
      <c r="D164" s="41" t="s">
        <v>167</v>
      </c>
      <c r="E164" s="46">
        <v>20000</v>
      </c>
      <c r="F164" s="46">
        <f t="shared" si="39"/>
        <v>200</v>
      </c>
      <c r="G164" s="46">
        <v>0</v>
      </c>
      <c r="H164" s="46">
        <v>19800</v>
      </c>
      <c r="I164" s="46">
        <v>0</v>
      </c>
      <c r="J164" s="46">
        <v>0</v>
      </c>
      <c r="K164" s="46">
        <f t="shared" si="38"/>
        <v>0</v>
      </c>
      <c r="L164" s="55"/>
      <c r="M164" s="45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 x14ac:dyDescent="0.25">
      <c r="A165" s="41" t="s">
        <v>146</v>
      </c>
      <c r="B165" s="41"/>
      <c r="C165" s="42"/>
      <c r="D165" s="41" t="s">
        <v>4</v>
      </c>
      <c r="E165" s="46">
        <v>10000</v>
      </c>
      <c r="F165" s="46">
        <f t="shared" si="39"/>
        <v>0</v>
      </c>
      <c r="G165" s="46">
        <v>0</v>
      </c>
      <c r="H165" s="46">
        <v>10000</v>
      </c>
      <c r="I165" s="46">
        <v>0</v>
      </c>
      <c r="J165" s="46">
        <v>0</v>
      </c>
      <c r="K165" s="46">
        <f t="shared" si="38"/>
        <v>0</v>
      </c>
      <c r="L165" s="55">
        <v>45244</v>
      </c>
      <c r="M165" s="45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 x14ac:dyDescent="0.25">
      <c r="A166" s="41" t="s">
        <v>148</v>
      </c>
      <c r="B166" s="41" t="s">
        <v>15</v>
      </c>
      <c r="C166" s="42" t="s">
        <v>180</v>
      </c>
      <c r="D166" s="41" t="s">
        <v>4</v>
      </c>
      <c r="E166" s="46">
        <v>12000</v>
      </c>
      <c r="F166" s="46">
        <f t="shared" si="39"/>
        <v>0</v>
      </c>
      <c r="G166" s="46">
        <v>0</v>
      </c>
      <c r="H166" s="46">
        <v>12000</v>
      </c>
      <c r="I166" s="46">
        <v>0</v>
      </c>
      <c r="J166" s="46">
        <v>0</v>
      </c>
      <c r="K166" s="46">
        <f t="shared" si="38"/>
        <v>0</v>
      </c>
      <c r="L166" s="55"/>
      <c r="M166" s="45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 x14ac:dyDescent="0.25">
      <c r="A167" s="41" t="s">
        <v>188</v>
      </c>
      <c r="B167" s="41" t="s">
        <v>23</v>
      </c>
      <c r="C167" s="42" t="s">
        <v>189</v>
      </c>
      <c r="D167" s="41" t="s">
        <v>4</v>
      </c>
      <c r="E167" s="46">
        <v>25000</v>
      </c>
      <c r="F167" s="46">
        <f t="shared" si="39"/>
        <v>0</v>
      </c>
      <c r="G167" s="46">
        <v>0</v>
      </c>
      <c r="H167" s="46">
        <v>25000</v>
      </c>
      <c r="I167" s="46">
        <v>0</v>
      </c>
      <c r="J167" s="46">
        <v>0</v>
      </c>
      <c r="K167" s="46">
        <f t="shared" si="38"/>
        <v>0</v>
      </c>
      <c r="L167" s="55"/>
      <c r="M167" s="45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 x14ac:dyDescent="0.25">
      <c r="A168" s="41" t="s">
        <v>183</v>
      </c>
      <c r="B168" s="41" t="s">
        <v>53</v>
      </c>
      <c r="C168" s="42" t="s">
        <v>184</v>
      </c>
      <c r="D168" s="41" t="s">
        <v>4</v>
      </c>
      <c r="E168" s="46">
        <v>25000</v>
      </c>
      <c r="F168" s="46">
        <f t="shared" si="39"/>
        <v>0</v>
      </c>
      <c r="G168" s="46">
        <v>0</v>
      </c>
      <c r="H168" s="46">
        <v>25000</v>
      </c>
      <c r="I168" s="46">
        <v>0</v>
      </c>
      <c r="J168" s="46">
        <v>0</v>
      </c>
      <c r="K168" s="46">
        <f t="shared" si="38"/>
        <v>0</v>
      </c>
      <c r="L168" s="55"/>
      <c r="M168" s="45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 x14ac:dyDescent="0.25">
      <c r="A169" s="40"/>
      <c r="B169" s="40"/>
      <c r="C169" s="48"/>
      <c r="D169" s="40"/>
      <c r="E169" s="49">
        <f t="shared" ref="E169:K169" si="40">SUM(E152:E168)</f>
        <v>294000</v>
      </c>
      <c r="F169" s="49">
        <f t="shared" si="40"/>
        <v>1190</v>
      </c>
      <c r="G169" s="49">
        <f t="shared" si="40"/>
        <v>0</v>
      </c>
      <c r="H169" s="49">
        <f t="shared" si="40"/>
        <v>282810</v>
      </c>
      <c r="I169" s="49">
        <f t="shared" si="40"/>
        <v>0</v>
      </c>
      <c r="J169" s="49">
        <f t="shared" si="40"/>
        <v>0</v>
      </c>
      <c r="K169" s="49">
        <f t="shared" si="40"/>
        <v>10000</v>
      </c>
      <c r="L169" s="55"/>
      <c r="M169" s="45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45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 x14ac:dyDescent="0.25">
      <c r="A171" s="40" t="s">
        <v>130</v>
      </c>
      <c r="B171" s="41"/>
      <c r="C171" s="42"/>
      <c r="D171" s="41"/>
      <c r="E171" s="41"/>
      <c r="F171" s="41"/>
      <c r="G171" s="41"/>
      <c r="H171" s="41"/>
      <c r="I171" s="41"/>
      <c r="J171" s="41"/>
      <c r="K171" s="41"/>
      <c r="L171" s="55"/>
      <c r="M171" s="45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 x14ac:dyDescent="0.25">
      <c r="A172" s="41" t="s">
        <v>161</v>
      </c>
      <c r="B172" s="41" t="s">
        <v>162</v>
      </c>
      <c r="C172" s="42" t="s">
        <v>163</v>
      </c>
      <c r="D172" s="41" t="s">
        <v>17</v>
      </c>
      <c r="E172" s="46">
        <v>5000</v>
      </c>
      <c r="F172" s="46">
        <f t="shared" ref="F172:F180" si="41">IF(D172="FULL-TIME",E172*0.01,0)</f>
        <v>0</v>
      </c>
      <c r="G172" s="46">
        <v>0</v>
      </c>
      <c r="H172" s="46">
        <v>5000</v>
      </c>
      <c r="I172" s="46">
        <v>0</v>
      </c>
      <c r="J172" s="46">
        <v>0</v>
      </c>
      <c r="K172" s="46">
        <f t="shared" ref="K172:K188" si="42">E172-SUM(F172:H172)+SUM(I172:J172)</f>
        <v>0</v>
      </c>
      <c r="L172" s="55"/>
      <c r="M172" s="45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 x14ac:dyDescent="0.25">
      <c r="A173" s="41" t="s">
        <v>164</v>
      </c>
      <c r="B173" s="41" t="s">
        <v>165</v>
      </c>
      <c r="C173" s="42" t="s">
        <v>166</v>
      </c>
      <c r="D173" s="41" t="s">
        <v>17</v>
      </c>
      <c r="E173" s="46">
        <v>5000</v>
      </c>
      <c r="F173" s="46">
        <f t="shared" si="41"/>
        <v>0</v>
      </c>
      <c r="G173" s="46">
        <v>0</v>
      </c>
      <c r="H173" s="46">
        <v>5000</v>
      </c>
      <c r="I173" s="46">
        <v>0</v>
      </c>
      <c r="J173" s="46">
        <v>0</v>
      </c>
      <c r="K173" s="46">
        <f t="shared" si="42"/>
        <v>0</v>
      </c>
      <c r="L173" s="55"/>
      <c r="M173" s="45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 x14ac:dyDescent="0.25">
      <c r="A174" s="41" t="s">
        <v>178</v>
      </c>
      <c r="B174" s="41" t="s">
        <v>162</v>
      </c>
      <c r="C174" s="42" t="s">
        <v>179</v>
      </c>
      <c r="D174" s="41" t="s">
        <v>17</v>
      </c>
      <c r="E174" s="46">
        <v>5000</v>
      </c>
      <c r="F174" s="46">
        <f t="shared" si="41"/>
        <v>0</v>
      </c>
      <c r="G174" s="46">
        <v>0</v>
      </c>
      <c r="H174" s="46">
        <v>5000</v>
      </c>
      <c r="I174" s="46">
        <v>0</v>
      </c>
      <c r="J174" s="46">
        <v>0</v>
      </c>
      <c r="K174" s="46">
        <f t="shared" si="42"/>
        <v>0</v>
      </c>
      <c r="L174" s="55"/>
      <c r="M174" s="45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 x14ac:dyDescent="0.25">
      <c r="A175" s="41" t="s">
        <v>181</v>
      </c>
      <c r="B175" s="41" t="s">
        <v>162</v>
      </c>
      <c r="C175" s="42" t="s">
        <v>182</v>
      </c>
      <c r="D175" s="41" t="s">
        <v>17</v>
      </c>
      <c r="E175" s="46">
        <v>5000</v>
      </c>
      <c r="F175" s="46">
        <f t="shared" si="41"/>
        <v>0</v>
      </c>
      <c r="G175" s="46">
        <v>0</v>
      </c>
      <c r="H175" s="46">
        <v>5000</v>
      </c>
      <c r="I175" s="46">
        <v>0</v>
      </c>
      <c r="J175" s="46">
        <v>0</v>
      </c>
      <c r="K175" s="46">
        <f t="shared" si="42"/>
        <v>0</v>
      </c>
      <c r="L175" s="55"/>
      <c r="M175" s="45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 x14ac:dyDescent="0.25">
      <c r="A176" s="41" t="s">
        <v>185</v>
      </c>
      <c r="B176" s="41" t="s">
        <v>20</v>
      </c>
      <c r="C176" s="39">
        <v>774746872</v>
      </c>
      <c r="D176" s="41" t="s">
        <v>17</v>
      </c>
      <c r="E176" s="46">
        <v>5000</v>
      </c>
      <c r="F176" s="46">
        <f t="shared" si="41"/>
        <v>0</v>
      </c>
      <c r="G176" s="46">
        <v>0</v>
      </c>
      <c r="H176" s="46">
        <v>5000</v>
      </c>
      <c r="I176" s="46">
        <v>0</v>
      </c>
      <c r="J176" s="46">
        <v>0</v>
      </c>
      <c r="K176" s="46">
        <f t="shared" si="42"/>
        <v>0</v>
      </c>
      <c r="L176" s="55"/>
      <c r="M176" s="45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 x14ac:dyDescent="0.25">
      <c r="A177" s="41" t="s">
        <v>141</v>
      </c>
      <c r="B177" s="41" t="s">
        <v>162</v>
      </c>
      <c r="C177" s="42" t="s">
        <v>190</v>
      </c>
      <c r="D177" s="46" t="s">
        <v>167</v>
      </c>
      <c r="E177" s="46">
        <v>16500</v>
      </c>
      <c r="F177" s="46">
        <f t="shared" si="41"/>
        <v>165</v>
      </c>
      <c r="G177" s="46">
        <v>0</v>
      </c>
      <c r="H177" s="46">
        <v>16335</v>
      </c>
      <c r="I177" s="46">
        <v>0</v>
      </c>
      <c r="J177" s="46">
        <v>0</v>
      </c>
      <c r="K177" s="46">
        <f t="shared" si="42"/>
        <v>0</v>
      </c>
      <c r="L177" s="55"/>
      <c r="M177" s="45">
        <f t="shared" ref="M177:M188" si="43">E177/2</f>
        <v>8250</v>
      </c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 x14ac:dyDescent="0.25">
      <c r="A178" s="41" t="s">
        <v>142</v>
      </c>
      <c r="B178" s="41" t="s">
        <v>42</v>
      </c>
      <c r="C178" s="42" t="s">
        <v>50</v>
      </c>
      <c r="D178" s="46" t="s">
        <v>167</v>
      </c>
      <c r="E178" s="46">
        <v>11500</v>
      </c>
      <c r="F178" s="46">
        <f t="shared" si="41"/>
        <v>115</v>
      </c>
      <c r="G178" s="46">
        <v>0</v>
      </c>
      <c r="H178" s="46">
        <v>17052</v>
      </c>
      <c r="I178" s="46">
        <v>0</v>
      </c>
      <c r="J178" s="46">
        <v>5667</v>
      </c>
      <c r="K178" s="46">
        <f t="shared" si="42"/>
        <v>0</v>
      </c>
      <c r="L178" s="55"/>
      <c r="M178" s="45">
        <f t="shared" si="43"/>
        <v>5750</v>
      </c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 x14ac:dyDescent="0.25">
      <c r="A179" s="41" t="s">
        <v>144</v>
      </c>
      <c r="B179" s="41" t="s">
        <v>162</v>
      </c>
      <c r="C179" s="42" t="s">
        <v>191</v>
      </c>
      <c r="D179" s="46" t="s">
        <v>167</v>
      </c>
      <c r="E179" s="46">
        <v>11500</v>
      </c>
      <c r="F179" s="46">
        <f t="shared" si="41"/>
        <v>115</v>
      </c>
      <c r="G179" s="46">
        <v>0</v>
      </c>
      <c r="H179" s="46">
        <v>17052</v>
      </c>
      <c r="I179" s="46">
        <v>0</v>
      </c>
      <c r="J179" s="46">
        <v>5667</v>
      </c>
      <c r="K179" s="46">
        <f t="shared" si="42"/>
        <v>0</v>
      </c>
      <c r="L179" s="55"/>
      <c r="M179" s="45">
        <f t="shared" si="43"/>
        <v>5750</v>
      </c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 x14ac:dyDescent="0.25">
      <c r="A180" s="41" t="s">
        <v>170</v>
      </c>
      <c r="B180" s="41" t="s">
        <v>162</v>
      </c>
      <c r="C180" s="42" t="s">
        <v>171</v>
      </c>
      <c r="D180" s="41" t="s">
        <v>167</v>
      </c>
      <c r="E180" s="46">
        <v>10000</v>
      </c>
      <c r="F180" s="46">
        <f t="shared" si="41"/>
        <v>100</v>
      </c>
      <c r="G180" s="46">
        <v>0</v>
      </c>
      <c r="H180" s="46">
        <v>35567</v>
      </c>
      <c r="I180" s="46">
        <v>0</v>
      </c>
      <c r="J180" s="46">
        <v>25667</v>
      </c>
      <c r="K180" s="46">
        <f t="shared" si="42"/>
        <v>0</v>
      </c>
      <c r="L180" s="55"/>
      <c r="M180" s="45">
        <f t="shared" si="43"/>
        <v>5000</v>
      </c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 x14ac:dyDescent="0.25">
      <c r="A181" s="41" t="s">
        <v>172</v>
      </c>
      <c r="B181" s="41" t="s">
        <v>35</v>
      </c>
      <c r="C181" s="42" t="s">
        <v>129</v>
      </c>
      <c r="D181" s="41" t="s">
        <v>167</v>
      </c>
      <c r="E181" s="46">
        <v>7500</v>
      </c>
      <c r="F181" s="46">
        <v>0</v>
      </c>
      <c r="G181" s="46">
        <v>0</v>
      </c>
      <c r="H181" s="46">
        <v>7500</v>
      </c>
      <c r="I181" s="46">
        <v>0</v>
      </c>
      <c r="J181" s="46">
        <v>0</v>
      </c>
      <c r="K181" s="46">
        <f t="shared" si="42"/>
        <v>0</v>
      </c>
      <c r="L181" s="55"/>
      <c r="M181" s="45">
        <f t="shared" si="43"/>
        <v>3750</v>
      </c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 x14ac:dyDescent="0.25">
      <c r="A182" s="41" t="s">
        <v>173</v>
      </c>
      <c r="B182" s="41" t="s">
        <v>53</v>
      </c>
      <c r="C182" s="42" t="s">
        <v>174</v>
      </c>
      <c r="D182" s="41" t="s">
        <v>4</v>
      </c>
      <c r="E182" s="46">
        <v>10000</v>
      </c>
      <c r="F182" s="46">
        <f t="shared" ref="F182:F188" si="44">IF(D182="FULL-TIME",E182*0.01,0)</f>
        <v>0</v>
      </c>
      <c r="G182" s="46">
        <v>0</v>
      </c>
      <c r="H182" s="46">
        <v>13600</v>
      </c>
      <c r="I182" s="46">
        <v>0</v>
      </c>
      <c r="J182" s="46">
        <v>3600</v>
      </c>
      <c r="K182" s="46">
        <f t="shared" si="42"/>
        <v>0</v>
      </c>
      <c r="L182" s="55"/>
      <c r="M182" s="45">
        <f t="shared" si="43"/>
        <v>5000</v>
      </c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 x14ac:dyDescent="0.25">
      <c r="A183" s="41" t="s">
        <v>176</v>
      </c>
      <c r="B183" s="41" t="s">
        <v>35</v>
      </c>
      <c r="C183" s="42" t="s">
        <v>177</v>
      </c>
      <c r="D183" s="41" t="s">
        <v>4</v>
      </c>
      <c r="E183" s="46">
        <v>9000</v>
      </c>
      <c r="F183" s="46">
        <f t="shared" si="44"/>
        <v>0</v>
      </c>
      <c r="G183" s="46">
        <v>0</v>
      </c>
      <c r="H183" s="46">
        <v>9000</v>
      </c>
      <c r="I183" s="46">
        <v>0</v>
      </c>
      <c r="J183" s="46">
        <v>0</v>
      </c>
      <c r="K183" s="46">
        <f t="shared" si="42"/>
        <v>0</v>
      </c>
      <c r="L183" s="55"/>
      <c r="M183" s="45">
        <f t="shared" si="43"/>
        <v>4500</v>
      </c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 x14ac:dyDescent="0.25">
      <c r="A184" s="41" t="s">
        <v>186</v>
      </c>
      <c r="B184" s="41" t="s">
        <v>162</v>
      </c>
      <c r="C184" s="42" t="s">
        <v>187</v>
      </c>
      <c r="D184" s="41" t="s">
        <v>167</v>
      </c>
      <c r="E184" s="46">
        <v>10000</v>
      </c>
      <c r="F184" s="46">
        <f t="shared" si="44"/>
        <v>100</v>
      </c>
      <c r="G184" s="46">
        <v>0</v>
      </c>
      <c r="H184" s="46">
        <v>9900</v>
      </c>
      <c r="I184" s="46">
        <v>0</v>
      </c>
      <c r="J184" s="46">
        <v>0</v>
      </c>
      <c r="K184" s="46">
        <f t="shared" si="42"/>
        <v>0</v>
      </c>
      <c r="L184" s="55"/>
      <c r="M184" s="45">
        <f t="shared" si="43"/>
        <v>5000</v>
      </c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 x14ac:dyDescent="0.25">
      <c r="A185" s="41" t="s">
        <v>146</v>
      </c>
      <c r="B185" s="41"/>
      <c r="C185" s="42"/>
      <c r="D185" s="41" t="s">
        <v>4</v>
      </c>
      <c r="E185" s="46">
        <v>10000</v>
      </c>
      <c r="F185" s="46">
        <f t="shared" si="44"/>
        <v>0</v>
      </c>
      <c r="G185" s="46">
        <v>0</v>
      </c>
      <c r="H185" s="46">
        <v>0</v>
      </c>
      <c r="I185" s="46">
        <v>0</v>
      </c>
      <c r="J185" s="46">
        <v>0</v>
      </c>
      <c r="K185" s="46">
        <f t="shared" si="42"/>
        <v>10000</v>
      </c>
      <c r="L185" s="55">
        <v>45274</v>
      </c>
      <c r="M185" s="45">
        <f t="shared" si="43"/>
        <v>5000</v>
      </c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 x14ac:dyDescent="0.25">
      <c r="A186" s="41" t="s">
        <v>148</v>
      </c>
      <c r="B186" s="41" t="s">
        <v>15</v>
      </c>
      <c r="C186" s="42" t="s">
        <v>180</v>
      </c>
      <c r="D186" s="41" t="s">
        <v>4</v>
      </c>
      <c r="E186" s="46">
        <v>6000</v>
      </c>
      <c r="F186" s="46">
        <f t="shared" si="44"/>
        <v>0</v>
      </c>
      <c r="G186" s="46">
        <v>0</v>
      </c>
      <c r="H186" s="46">
        <v>6000</v>
      </c>
      <c r="I186" s="46">
        <v>0</v>
      </c>
      <c r="J186" s="46">
        <v>0</v>
      </c>
      <c r="K186" s="46">
        <f t="shared" si="42"/>
        <v>0</v>
      </c>
      <c r="L186" s="55"/>
      <c r="M186" s="45">
        <f t="shared" si="43"/>
        <v>3000</v>
      </c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 x14ac:dyDescent="0.25">
      <c r="A187" s="41" t="s">
        <v>188</v>
      </c>
      <c r="B187" s="41" t="s">
        <v>23</v>
      </c>
      <c r="C187" s="42" t="s">
        <v>189</v>
      </c>
      <c r="D187" s="41" t="s">
        <v>4</v>
      </c>
      <c r="E187" s="46">
        <v>12500</v>
      </c>
      <c r="F187" s="46">
        <f t="shared" si="44"/>
        <v>0</v>
      </c>
      <c r="G187" s="46">
        <v>0</v>
      </c>
      <c r="H187" s="46">
        <v>35300</v>
      </c>
      <c r="I187" s="46">
        <v>0</v>
      </c>
      <c r="J187" s="46">
        <v>22800</v>
      </c>
      <c r="K187" s="46">
        <f t="shared" si="42"/>
        <v>0</v>
      </c>
      <c r="L187" s="55"/>
      <c r="M187" s="45">
        <f t="shared" si="43"/>
        <v>6250</v>
      </c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 x14ac:dyDescent="0.25">
      <c r="A188" s="41" t="s">
        <v>183</v>
      </c>
      <c r="B188" s="41" t="s">
        <v>53</v>
      </c>
      <c r="C188" s="42" t="s">
        <v>184</v>
      </c>
      <c r="D188" s="41" t="s">
        <v>4</v>
      </c>
      <c r="E188" s="46">
        <v>12500</v>
      </c>
      <c r="F188" s="46">
        <f t="shared" si="44"/>
        <v>0</v>
      </c>
      <c r="G188" s="46">
        <v>0</v>
      </c>
      <c r="H188" s="46">
        <v>12500</v>
      </c>
      <c r="I188" s="46">
        <v>0</v>
      </c>
      <c r="J188" s="46">
        <v>0</v>
      </c>
      <c r="K188" s="46">
        <f t="shared" si="42"/>
        <v>0</v>
      </c>
      <c r="L188" s="55"/>
      <c r="M188" s="45">
        <f t="shared" si="43"/>
        <v>6250</v>
      </c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 x14ac:dyDescent="0.25">
      <c r="A189" s="40"/>
      <c r="B189" s="40"/>
      <c r="C189" s="48"/>
      <c r="D189" s="40"/>
      <c r="E189" s="49">
        <f t="shared" ref="E189:K189" si="45">SUM(E172:E188)</f>
        <v>152000</v>
      </c>
      <c r="F189" s="49">
        <f t="shared" si="45"/>
        <v>595</v>
      </c>
      <c r="G189" s="49">
        <f t="shared" si="45"/>
        <v>0</v>
      </c>
      <c r="H189" s="49">
        <f t="shared" si="45"/>
        <v>204806</v>
      </c>
      <c r="I189" s="49">
        <f t="shared" si="45"/>
        <v>0</v>
      </c>
      <c r="J189" s="49">
        <f t="shared" si="45"/>
        <v>63401</v>
      </c>
      <c r="K189" s="49">
        <f t="shared" si="45"/>
        <v>10000</v>
      </c>
      <c r="L189" s="55"/>
      <c r="M189" s="45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 x14ac:dyDescent="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45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 x14ac:dyDescent="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45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 x14ac:dyDescent="0.25">
      <c r="A192" s="39" t="s">
        <v>192</v>
      </c>
      <c r="B192" s="39">
        <v>5000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45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 x14ac:dyDescent="0.25">
      <c r="A193" s="39" t="s">
        <v>193</v>
      </c>
      <c r="B193" s="39">
        <v>10000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45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 x14ac:dyDescent="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45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 x14ac:dyDescent="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45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 x14ac:dyDescent="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45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 x14ac:dyDescent="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45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 x14ac:dyDescent="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45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 x14ac:dyDescent="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45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 x14ac:dyDescent="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45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 x14ac:dyDescent="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45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 x14ac:dyDescent="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56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 x14ac:dyDescent="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45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 x14ac:dyDescent="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45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 x14ac:dyDescent="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45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 x14ac:dyDescent="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45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 x14ac:dyDescent="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45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 x14ac:dyDescent="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45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 x14ac:dyDescent="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5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 x14ac:dyDescent="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45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 x14ac:dyDescent="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45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 x14ac:dyDescent="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45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 x14ac:dyDescent="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45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 x14ac:dyDescent="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45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 x14ac:dyDescent="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45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 x14ac:dyDescent="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45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 x14ac:dyDescent="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45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 x14ac:dyDescent="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45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 x14ac:dyDescent="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45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 x14ac:dyDescent="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45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45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 x14ac:dyDescent="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45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 x14ac:dyDescent="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45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 x14ac:dyDescent="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45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 x14ac:dyDescent="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45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 x14ac:dyDescent="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45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 x14ac:dyDescent="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45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 x14ac:dyDescent="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45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 x14ac:dyDescent="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45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 x14ac:dyDescent="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45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 x14ac:dyDescent="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45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 x14ac:dyDescent="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45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 x14ac:dyDescent="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45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 x14ac:dyDescent="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45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 x14ac:dyDescent="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45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 x14ac:dyDescent="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45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 x14ac:dyDescent="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45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 x14ac:dyDescent="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5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 x14ac:dyDescent="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45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 x14ac:dyDescent="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45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 x14ac:dyDescent="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45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 x14ac:dyDescent="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45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 x14ac:dyDescent="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45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 x14ac:dyDescent="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45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45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45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 x14ac:dyDescent="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45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 x14ac:dyDescent="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45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 x14ac:dyDescent="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45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 x14ac:dyDescent="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45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 x14ac:dyDescent="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45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 x14ac:dyDescent="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45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 x14ac:dyDescent="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45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 x14ac:dyDescent="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45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 x14ac:dyDescent="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45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 x14ac:dyDescent="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45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 x14ac:dyDescent="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45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 x14ac:dyDescent="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45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 x14ac:dyDescent="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45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 x14ac:dyDescent="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45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 x14ac:dyDescent="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45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 x14ac:dyDescent="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45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 x14ac:dyDescent="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45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 x14ac:dyDescent="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45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 x14ac:dyDescent="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45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 x14ac:dyDescent="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45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 x14ac:dyDescent="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5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 x14ac:dyDescent="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45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 x14ac:dyDescent="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45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 x14ac:dyDescent="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45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 x14ac:dyDescent="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45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 x14ac:dyDescent="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45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 x14ac:dyDescent="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45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 x14ac:dyDescent="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45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 x14ac:dyDescent="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45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 x14ac:dyDescent="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45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 x14ac:dyDescent="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45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 x14ac:dyDescent="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45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 x14ac:dyDescent="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45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 x14ac:dyDescent="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45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 x14ac:dyDescent="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45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 x14ac:dyDescent="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45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 x14ac:dyDescent="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45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 x14ac:dyDescent="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45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 x14ac:dyDescent="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45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 x14ac:dyDescent="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45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 x14ac:dyDescent="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45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 x14ac:dyDescent="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45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 x14ac:dyDescent="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45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 x14ac:dyDescent="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45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 x14ac:dyDescent="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45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 x14ac:dyDescent="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45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 x14ac:dyDescent="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45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 x14ac:dyDescent="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45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 x14ac:dyDescent="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45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 x14ac:dyDescent="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5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 x14ac:dyDescent="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45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 x14ac:dyDescent="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45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 x14ac:dyDescent="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45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 x14ac:dyDescent="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45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 x14ac:dyDescent="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45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 x14ac:dyDescent="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45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 x14ac:dyDescent="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45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 x14ac:dyDescent="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45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 x14ac:dyDescent="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45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 x14ac:dyDescent="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45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 x14ac:dyDescent="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45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 x14ac:dyDescent="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45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 x14ac:dyDescent="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45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 x14ac:dyDescent="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45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 x14ac:dyDescent="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45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 x14ac:dyDescent="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45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 x14ac:dyDescent="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45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 x14ac:dyDescent="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45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 x14ac:dyDescent="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45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 x14ac:dyDescent="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45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 x14ac:dyDescent="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45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 x14ac:dyDescent="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45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 x14ac:dyDescent="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45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 x14ac:dyDescent="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45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 x14ac:dyDescent="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45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 x14ac:dyDescent="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45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 x14ac:dyDescent="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45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 x14ac:dyDescent="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45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 x14ac:dyDescent="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5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 x14ac:dyDescent="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45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 x14ac:dyDescent="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45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 x14ac:dyDescent="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45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 x14ac:dyDescent="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45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 x14ac:dyDescent="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45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 x14ac:dyDescent="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45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 x14ac:dyDescent="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45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 x14ac:dyDescent="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45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 x14ac:dyDescent="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45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 x14ac:dyDescent="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45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 x14ac:dyDescent="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45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 x14ac:dyDescent="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45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 x14ac:dyDescent="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45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 x14ac:dyDescent="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45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 x14ac:dyDescent="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45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 x14ac:dyDescent="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45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 x14ac:dyDescent="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45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 x14ac:dyDescent="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45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 x14ac:dyDescent="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45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 x14ac:dyDescent="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45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 x14ac:dyDescent="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45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 x14ac:dyDescent="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45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 x14ac:dyDescent="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45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 x14ac:dyDescent="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45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 x14ac:dyDescent="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45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 x14ac:dyDescent="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45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 x14ac:dyDescent="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45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 x14ac:dyDescent="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45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 x14ac:dyDescent="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45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 x14ac:dyDescent="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45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 x14ac:dyDescent="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45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 x14ac:dyDescent="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45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 x14ac:dyDescent="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45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 x14ac:dyDescent="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45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 x14ac:dyDescent="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45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 x14ac:dyDescent="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45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 x14ac:dyDescent="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45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 x14ac:dyDescent="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45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 x14ac:dyDescent="0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45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 x14ac:dyDescent="0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45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 x14ac:dyDescent="0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45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 x14ac:dyDescent="0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45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 x14ac:dyDescent="0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45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 x14ac:dyDescent="0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45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 x14ac:dyDescent="0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45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 x14ac:dyDescent="0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45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 x14ac:dyDescent="0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45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 x14ac:dyDescent="0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45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 x14ac:dyDescent="0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45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 x14ac:dyDescent="0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45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 x14ac:dyDescent="0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45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 x14ac:dyDescent="0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45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 x14ac:dyDescent="0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45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 x14ac:dyDescent="0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45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 x14ac:dyDescent="0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45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 x14ac:dyDescent="0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45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 x14ac:dyDescent="0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45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 x14ac:dyDescent="0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45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 x14ac:dyDescent="0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45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 x14ac:dyDescent="0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45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 x14ac:dyDescent="0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45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 x14ac:dyDescent="0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45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 x14ac:dyDescent="0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45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 x14ac:dyDescent="0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45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 x14ac:dyDescent="0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45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 x14ac:dyDescent="0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45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 x14ac:dyDescent="0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45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 x14ac:dyDescent="0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45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 x14ac:dyDescent="0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45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 x14ac:dyDescent="0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45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 x14ac:dyDescent="0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45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 x14ac:dyDescent="0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45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 x14ac:dyDescent="0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45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 x14ac:dyDescent="0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45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 x14ac:dyDescent="0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45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 x14ac:dyDescent="0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45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 x14ac:dyDescent="0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45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 x14ac:dyDescent="0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45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 x14ac:dyDescent="0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45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 x14ac:dyDescent="0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45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 x14ac:dyDescent="0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45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 x14ac:dyDescent="0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45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 x14ac:dyDescent="0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45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 x14ac:dyDescent="0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45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 x14ac:dyDescent="0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45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 x14ac:dyDescent="0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45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 x14ac:dyDescent="0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45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 x14ac:dyDescent="0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45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 x14ac:dyDescent="0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45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 x14ac:dyDescent="0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45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 x14ac:dyDescent="0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45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 x14ac:dyDescent="0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45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 x14ac:dyDescent="0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45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 x14ac:dyDescent="0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45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 x14ac:dyDescent="0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45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 x14ac:dyDescent="0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45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 x14ac:dyDescent="0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45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 x14ac:dyDescent="0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45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 x14ac:dyDescent="0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45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 x14ac:dyDescent="0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45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 x14ac:dyDescent="0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45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 x14ac:dyDescent="0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45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 x14ac:dyDescent="0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45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 x14ac:dyDescent="0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45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 x14ac:dyDescent="0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45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 x14ac:dyDescent="0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45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 x14ac:dyDescent="0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45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 x14ac:dyDescent="0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45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 x14ac:dyDescent="0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45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 x14ac:dyDescent="0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45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 x14ac:dyDescent="0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45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 x14ac:dyDescent="0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45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 x14ac:dyDescent="0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45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 x14ac:dyDescent="0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45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 x14ac:dyDescent="0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45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 x14ac:dyDescent="0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45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 x14ac:dyDescent="0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45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 x14ac:dyDescent="0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45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 x14ac:dyDescent="0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45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 x14ac:dyDescent="0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45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 x14ac:dyDescent="0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45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 x14ac:dyDescent="0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45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 x14ac:dyDescent="0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45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 x14ac:dyDescent="0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45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 x14ac:dyDescent="0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45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 x14ac:dyDescent="0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45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 x14ac:dyDescent="0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45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 x14ac:dyDescent="0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45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 x14ac:dyDescent="0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45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 x14ac:dyDescent="0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45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 x14ac:dyDescent="0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45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 x14ac:dyDescent="0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45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 x14ac:dyDescent="0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45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 x14ac:dyDescent="0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45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 x14ac:dyDescent="0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45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 x14ac:dyDescent="0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45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 x14ac:dyDescent="0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45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 x14ac:dyDescent="0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45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 x14ac:dyDescent="0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45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 x14ac:dyDescent="0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45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 x14ac:dyDescent="0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45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 x14ac:dyDescent="0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45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 x14ac:dyDescent="0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45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 x14ac:dyDescent="0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45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 x14ac:dyDescent="0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45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 x14ac:dyDescent="0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45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 x14ac:dyDescent="0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45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 x14ac:dyDescent="0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45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 x14ac:dyDescent="0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45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 x14ac:dyDescent="0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45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 x14ac:dyDescent="0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45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 x14ac:dyDescent="0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45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 x14ac:dyDescent="0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45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 x14ac:dyDescent="0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45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 x14ac:dyDescent="0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45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 x14ac:dyDescent="0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45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 x14ac:dyDescent="0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45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 x14ac:dyDescent="0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45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 x14ac:dyDescent="0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45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 x14ac:dyDescent="0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45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 x14ac:dyDescent="0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45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 x14ac:dyDescent="0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45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 x14ac:dyDescent="0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45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 x14ac:dyDescent="0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45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 x14ac:dyDescent="0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45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 x14ac:dyDescent="0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45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 x14ac:dyDescent="0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45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 x14ac:dyDescent="0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45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 x14ac:dyDescent="0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45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 x14ac:dyDescent="0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45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 x14ac:dyDescent="0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45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 x14ac:dyDescent="0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45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 x14ac:dyDescent="0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45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 x14ac:dyDescent="0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45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 x14ac:dyDescent="0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45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 x14ac:dyDescent="0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45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 x14ac:dyDescent="0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45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 x14ac:dyDescent="0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45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 x14ac:dyDescent="0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45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 x14ac:dyDescent="0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45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 x14ac:dyDescent="0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45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 x14ac:dyDescent="0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45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 x14ac:dyDescent="0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45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 x14ac:dyDescent="0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45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 x14ac:dyDescent="0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45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 x14ac:dyDescent="0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45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 x14ac:dyDescent="0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45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 x14ac:dyDescent="0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45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 x14ac:dyDescent="0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45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 x14ac:dyDescent="0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45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 x14ac:dyDescent="0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45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 x14ac:dyDescent="0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45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 x14ac:dyDescent="0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45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 x14ac:dyDescent="0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45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 x14ac:dyDescent="0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45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 x14ac:dyDescent="0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45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 x14ac:dyDescent="0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45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 x14ac:dyDescent="0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45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 x14ac:dyDescent="0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45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 x14ac:dyDescent="0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45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 x14ac:dyDescent="0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45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 x14ac:dyDescent="0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45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 x14ac:dyDescent="0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45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 x14ac:dyDescent="0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45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 x14ac:dyDescent="0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45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 x14ac:dyDescent="0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45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 x14ac:dyDescent="0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45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 x14ac:dyDescent="0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45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 x14ac:dyDescent="0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45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 x14ac:dyDescent="0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45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 x14ac:dyDescent="0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45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 x14ac:dyDescent="0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45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 x14ac:dyDescent="0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45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 x14ac:dyDescent="0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45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 x14ac:dyDescent="0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45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 x14ac:dyDescent="0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45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 x14ac:dyDescent="0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45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 x14ac:dyDescent="0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45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 x14ac:dyDescent="0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45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 x14ac:dyDescent="0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45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 x14ac:dyDescent="0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45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 x14ac:dyDescent="0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45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 x14ac:dyDescent="0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45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 x14ac:dyDescent="0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45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 x14ac:dyDescent="0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45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 x14ac:dyDescent="0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45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 x14ac:dyDescent="0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45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 x14ac:dyDescent="0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45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 x14ac:dyDescent="0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45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 x14ac:dyDescent="0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45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 x14ac:dyDescent="0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45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 x14ac:dyDescent="0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45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 x14ac:dyDescent="0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45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 x14ac:dyDescent="0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45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 x14ac:dyDescent="0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45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 x14ac:dyDescent="0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45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 x14ac:dyDescent="0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45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 x14ac:dyDescent="0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45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 x14ac:dyDescent="0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45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 x14ac:dyDescent="0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45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 x14ac:dyDescent="0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45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 x14ac:dyDescent="0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45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 x14ac:dyDescent="0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45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 x14ac:dyDescent="0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45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 x14ac:dyDescent="0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45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 x14ac:dyDescent="0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45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 x14ac:dyDescent="0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45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 x14ac:dyDescent="0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45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 x14ac:dyDescent="0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45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 x14ac:dyDescent="0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45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 x14ac:dyDescent="0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45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 x14ac:dyDescent="0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45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 x14ac:dyDescent="0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45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 x14ac:dyDescent="0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45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 x14ac:dyDescent="0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45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 x14ac:dyDescent="0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45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 x14ac:dyDescent="0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45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 x14ac:dyDescent="0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45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 x14ac:dyDescent="0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45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 x14ac:dyDescent="0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45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 x14ac:dyDescent="0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45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 x14ac:dyDescent="0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45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 x14ac:dyDescent="0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45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 x14ac:dyDescent="0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45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 x14ac:dyDescent="0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45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 x14ac:dyDescent="0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45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 x14ac:dyDescent="0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45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 x14ac:dyDescent="0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45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 x14ac:dyDescent="0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45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 x14ac:dyDescent="0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45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 x14ac:dyDescent="0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45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 x14ac:dyDescent="0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45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 x14ac:dyDescent="0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45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 x14ac:dyDescent="0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45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 x14ac:dyDescent="0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45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 x14ac:dyDescent="0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45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 x14ac:dyDescent="0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45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 x14ac:dyDescent="0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45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 x14ac:dyDescent="0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45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 x14ac:dyDescent="0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45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 x14ac:dyDescent="0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45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 x14ac:dyDescent="0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45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 x14ac:dyDescent="0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45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 x14ac:dyDescent="0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45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 x14ac:dyDescent="0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45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 x14ac:dyDescent="0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45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 x14ac:dyDescent="0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45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 x14ac:dyDescent="0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45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 x14ac:dyDescent="0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45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 x14ac:dyDescent="0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5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 x14ac:dyDescent="0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45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 x14ac:dyDescent="0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45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 x14ac:dyDescent="0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45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 x14ac:dyDescent="0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45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 x14ac:dyDescent="0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45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 x14ac:dyDescent="0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45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 x14ac:dyDescent="0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45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 x14ac:dyDescent="0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45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 x14ac:dyDescent="0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45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 x14ac:dyDescent="0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45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 x14ac:dyDescent="0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45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 x14ac:dyDescent="0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45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 x14ac:dyDescent="0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45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 x14ac:dyDescent="0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45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 x14ac:dyDescent="0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45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 x14ac:dyDescent="0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45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 x14ac:dyDescent="0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45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 x14ac:dyDescent="0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45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 x14ac:dyDescent="0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45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 x14ac:dyDescent="0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45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 x14ac:dyDescent="0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45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 x14ac:dyDescent="0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45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 x14ac:dyDescent="0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45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 x14ac:dyDescent="0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45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 x14ac:dyDescent="0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45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 x14ac:dyDescent="0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45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 x14ac:dyDescent="0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45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 x14ac:dyDescent="0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45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 x14ac:dyDescent="0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5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 x14ac:dyDescent="0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45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 x14ac:dyDescent="0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45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 x14ac:dyDescent="0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45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 x14ac:dyDescent="0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45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 x14ac:dyDescent="0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45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 x14ac:dyDescent="0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45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 x14ac:dyDescent="0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45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 x14ac:dyDescent="0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45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 x14ac:dyDescent="0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45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 x14ac:dyDescent="0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45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 x14ac:dyDescent="0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45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 x14ac:dyDescent="0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45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 x14ac:dyDescent="0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45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 x14ac:dyDescent="0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45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 x14ac:dyDescent="0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45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 x14ac:dyDescent="0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45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 x14ac:dyDescent="0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45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 x14ac:dyDescent="0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45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 x14ac:dyDescent="0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45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 x14ac:dyDescent="0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45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 x14ac:dyDescent="0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45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 x14ac:dyDescent="0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45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 x14ac:dyDescent="0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45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 x14ac:dyDescent="0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45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 x14ac:dyDescent="0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45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 x14ac:dyDescent="0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45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 x14ac:dyDescent="0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45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 x14ac:dyDescent="0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45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 x14ac:dyDescent="0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5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 x14ac:dyDescent="0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45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 x14ac:dyDescent="0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45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 x14ac:dyDescent="0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45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 x14ac:dyDescent="0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45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 x14ac:dyDescent="0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45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 x14ac:dyDescent="0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45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 x14ac:dyDescent="0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45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 x14ac:dyDescent="0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45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 x14ac:dyDescent="0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45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 x14ac:dyDescent="0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45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 x14ac:dyDescent="0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45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 x14ac:dyDescent="0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45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 x14ac:dyDescent="0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45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 x14ac:dyDescent="0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45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 x14ac:dyDescent="0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45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 x14ac:dyDescent="0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45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 x14ac:dyDescent="0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45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 x14ac:dyDescent="0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45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 x14ac:dyDescent="0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45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 x14ac:dyDescent="0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45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 x14ac:dyDescent="0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45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 x14ac:dyDescent="0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45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 x14ac:dyDescent="0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45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 x14ac:dyDescent="0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45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 x14ac:dyDescent="0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45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 x14ac:dyDescent="0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45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 x14ac:dyDescent="0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45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 x14ac:dyDescent="0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45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 x14ac:dyDescent="0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5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 x14ac:dyDescent="0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45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 x14ac:dyDescent="0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45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 x14ac:dyDescent="0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45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 x14ac:dyDescent="0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45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 x14ac:dyDescent="0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45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 x14ac:dyDescent="0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45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 x14ac:dyDescent="0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45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 x14ac:dyDescent="0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45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 x14ac:dyDescent="0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45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 x14ac:dyDescent="0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45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 x14ac:dyDescent="0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45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 x14ac:dyDescent="0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45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 x14ac:dyDescent="0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45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 x14ac:dyDescent="0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45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 x14ac:dyDescent="0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45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 x14ac:dyDescent="0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45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 x14ac:dyDescent="0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45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 x14ac:dyDescent="0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45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 x14ac:dyDescent="0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45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 x14ac:dyDescent="0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45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 x14ac:dyDescent="0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45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 x14ac:dyDescent="0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45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 x14ac:dyDescent="0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45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 x14ac:dyDescent="0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45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 x14ac:dyDescent="0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45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 x14ac:dyDescent="0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45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 x14ac:dyDescent="0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45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 x14ac:dyDescent="0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45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 x14ac:dyDescent="0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45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 x14ac:dyDescent="0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45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 x14ac:dyDescent="0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45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 x14ac:dyDescent="0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45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 x14ac:dyDescent="0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45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 x14ac:dyDescent="0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45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 x14ac:dyDescent="0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45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 x14ac:dyDescent="0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45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 x14ac:dyDescent="0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45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 x14ac:dyDescent="0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45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 x14ac:dyDescent="0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45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 x14ac:dyDescent="0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45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 x14ac:dyDescent="0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45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 x14ac:dyDescent="0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45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 x14ac:dyDescent="0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45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 x14ac:dyDescent="0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45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 x14ac:dyDescent="0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45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 x14ac:dyDescent="0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45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 x14ac:dyDescent="0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45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 x14ac:dyDescent="0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45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 x14ac:dyDescent="0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45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 x14ac:dyDescent="0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45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 x14ac:dyDescent="0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45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 x14ac:dyDescent="0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45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 x14ac:dyDescent="0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45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 x14ac:dyDescent="0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45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 x14ac:dyDescent="0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45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 x14ac:dyDescent="0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45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 x14ac:dyDescent="0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45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 x14ac:dyDescent="0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45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 x14ac:dyDescent="0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45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 x14ac:dyDescent="0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45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 x14ac:dyDescent="0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45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 x14ac:dyDescent="0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45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 x14ac:dyDescent="0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45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 x14ac:dyDescent="0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45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 x14ac:dyDescent="0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45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 x14ac:dyDescent="0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45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 x14ac:dyDescent="0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45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 x14ac:dyDescent="0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45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 x14ac:dyDescent="0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45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 x14ac:dyDescent="0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45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 x14ac:dyDescent="0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45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 x14ac:dyDescent="0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45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 x14ac:dyDescent="0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45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 x14ac:dyDescent="0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45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 x14ac:dyDescent="0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45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 x14ac:dyDescent="0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45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 x14ac:dyDescent="0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45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 x14ac:dyDescent="0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45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 x14ac:dyDescent="0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45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 x14ac:dyDescent="0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45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 x14ac:dyDescent="0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45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 x14ac:dyDescent="0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45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 x14ac:dyDescent="0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45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 x14ac:dyDescent="0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45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 x14ac:dyDescent="0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45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 x14ac:dyDescent="0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45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 x14ac:dyDescent="0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45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 x14ac:dyDescent="0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45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 x14ac:dyDescent="0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45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 x14ac:dyDescent="0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45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 x14ac:dyDescent="0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45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 x14ac:dyDescent="0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45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 x14ac:dyDescent="0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45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 x14ac:dyDescent="0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45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 x14ac:dyDescent="0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45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 x14ac:dyDescent="0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45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 x14ac:dyDescent="0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45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 x14ac:dyDescent="0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45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 x14ac:dyDescent="0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45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 x14ac:dyDescent="0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45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 x14ac:dyDescent="0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45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 x14ac:dyDescent="0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45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 x14ac:dyDescent="0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45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 x14ac:dyDescent="0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45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 x14ac:dyDescent="0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45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 x14ac:dyDescent="0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45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 x14ac:dyDescent="0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45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 x14ac:dyDescent="0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45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 x14ac:dyDescent="0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45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 x14ac:dyDescent="0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45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 x14ac:dyDescent="0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45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 x14ac:dyDescent="0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45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 x14ac:dyDescent="0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45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 x14ac:dyDescent="0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45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 x14ac:dyDescent="0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45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 x14ac:dyDescent="0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45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 x14ac:dyDescent="0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45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 x14ac:dyDescent="0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45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 x14ac:dyDescent="0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45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 x14ac:dyDescent="0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45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 x14ac:dyDescent="0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45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 x14ac:dyDescent="0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45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 x14ac:dyDescent="0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45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 x14ac:dyDescent="0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45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 x14ac:dyDescent="0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45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 x14ac:dyDescent="0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45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 x14ac:dyDescent="0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45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 x14ac:dyDescent="0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45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 x14ac:dyDescent="0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45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 x14ac:dyDescent="0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45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 x14ac:dyDescent="0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45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 x14ac:dyDescent="0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45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 x14ac:dyDescent="0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45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 x14ac:dyDescent="0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45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 x14ac:dyDescent="0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45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 x14ac:dyDescent="0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45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 x14ac:dyDescent="0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45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 x14ac:dyDescent="0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45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 x14ac:dyDescent="0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45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 x14ac:dyDescent="0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45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 x14ac:dyDescent="0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45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 x14ac:dyDescent="0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45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 x14ac:dyDescent="0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45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 x14ac:dyDescent="0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45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 x14ac:dyDescent="0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45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 x14ac:dyDescent="0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45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 x14ac:dyDescent="0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45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 x14ac:dyDescent="0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45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 x14ac:dyDescent="0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45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 x14ac:dyDescent="0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45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 x14ac:dyDescent="0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45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 x14ac:dyDescent="0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45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 x14ac:dyDescent="0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45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 x14ac:dyDescent="0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45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 x14ac:dyDescent="0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45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 x14ac:dyDescent="0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45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 x14ac:dyDescent="0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45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 x14ac:dyDescent="0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45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 x14ac:dyDescent="0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45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 x14ac:dyDescent="0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45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 x14ac:dyDescent="0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45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 x14ac:dyDescent="0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45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 x14ac:dyDescent="0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45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 x14ac:dyDescent="0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45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 x14ac:dyDescent="0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45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 x14ac:dyDescent="0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45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 x14ac:dyDescent="0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45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 x14ac:dyDescent="0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45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 x14ac:dyDescent="0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45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 x14ac:dyDescent="0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45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 x14ac:dyDescent="0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45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 x14ac:dyDescent="0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45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 x14ac:dyDescent="0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45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 x14ac:dyDescent="0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45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 x14ac:dyDescent="0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45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 x14ac:dyDescent="0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45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 x14ac:dyDescent="0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45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 x14ac:dyDescent="0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45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 x14ac:dyDescent="0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45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 x14ac:dyDescent="0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45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 x14ac:dyDescent="0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45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 x14ac:dyDescent="0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45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 x14ac:dyDescent="0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45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 x14ac:dyDescent="0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45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 x14ac:dyDescent="0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45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 x14ac:dyDescent="0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45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 x14ac:dyDescent="0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45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 x14ac:dyDescent="0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45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 x14ac:dyDescent="0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45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 x14ac:dyDescent="0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45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 x14ac:dyDescent="0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45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 x14ac:dyDescent="0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45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 x14ac:dyDescent="0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45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 x14ac:dyDescent="0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45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 x14ac:dyDescent="0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45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 x14ac:dyDescent="0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45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 x14ac:dyDescent="0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45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 x14ac:dyDescent="0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45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 x14ac:dyDescent="0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45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 x14ac:dyDescent="0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45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 x14ac:dyDescent="0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45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 x14ac:dyDescent="0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45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 x14ac:dyDescent="0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45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 x14ac:dyDescent="0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45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 x14ac:dyDescent="0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45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 x14ac:dyDescent="0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45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 x14ac:dyDescent="0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45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 x14ac:dyDescent="0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45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 x14ac:dyDescent="0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45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 x14ac:dyDescent="0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45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 x14ac:dyDescent="0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45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 x14ac:dyDescent="0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45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 x14ac:dyDescent="0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45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 x14ac:dyDescent="0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45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 x14ac:dyDescent="0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45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 x14ac:dyDescent="0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45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 x14ac:dyDescent="0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45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 x14ac:dyDescent="0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45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 x14ac:dyDescent="0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45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 x14ac:dyDescent="0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45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 x14ac:dyDescent="0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45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 x14ac:dyDescent="0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45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 x14ac:dyDescent="0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45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 x14ac:dyDescent="0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45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 x14ac:dyDescent="0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45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 x14ac:dyDescent="0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45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 x14ac:dyDescent="0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45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 x14ac:dyDescent="0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45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 x14ac:dyDescent="0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45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 x14ac:dyDescent="0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45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 x14ac:dyDescent="0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45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 x14ac:dyDescent="0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45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 x14ac:dyDescent="0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45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 x14ac:dyDescent="0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45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 x14ac:dyDescent="0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45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 x14ac:dyDescent="0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45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 x14ac:dyDescent="0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45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 x14ac:dyDescent="0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45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 x14ac:dyDescent="0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45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 x14ac:dyDescent="0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45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 x14ac:dyDescent="0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45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 x14ac:dyDescent="0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45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 x14ac:dyDescent="0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45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 x14ac:dyDescent="0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45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 x14ac:dyDescent="0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45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 x14ac:dyDescent="0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45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 x14ac:dyDescent="0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45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 x14ac:dyDescent="0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45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 x14ac:dyDescent="0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45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 x14ac:dyDescent="0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45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 x14ac:dyDescent="0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45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 x14ac:dyDescent="0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45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 x14ac:dyDescent="0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45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 x14ac:dyDescent="0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45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 x14ac:dyDescent="0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45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 x14ac:dyDescent="0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45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 x14ac:dyDescent="0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45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 x14ac:dyDescent="0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45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 x14ac:dyDescent="0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45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 x14ac:dyDescent="0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45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 x14ac:dyDescent="0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45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 x14ac:dyDescent="0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45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 x14ac:dyDescent="0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45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 x14ac:dyDescent="0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45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 x14ac:dyDescent="0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45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 x14ac:dyDescent="0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45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 x14ac:dyDescent="0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45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 x14ac:dyDescent="0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45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 x14ac:dyDescent="0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45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 x14ac:dyDescent="0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45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 x14ac:dyDescent="0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45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 x14ac:dyDescent="0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45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 x14ac:dyDescent="0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45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 x14ac:dyDescent="0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45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 x14ac:dyDescent="0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45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 x14ac:dyDescent="0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45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 x14ac:dyDescent="0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45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 x14ac:dyDescent="0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45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 x14ac:dyDescent="0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45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 x14ac:dyDescent="0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45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 x14ac:dyDescent="0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45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 x14ac:dyDescent="0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45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 x14ac:dyDescent="0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45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 x14ac:dyDescent="0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45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 x14ac:dyDescent="0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45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 x14ac:dyDescent="0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45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 x14ac:dyDescent="0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45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 x14ac:dyDescent="0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45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 x14ac:dyDescent="0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45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 x14ac:dyDescent="0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45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 x14ac:dyDescent="0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45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 x14ac:dyDescent="0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45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 x14ac:dyDescent="0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45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 x14ac:dyDescent="0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45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 x14ac:dyDescent="0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45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 x14ac:dyDescent="0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45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 x14ac:dyDescent="0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45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 x14ac:dyDescent="0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45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4.25" customHeight="1" x14ac:dyDescent="0.25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45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36.5703125" customWidth="1"/>
    <col min="2" max="2" width="11.140625" customWidth="1"/>
    <col min="3" max="3" width="18.85546875" customWidth="1"/>
    <col min="4" max="4" width="14.7109375" customWidth="1"/>
    <col min="5" max="5" width="20.85546875" customWidth="1"/>
    <col min="6" max="6" width="17.7109375" customWidth="1"/>
    <col min="7" max="7" width="14.7109375" customWidth="1"/>
    <col min="8" max="8" width="16.42578125" customWidth="1"/>
    <col min="9" max="9" width="14.7109375" customWidth="1"/>
    <col min="10" max="10" width="19" customWidth="1"/>
    <col min="11" max="11" width="12.42578125" customWidth="1"/>
    <col min="12" max="12" width="8.7109375" customWidth="1"/>
    <col min="13" max="13" width="12.5703125" customWidth="1"/>
    <col min="14" max="25" width="8.7109375" customWidth="1"/>
  </cols>
  <sheetData>
    <row r="1" spans="1:25" ht="1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1" t="s">
        <v>133</v>
      </c>
      <c r="G1" s="31" t="s">
        <v>8</v>
      </c>
      <c r="H1" s="32" t="s">
        <v>134</v>
      </c>
      <c r="I1" s="33" t="s">
        <v>10</v>
      </c>
      <c r="J1" s="34" t="s">
        <v>11</v>
      </c>
      <c r="K1" s="35" t="s">
        <v>135</v>
      </c>
      <c r="L1" s="36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  <c r="Y1" s="39"/>
    </row>
    <row r="2" spans="1:25" ht="1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41"/>
      <c r="K2" s="55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15" customHeight="1" x14ac:dyDescent="0.25">
      <c r="A3" s="41" t="s">
        <v>172</v>
      </c>
      <c r="B3" s="41" t="s">
        <v>35</v>
      </c>
      <c r="C3" s="42" t="s">
        <v>129</v>
      </c>
      <c r="D3" s="46">
        <v>15000</v>
      </c>
      <c r="E3" s="46">
        <f t="shared" ref="E3:E18" si="0">D3*0.01</f>
        <v>150</v>
      </c>
      <c r="F3" s="46">
        <v>0</v>
      </c>
      <c r="G3" s="46">
        <v>15000</v>
      </c>
      <c r="H3" s="46">
        <v>0</v>
      </c>
      <c r="I3" s="46">
        <v>0</v>
      </c>
      <c r="J3" s="46">
        <f t="shared" ref="J3:J18" si="1">D3-SUM(E3:G3)+SUM(H3:I3)</f>
        <v>-150</v>
      </c>
      <c r="K3" s="55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ht="15" customHeight="1" x14ac:dyDescent="0.25">
      <c r="A4" s="41" t="s">
        <v>173</v>
      </c>
      <c r="B4" s="41" t="s">
        <v>53</v>
      </c>
      <c r="C4" s="42" t="s">
        <v>174</v>
      </c>
      <c r="D4" s="46">
        <v>20000</v>
      </c>
      <c r="E4" s="46">
        <f t="shared" si="0"/>
        <v>200</v>
      </c>
      <c r="F4" s="46">
        <v>0</v>
      </c>
      <c r="G4" s="46">
        <v>22500</v>
      </c>
      <c r="H4" s="46">
        <v>0</v>
      </c>
      <c r="I4" s="46">
        <v>0</v>
      </c>
      <c r="J4" s="46">
        <f t="shared" si="1"/>
        <v>-2700</v>
      </c>
      <c r="K4" s="55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spans="1:25" ht="15" customHeight="1" x14ac:dyDescent="0.25">
      <c r="A5" s="41" t="s">
        <v>176</v>
      </c>
      <c r="B5" s="41" t="s">
        <v>35</v>
      </c>
      <c r="C5" s="42" t="s">
        <v>177</v>
      </c>
      <c r="D5" s="46">
        <v>20000</v>
      </c>
      <c r="E5" s="46">
        <f t="shared" si="0"/>
        <v>200</v>
      </c>
      <c r="F5" s="46">
        <v>0</v>
      </c>
      <c r="G5" s="46">
        <v>20000</v>
      </c>
      <c r="H5" s="46">
        <v>0</v>
      </c>
      <c r="I5" s="46">
        <v>0</v>
      </c>
      <c r="J5" s="46">
        <f t="shared" si="1"/>
        <v>-200</v>
      </c>
      <c r="K5" s="55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25" ht="15" customHeight="1" x14ac:dyDescent="0.25">
      <c r="A6" s="41" t="s">
        <v>146</v>
      </c>
      <c r="B6" s="41"/>
      <c r="C6" s="42"/>
      <c r="D6" s="46">
        <v>10000</v>
      </c>
      <c r="E6" s="46">
        <f t="shared" si="0"/>
        <v>100</v>
      </c>
      <c r="F6" s="46">
        <v>0</v>
      </c>
      <c r="G6" s="46">
        <v>10000</v>
      </c>
      <c r="H6" s="46">
        <v>0</v>
      </c>
      <c r="I6" s="46">
        <v>0</v>
      </c>
      <c r="J6" s="46">
        <f t="shared" si="1"/>
        <v>-100</v>
      </c>
      <c r="K6" s="55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5" ht="15" customHeight="1" x14ac:dyDescent="0.25">
      <c r="A7" s="41" t="s">
        <v>148</v>
      </c>
      <c r="B7" s="41" t="s">
        <v>15</v>
      </c>
      <c r="C7" s="54" t="s">
        <v>180</v>
      </c>
      <c r="D7" s="46">
        <v>12000</v>
      </c>
      <c r="E7" s="46">
        <f t="shared" si="0"/>
        <v>120</v>
      </c>
      <c r="F7" s="46">
        <v>0</v>
      </c>
      <c r="G7" s="46">
        <v>12000</v>
      </c>
      <c r="H7" s="46">
        <v>0</v>
      </c>
      <c r="I7" s="46">
        <v>0</v>
      </c>
      <c r="J7" s="46">
        <f t="shared" si="1"/>
        <v>-120</v>
      </c>
      <c r="K7" s="55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 ht="15" customHeight="1" x14ac:dyDescent="0.25">
      <c r="A8" s="41" t="s">
        <v>188</v>
      </c>
      <c r="B8" s="41" t="s">
        <v>23</v>
      </c>
      <c r="C8" s="42" t="s">
        <v>189</v>
      </c>
      <c r="D8" s="46">
        <v>25000</v>
      </c>
      <c r="E8" s="46">
        <f t="shared" si="0"/>
        <v>250</v>
      </c>
      <c r="F8" s="46">
        <v>0</v>
      </c>
      <c r="G8" s="46">
        <v>25000</v>
      </c>
      <c r="H8" s="46">
        <v>0</v>
      </c>
      <c r="I8" s="46">
        <v>0</v>
      </c>
      <c r="J8" s="46">
        <f t="shared" si="1"/>
        <v>-250</v>
      </c>
      <c r="K8" s="55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spans="1:25" ht="15" customHeight="1" x14ac:dyDescent="0.25">
      <c r="A9" s="41" t="s">
        <v>183</v>
      </c>
      <c r="B9" s="41" t="s">
        <v>53</v>
      </c>
      <c r="C9" s="42" t="s">
        <v>184</v>
      </c>
      <c r="D9" s="46">
        <v>25000</v>
      </c>
      <c r="E9" s="46">
        <f t="shared" si="0"/>
        <v>250</v>
      </c>
      <c r="F9" s="46">
        <v>0</v>
      </c>
      <c r="G9" s="46">
        <v>25000</v>
      </c>
      <c r="H9" s="46">
        <v>0</v>
      </c>
      <c r="I9" s="46">
        <v>0</v>
      </c>
      <c r="J9" s="46">
        <f t="shared" si="1"/>
        <v>-250</v>
      </c>
      <c r="K9" s="55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spans="1:25" ht="15" customHeight="1" x14ac:dyDescent="0.25">
      <c r="A10" s="41" t="s">
        <v>161</v>
      </c>
      <c r="B10" s="41" t="s">
        <v>162</v>
      </c>
      <c r="C10" s="42" t="s">
        <v>163</v>
      </c>
      <c r="D10" s="46">
        <v>10000</v>
      </c>
      <c r="E10" s="46">
        <f t="shared" si="0"/>
        <v>100</v>
      </c>
      <c r="F10" s="46">
        <v>0</v>
      </c>
      <c r="G10" s="46">
        <v>10000</v>
      </c>
      <c r="H10" s="46">
        <v>0</v>
      </c>
      <c r="I10" s="46">
        <v>0</v>
      </c>
      <c r="J10" s="46">
        <f t="shared" si="1"/>
        <v>-100</v>
      </c>
      <c r="K10" s="55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spans="1:25" ht="15" customHeight="1" x14ac:dyDescent="0.25">
      <c r="A11" s="41" t="s">
        <v>164</v>
      </c>
      <c r="B11" s="41" t="s">
        <v>165</v>
      </c>
      <c r="C11" s="42" t="s">
        <v>166</v>
      </c>
      <c r="D11" s="46">
        <v>10000</v>
      </c>
      <c r="E11" s="46">
        <f t="shared" si="0"/>
        <v>100</v>
      </c>
      <c r="F11" s="46">
        <v>0</v>
      </c>
      <c r="G11" s="46">
        <v>10000</v>
      </c>
      <c r="H11" s="46">
        <v>0</v>
      </c>
      <c r="I11" s="46">
        <v>0</v>
      </c>
      <c r="J11" s="46">
        <f t="shared" si="1"/>
        <v>-100</v>
      </c>
      <c r="K11" s="55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1:25" ht="15" customHeight="1" x14ac:dyDescent="0.25">
      <c r="A12" s="41" t="s">
        <v>194</v>
      </c>
      <c r="B12" s="41" t="s">
        <v>162</v>
      </c>
      <c r="C12" s="42" t="s">
        <v>195</v>
      </c>
      <c r="D12" s="46">
        <v>10000</v>
      </c>
      <c r="E12" s="46">
        <f t="shared" si="0"/>
        <v>100</v>
      </c>
      <c r="F12" s="46">
        <v>0</v>
      </c>
      <c r="G12" s="46">
        <v>10000</v>
      </c>
      <c r="H12" s="46">
        <v>0</v>
      </c>
      <c r="I12" s="46">
        <v>0</v>
      </c>
      <c r="J12" s="46">
        <f t="shared" si="1"/>
        <v>-100</v>
      </c>
      <c r="K12" s="55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 ht="15" customHeight="1" x14ac:dyDescent="0.25">
      <c r="A13" s="41" t="s">
        <v>181</v>
      </c>
      <c r="B13" s="41" t="s">
        <v>162</v>
      </c>
      <c r="C13" s="42" t="s">
        <v>182</v>
      </c>
      <c r="D13" s="46">
        <v>10000</v>
      </c>
      <c r="E13" s="46">
        <f t="shared" si="0"/>
        <v>100</v>
      </c>
      <c r="F13" s="46">
        <v>0</v>
      </c>
      <c r="G13" s="46">
        <v>10000</v>
      </c>
      <c r="H13" s="46">
        <v>0</v>
      </c>
      <c r="I13" s="46">
        <v>0</v>
      </c>
      <c r="J13" s="46">
        <f t="shared" si="1"/>
        <v>-100</v>
      </c>
      <c r="K13" s="55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5" ht="15" customHeight="1" x14ac:dyDescent="0.25">
      <c r="A14" s="41" t="s">
        <v>185</v>
      </c>
      <c r="B14" s="41" t="s">
        <v>20</v>
      </c>
      <c r="C14" s="42">
        <v>774746872</v>
      </c>
      <c r="D14" s="46">
        <v>10000</v>
      </c>
      <c r="E14" s="46">
        <f t="shared" si="0"/>
        <v>100</v>
      </c>
      <c r="F14" s="46">
        <v>0</v>
      </c>
      <c r="G14" s="46">
        <v>10000</v>
      </c>
      <c r="H14" s="46">
        <v>0</v>
      </c>
      <c r="I14" s="46">
        <v>0</v>
      </c>
      <c r="J14" s="46">
        <f t="shared" si="1"/>
        <v>-100</v>
      </c>
      <c r="K14" s="55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spans="1:25" ht="15" customHeight="1" x14ac:dyDescent="0.25">
      <c r="A15" s="41" t="s">
        <v>141</v>
      </c>
      <c r="B15" s="41" t="s">
        <v>162</v>
      </c>
      <c r="C15" s="42" t="s">
        <v>190</v>
      </c>
      <c r="D15" s="46">
        <v>35000</v>
      </c>
      <c r="E15" s="46">
        <f t="shared" si="0"/>
        <v>350</v>
      </c>
      <c r="F15" s="46">
        <v>0</v>
      </c>
      <c r="G15" s="46">
        <v>54650</v>
      </c>
      <c r="H15" s="46">
        <v>0</v>
      </c>
      <c r="I15" s="46">
        <v>0</v>
      </c>
      <c r="J15" s="46">
        <f t="shared" si="1"/>
        <v>-20000</v>
      </c>
      <c r="K15" s="55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 ht="15" customHeight="1" x14ac:dyDescent="0.25">
      <c r="A16" s="41" t="s">
        <v>142</v>
      </c>
      <c r="B16" s="41" t="s">
        <v>42</v>
      </c>
      <c r="C16" s="42" t="s">
        <v>50</v>
      </c>
      <c r="D16" s="46">
        <v>26000</v>
      </c>
      <c r="E16" s="46">
        <f t="shared" si="0"/>
        <v>260</v>
      </c>
      <c r="F16" s="46">
        <v>0</v>
      </c>
      <c r="G16" s="46">
        <v>25740</v>
      </c>
      <c r="H16" s="46">
        <v>0</v>
      </c>
      <c r="I16" s="46">
        <v>0</v>
      </c>
      <c r="J16" s="46">
        <f t="shared" si="1"/>
        <v>0</v>
      </c>
      <c r="K16" s="55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spans="1:25" ht="15" customHeight="1" x14ac:dyDescent="0.25">
      <c r="A17" s="41" t="s">
        <v>144</v>
      </c>
      <c r="B17" s="41" t="s">
        <v>162</v>
      </c>
      <c r="C17" s="42" t="s">
        <v>191</v>
      </c>
      <c r="D17" s="46">
        <v>26000</v>
      </c>
      <c r="E17" s="46">
        <f t="shared" si="0"/>
        <v>260</v>
      </c>
      <c r="F17" s="46">
        <v>0</v>
      </c>
      <c r="G17" s="46">
        <v>25740</v>
      </c>
      <c r="H17" s="46">
        <v>0</v>
      </c>
      <c r="I17" s="46">
        <v>0</v>
      </c>
      <c r="J17" s="46">
        <f t="shared" si="1"/>
        <v>0</v>
      </c>
      <c r="K17" s="55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ht="15" customHeight="1" x14ac:dyDescent="0.25">
      <c r="A18" s="41" t="s">
        <v>186</v>
      </c>
      <c r="B18" s="41" t="s">
        <v>162</v>
      </c>
      <c r="C18" s="42" t="s">
        <v>187</v>
      </c>
      <c r="D18" s="46">
        <v>25000</v>
      </c>
      <c r="E18" s="46">
        <f t="shared" si="0"/>
        <v>250</v>
      </c>
      <c r="F18" s="46">
        <v>0</v>
      </c>
      <c r="G18" s="46">
        <v>29750</v>
      </c>
      <c r="H18" s="46">
        <v>0</v>
      </c>
      <c r="I18" s="46">
        <v>0</v>
      </c>
      <c r="J18" s="46">
        <f t="shared" si="1"/>
        <v>-5000</v>
      </c>
      <c r="K18" s="55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15" customHeight="1" x14ac:dyDescent="0.25">
      <c r="A19" s="40"/>
      <c r="B19" s="40"/>
      <c r="C19" s="48"/>
      <c r="D19" s="49">
        <f t="shared" ref="D19:J19" si="2">SUM(D3:D18)</f>
        <v>289000</v>
      </c>
      <c r="E19" s="49">
        <f t="shared" si="2"/>
        <v>2890</v>
      </c>
      <c r="F19" s="49">
        <f t="shared" si="2"/>
        <v>0</v>
      </c>
      <c r="G19" s="49">
        <f t="shared" si="2"/>
        <v>315380</v>
      </c>
      <c r="H19" s="49">
        <f t="shared" si="2"/>
        <v>0</v>
      </c>
      <c r="I19" s="49">
        <f t="shared" si="2"/>
        <v>0</v>
      </c>
      <c r="J19" s="49">
        <f t="shared" si="2"/>
        <v>-29270</v>
      </c>
      <c r="K19" s="55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5" customHeight="1" x14ac:dyDescent="0.25">
      <c r="A20" s="39"/>
      <c r="B20" s="39"/>
      <c r="C20" s="54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5" customHeight="1" x14ac:dyDescent="0.25">
      <c r="A21" s="40" t="s">
        <v>72</v>
      </c>
      <c r="B21" s="41"/>
      <c r="C21" s="42"/>
      <c r="D21" s="41"/>
      <c r="E21" s="41"/>
      <c r="F21" s="41"/>
      <c r="G21" s="41"/>
      <c r="H21" s="41"/>
      <c r="I21" s="41"/>
      <c r="J21" s="41"/>
      <c r="K21" s="55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5" customHeight="1" x14ac:dyDescent="0.25">
      <c r="A22" s="41" t="s">
        <v>172</v>
      </c>
      <c r="B22" s="41" t="s">
        <v>35</v>
      </c>
      <c r="C22" s="42" t="s">
        <v>129</v>
      </c>
      <c r="D22" s="46">
        <v>15000</v>
      </c>
      <c r="E22" s="46">
        <f t="shared" ref="E22:E140" si="3">D22*0.01</f>
        <v>150</v>
      </c>
      <c r="F22" s="46">
        <v>0</v>
      </c>
      <c r="G22" s="46">
        <v>15000</v>
      </c>
      <c r="H22" s="46">
        <v>0</v>
      </c>
      <c r="I22" s="46">
        <v>0</v>
      </c>
      <c r="J22" s="46">
        <f t="shared" ref="J22:J38" si="4">D22-SUM(E22:G22)+SUM(H22:I22)</f>
        <v>-150</v>
      </c>
      <c r="K22" s="55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5" customHeight="1" x14ac:dyDescent="0.25">
      <c r="A23" s="41" t="s">
        <v>173</v>
      </c>
      <c r="B23" s="41" t="s">
        <v>53</v>
      </c>
      <c r="C23" s="42" t="s">
        <v>174</v>
      </c>
      <c r="D23" s="46">
        <v>20000</v>
      </c>
      <c r="E23" s="46">
        <f t="shared" si="3"/>
        <v>200</v>
      </c>
      <c r="F23" s="46">
        <v>0</v>
      </c>
      <c r="G23" s="46">
        <v>20000</v>
      </c>
      <c r="H23" s="46">
        <v>0</v>
      </c>
      <c r="I23" s="46">
        <v>0</v>
      </c>
      <c r="J23" s="46">
        <f t="shared" si="4"/>
        <v>-200</v>
      </c>
      <c r="K23" s="55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5" customHeight="1" x14ac:dyDescent="0.25">
      <c r="A24" s="41" t="s">
        <v>176</v>
      </c>
      <c r="B24" s="41" t="s">
        <v>35</v>
      </c>
      <c r="C24" s="42" t="s">
        <v>177</v>
      </c>
      <c r="D24" s="46">
        <v>20000</v>
      </c>
      <c r="E24" s="46">
        <f t="shared" si="3"/>
        <v>200</v>
      </c>
      <c r="F24" s="46">
        <v>0</v>
      </c>
      <c r="G24" s="46">
        <v>20000</v>
      </c>
      <c r="H24" s="46">
        <v>0</v>
      </c>
      <c r="I24" s="46">
        <v>0</v>
      </c>
      <c r="J24" s="46">
        <f t="shared" si="4"/>
        <v>-200</v>
      </c>
      <c r="K24" s="55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5" customHeight="1" x14ac:dyDescent="0.25">
      <c r="A25" s="41" t="s">
        <v>146</v>
      </c>
      <c r="B25" s="41"/>
      <c r="C25" s="42"/>
      <c r="D25" s="46">
        <v>10000</v>
      </c>
      <c r="E25" s="46">
        <f t="shared" si="3"/>
        <v>100</v>
      </c>
      <c r="F25" s="46">
        <v>0</v>
      </c>
      <c r="G25" s="46">
        <v>10000</v>
      </c>
      <c r="H25" s="46">
        <v>0</v>
      </c>
      <c r="I25" s="46">
        <v>0</v>
      </c>
      <c r="J25" s="46">
        <f t="shared" si="4"/>
        <v>-100</v>
      </c>
      <c r="K25" s="55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5" customHeight="1" x14ac:dyDescent="0.25">
      <c r="A26" s="41" t="s">
        <v>148</v>
      </c>
      <c r="B26" s="41" t="s">
        <v>15</v>
      </c>
      <c r="C26" s="54" t="s">
        <v>180</v>
      </c>
      <c r="D26" s="46">
        <v>12000</v>
      </c>
      <c r="E26" s="46">
        <f t="shared" si="3"/>
        <v>120</v>
      </c>
      <c r="F26" s="46">
        <v>0</v>
      </c>
      <c r="G26" s="46">
        <v>12000</v>
      </c>
      <c r="H26" s="46">
        <v>0</v>
      </c>
      <c r="I26" s="46">
        <v>0</v>
      </c>
      <c r="J26" s="46">
        <f t="shared" si="4"/>
        <v>-120</v>
      </c>
      <c r="K26" s="55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5" customHeight="1" x14ac:dyDescent="0.25">
      <c r="A27" s="41" t="s">
        <v>188</v>
      </c>
      <c r="B27" s="41" t="s">
        <v>23</v>
      </c>
      <c r="C27" s="42" t="s">
        <v>189</v>
      </c>
      <c r="D27" s="46">
        <v>25000</v>
      </c>
      <c r="E27" s="46">
        <f t="shared" si="3"/>
        <v>250</v>
      </c>
      <c r="F27" s="46">
        <v>0</v>
      </c>
      <c r="G27" s="46">
        <v>25000</v>
      </c>
      <c r="H27" s="46">
        <v>0</v>
      </c>
      <c r="I27" s="46">
        <v>0</v>
      </c>
      <c r="J27" s="46">
        <f t="shared" si="4"/>
        <v>-250</v>
      </c>
      <c r="K27" s="55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5" customHeight="1" x14ac:dyDescent="0.25">
      <c r="A28" s="41" t="s">
        <v>183</v>
      </c>
      <c r="B28" s="41" t="s">
        <v>53</v>
      </c>
      <c r="C28" s="42" t="s">
        <v>184</v>
      </c>
      <c r="D28" s="46">
        <v>25000</v>
      </c>
      <c r="E28" s="46">
        <f t="shared" si="3"/>
        <v>250</v>
      </c>
      <c r="F28" s="46">
        <v>0</v>
      </c>
      <c r="G28" s="46">
        <v>25000</v>
      </c>
      <c r="H28" s="46">
        <v>0</v>
      </c>
      <c r="I28" s="46">
        <v>0</v>
      </c>
      <c r="J28" s="46">
        <f t="shared" si="4"/>
        <v>-250</v>
      </c>
      <c r="K28" s="55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5" customHeight="1" x14ac:dyDescent="0.25">
      <c r="A29" s="41" t="s">
        <v>161</v>
      </c>
      <c r="B29" s="41" t="s">
        <v>162</v>
      </c>
      <c r="C29" s="42" t="s">
        <v>163</v>
      </c>
      <c r="D29" s="46">
        <v>10000</v>
      </c>
      <c r="E29" s="46">
        <f t="shared" si="3"/>
        <v>100</v>
      </c>
      <c r="F29" s="46">
        <v>0</v>
      </c>
      <c r="G29" s="46">
        <v>10000</v>
      </c>
      <c r="H29" s="46">
        <v>0</v>
      </c>
      <c r="I29" s="46">
        <v>0</v>
      </c>
      <c r="J29" s="46">
        <f t="shared" si="4"/>
        <v>-100</v>
      </c>
      <c r="K29" s="55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5" customHeight="1" x14ac:dyDescent="0.25">
      <c r="A30" s="41" t="s">
        <v>164</v>
      </c>
      <c r="B30" s="41" t="s">
        <v>165</v>
      </c>
      <c r="C30" s="42" t="s">
        <v>166</v>
      </c>
      <c r="D30" s="46">
        <v>10000</v>
      </c>
      <c r="E30" s="46">
        <f t="shared" si="3"/>
        <v>100</v>
      </c>
      <c r="F30" s="46">
        <v>0</v>
      </c>
      <c r="G30" s="46">
        <v>10000</v>
      </c>
      <c r="H30" s="46">
        <v>0</v>
      </c>
      <c r="I30" s="46">
        <v>0</v>
      </c>
      <c r="J30" s="46">
        <f t="shared" si="4"/>
        <v>-100</v>
      </c>
      <c r="K30" s="55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5" customHeight="1" x14ac:dyDescent="0.25">
      <c r="A31" s="41" t="s">
        <v>194</v>
      </c>
      <c r="B31" s="41" t="s">
        <v>162</v>
      </c>
      <c r="C31" s="42" t="s">
        <v>196</v>
      </c>
      <c r="D31" s="46">
        <v>10000</v>
      </c>
      <c r="E31" s="46">
        <f t="shared" si="3"/>
        <v>100</v>
      </c>
      <c r="F31" s="46">
        <v>0</v>
      </c>
      <c r="G31" s="46">
        <v>10000</v>
      </c>
      <c r="H31" s="46">
        <v>0</v>
      </c>
      <c r="I31" s="46">
        <v>0</v>
      </c>
      <c r="J31" s="46">
        <f t="shared" si="4"/>
        <v>-100</v>
      </c>
      <c r="K31" s="55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5" customHeight="1" x14ac:dyDescent="0.25">
      <c r="A32" s="41" t="s">
        <v>181</v>
      </c>
      <c r="B32" s="41" t="s">
        <v>162</v>
      </c>
      <c r="C32" s="42" t="s">
        <v>182</v>
      </c>
      <c r="D32" s="46">
        <v>10000</v>
      </c>
      <c r="E32" s="46">
        <f t="shared" si="3"/>
        <v>100</v>
      </c>
      <c r="F32" s="46">
        <v>0</v>
      </c>
      <c r="G32" s="46">
        <v>10000</v>
      </c>
      <c r="H32" s="46">
        <v>0</v>
      </c>
      <c r="I32" s="46">
        <v>0</v>
      </c>
      <c r="J32" s="46">
        <f t="shared" si="4"/>
        <v>-100</v>
      </c>
      <c r="K32" s="55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 ht="15" customHeight="1" x14ac:dyDescent="0.25">
      <c r="A33" s="41" t="s">
        <v>185</v>
      </c>
      <c r="B33" s="41" t="s">
        <v>20</v>
      </c>
      <c r="C33" s="42">
        <v>774746872</v>
      </c>
      <c r="D33" s="46">
        <v>10000</v>
      </c>
      <c r="E33" s="46">
        <f t="shared" si="3"/>
        <v>100</v>
      </c>
      <c r="F33" s="46">
        <v>0</v>
      </c>
      <c r="G33" s="46">
        <v>10000</v>
      </c>
      <c r="H33" s="46">
        <v>0</v>
      </c>
      <c r="I33" s="46">
        <v>0</v>
      </c>
      <c r="J33" s="46">
        <f t="shared" si="4"/>
        <v>-100</v>
      </c>
      <c r="K33" s="55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15" customHeight="1" x14ac:dyDescent="0.25">
      <c r="A34" s="41" t="s">
        <v>141</v>
      </c>
      <c r="B34" s="41" t="s">
        <v>162</v>
      </c>
      <c r="C34" s="42" t="s">
        <v>190</v>
      </c>
      <c r="D34" s="46">
        <v>35000</v>
      </c>
      <c r="E34" s="46">
        <f t="shared" si="3"/>
        <v>350</v>
      </c>
      <c r="F34" s="46">
        <v>0</v>
      </c>
      <c r="G34" s="46">
        <v>34650</v>
      </c>
      <c r="H34" s="46">
        <v>0</v>
      </c>
      <c r="I34" s="46">
        <v>0</v>
      </c>
      <c r="J34" s="46">
        <f t="shared" si="4"/>
        <v>0</v>
      </c>
      <c r="K34" s="55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" customHeight="1" x14ac:dyDescent="0.25">
      <c r="A35" s="41" t="s">
        <v>142</v>
      </c>
      <c r="B35" s="41" t="s">
        <v>42</v>
      </c>
      <c r="C35" s="42" t="s">
        <v>50</v>
      </c>
      <c r="D35" s="46">
        <v>26000</v>
      </c>
      <c r="E35" s="46">
        <f t="shared" si="3"/>
        <v>260</v>
      </c>
      <c r="F35" s="46">
        <v>0</v>
      </c>
      <c r="G35" s="46">
        <v>25740</v>
      </c>
      <c r="H35" s="46">
        <v>0</v>
      </c>
      <c r="I35" s="46">
        <v>0</v>
      </c>
      <c r="J35" s="46">
        <f t="shared" si="4"/>
        <v>0</v>
      </c>
      <c r="K35" s="55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 x14ac:dyDescent="0.25">
      <c r="A36" s="41" t="s">
        <v>144</v>
      </c>
      <c r="B36" s="41" t="s">
        <v>162</v>
      </c>
      <c r="C36" s="42" t="s">
        <v>191</v>
      </c>
      <c r="D36" s="46">
        <v>26000</v>
      </c>
      <c r="E36" s="46">
        <f t="shared" si="3"/>
        <v>260</v>
      </c>
      <c r="F36" s="46">
        <v>0</v>
      </c>
      <c r="G36" s="46">
        <v>25740</v>
      </c>
      <c r="H36" s="46">
        <v>0</v>
      </c>
      <c r="I36" s="46">
        <v>0</v>
      </c>
      <c r="J36" s="46">
        <f t="shared" si="4"/>
        <v>0</v>
      </c>
      <c r="K36" s="55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 x14ac:dyDescent="0.25">
      <c r="A37" s="41" t="s">
        <v>197</v>
      </c>
      <c r="B37" s="41" t="s">
        <v>162</v>
      </c>
      <c r="C37" s="42">
        <v>7037233020</v>
      </c>
      <c r="D37" s="46">
        <v>23000</v>
      </c>
      <c r="E37" s="46">
        <f t="shared" si="3"/>
        <v>230</v>
      </c>
      <c r="F37" s="46">
        <v>0</v>
      </c>
      <c r="G37" s="46">
        <v>23000</v>
      </c>
      <c r="H37" s="46">
        <v>0</v>
      </c>
      <c r="I37" s="46">
        <v>0</v>
      </c>
      <c r="J37" s="46">
        <f t="shared" si="4"/>
        <v>-230</v>
      </c>
      <c r="K37" s="55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15" customHeight="1" x14ac:dyDescent="0.25">
      <c r="A38" s="41" t="s">
        <v>186</v>
      </c>
      <c r="B38" s="41" t="s">
        <v>162</v>
      </c>
      <c r="C38" s="42" t="s">
        <v>187</v>
      </c>
      <c r="D38" s="46">
        <v>25000</v>
      </c>
      <c r="E38" s="46">
        <f t="shared" si="3"/>
        <v>250</v>
      </c>
      <c r="F38" s="46">
        <v>0</v>
      </c>
      <c r="G38" s="46">
        <v>24750</v>
      </c>
      <c r="H38" s="46">
        <v>0</v>
      </c>
      <c r="I38" s="46">
        <v>0</v>
      </c>
      <c r="J38" s="46">
        <f t="shared" si="4"/>
        <v>0</v>
      </c>
      <c r="K38" s="55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5" customHeight="1" x14ac:dyDescent="0.25">
      <c r="A39" s="40"/>
      <c r="B39" s="40"/>
      <c r="C39" s="48"/>
      <c r="D39" s="49">
        <f>SUM(D22:D38)</f>
        <v>312000</v>
      </c>
      <c r="E39" s="46">
        <f t="shared" si="3"/>
        <v>3120</v>
      </c>
      <c r="F39" s="49">
        <f t="shared" ref="F39:J39" si="5">SUM(F22:F38)</f>
        <v>0</v>
      </c>
      <c r="G39" s="49">
        <f t="shared" si="5"/>
        <v>310880</v>
      </c>
      <c r="H39" s="49">
        <f t="shared" si="5"/>
        <v>0</v>
      </c>
      <c r="I39" s="49">
        <f t="shared" si="5"/>
        <v>0</v>
      </c>
      <c r="J39" s="49">
        <f t="shared" si="5"/>
        <v>-2000</v>
      </c>
      <c r="K39" s="55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15" customHeight="1" x14ac:dyDescent="0.25">
      <c r="A40" s="39"/>
      <c r="B40" s="39"/>
      <c r="C40" s="54"/>
      <c r="D40" s="39"/>
      <c r="E40" s="46">
        <f t="shared" si="3"/>
        <v>0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5" ht="15" customHeight="1" x14ac:dyDescent="0.25">
      <c r="A41" s="40" t="s">
        <v>73</v>
      </c>
      <c r="B41" s="41"/>
      <c r="C41" s="42"/>
      <c r="D41" s="41"/>
      <c r="E41" s="46">
        <f t="shared" si="3"/>
        <v>0</v>
      </c>
      <c r="F41" s="41"/>
      <c r="G41" s="41"/>
      <c r="H41" s="41"/>
      <c r="I41" s="41"/>
      <c r="J41" s="41"/>
      <c r="K41" s="55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 spans="1:25" ht="15" customHeight="1" x14ac:dyDescent="0.25">
      <c r="A42" s="41" t="s">
        <v>172</v>
      </c>
      <c r="B42" s="41" t="s">
        <v>35</v>
      </c>
      <c r="C42" s="42" t="s">
        <v>129</v>
      </c>
      <c r="D42" s="46">
        <v>15000</v>
      </c>
      <c r="E42" s="46">
        <f t="shared" si="3"/>
        <v>150</v>
      </c>
      <c r="F42" s="46">
        <v>0</v>
      </c>
      <c r="G42" s="46">
        <v>15000</v>
      </c>
      <c r="H42" s="46">
        <v>0</v>
      </c>
      <c r="I42" s="46">
        <v>0</v>
      </c>
      <c r="J42" s="46">
        <f t="shared" ref="J42:J58" si="6">D42-SUM(E42:G42)+SUM(H42:I42)</f>
        <v>-150</v>
      </c>
      <c r="K42" s="55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5" ht="15" customHeight="1" x14ac:dyDescent="0.25">
      <c r="A43" s="41" t="s">
        <v>173</v>
      </c>
      <c r="B43" s="41" t="s">
        <v>53</v>
      </c>
      <c r="C43" s="42" t="s">
        <v>174</v>
      </c>
      <c r="D43" s="46">
        <v>20000</v>
      </c>
      <c r="E43" s="46">
        <f t="shared" si="3"/>
        <v>200</v>
      </c>
      <c r="F43" s="46">
        <v>0</v>
      </c>
      <c r="G43" s="46">
        <v>20000</v>
      </c>
      <c r="H43" s="46">
        <v>0</v>
      </c>
      <c r="I43" s="46">
        <v>0</v>
      </c>
      <c r="J43" s="46">
        <f t="shared" si="6"/>
        <v>-200</v>
      </c>
      <c r="K43" s="55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15" customHeight="1" x14ac:dyDescent="0.25">
      <c r="A44" s="41" t="s">
        <v>176</v>
      </c>
      <c r="B44" s="41" t="s">
        <v>35</v>
      </c>
      <c r="C44" s="42" t="s">
        <v>177</v>
      </c>
      <c r="D44" s="46">
        <v>20000</v>
      </c>
      <c r="E44" s="46">
        <f t="shared" si="3"/>
        <v>200</v>
      </c>
      <c r="F44" s="46">
        <v>0</v>
      </c>
      <c r="G44" s="46">
        <v>20000</v>
      </c>
      <c r="H44" s="46">
        <v>0</v>
      </c>
      <c r="I44" s="46">
        <v>0</v>
      </c>
      <c r="J44" s="46">
        <f t="shared" si="6"/>
        <v>-200</v>
      </c>
      <c r="K44" s="55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25" ht="15" customHeight="1" x14ac:dyDescent="0.25">
      <c r="A45" s="41" t="s">
        <v>146</v>
      </c>
      <c r="B45" s="41"/>
      <c r="C45" s="42"/>
      <c r="D45" s="46">
        <v>10000</v>
      </c>
      <c r="E45" s="46">
        <f t="shared" si="3"/>
        <v>100</v>
      </c>
      <c r="F45" s="46">
        <v>0</v>
      </c>
      <c r="G45" s="46">
        <v>0</v>
      </c>
      <c r="H45" s="46">
        <v>0</v>
      </c>
      <c r="I45" s="46">
        <v>0</v>
      </c>
      <c r="J45" s="46">
        <f t="shared" si="6"/>
        <v>9900</v>
      </c>
      <c r="K45" s="55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 ht="15" customHeight="1" x14ac:dyDescent="0.25">
      <c r="A46" s="41" t="s">
        <v>148</v>
      </c>
      <c r="B46" s="41" t="s">
        <v>15</v>
      </c>
      <c r="C46" s="54" t="s">
        <v>180</v>
      </c>
      <c r="D46" s="46">
        <v>0</v>
      </c>
      <c r="E46" s="46">
        <f t="shared" si="3"/>
        <v>0</v>
      </c>
      <c r="F46" s="46">
        <v>0</v>
      </c>
      <c r="G46" s="46">
        <v>0</v>
      </c>
      <c r="H46" s="46">
        <v>0</v>
      </c>
      <c r="I46" s="46">
        <v>0</v>
      </c>
      <c r="J46" s="46">
        <f t="shared" si="6"/>
        <v>0</v>
      </c>
      <c r="K46" s="55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25" ht="15" customHeight="1" x14ac:dyDescent="0.25">
      <c r="A47" s="41" t="s">
        <v>188</v>
      </c>
      <c r="B47" s="41" t="s">
        <v>23</v>
      </c>
      <c r="C47" s="42" t="s">
        <v>189</v>
      </c>
      <c r="D47" s="46">
        <v>25000</v>
      </c>
      <c r="E47" s="46">
        <f t="shared" si="3"/>
        <v>250</v>
      </c>
      <c r="F47" s="46">
        <v>0</v>
      </c>
      <c r="G47" s="46">
        <v>0</v>
      </c>
      <c r="H47" s="46">
        <v>0</v>
      </c>
      <c r="I47" s="46">
        <v>0</v>
      </c>
      <c r="J47" s="46">
        <f t="shared" si="6"/>
        <v>24750</v>
      </c>
      <c r="K47" s="55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spans="1:25" ht="15" customHeight="1" x14ac:dyDescent="0.25">
      <c r="A48" s="41" t="s">
        <v>183</v>
      </c>
      <c r="B48" s="41" t="s">
        <v>53</v>
      </c>
      <c r="C48" s="42" t="s">
        <v>184</v>
      </c>
      <c r="D48" s="46">
        <v>25000</v>
      </c>
      <c r="E48" s="46">
        <f t="shared" si="3"/>
        <v>250</v>
      </c>
      <c r="F48" s="46">
        <v>0</v>
      </c>
      <c r="G48" s="46">
        <v>0</v>
      </c>
      <c r="H48" s="46">
        <v>0</v>
      </c>
      <c r="I48" s="46">
        <v>0</v>
      </c>
      <c r="J48" s="46">
        <f t="shared" si="6"/>
        <v>24750</v>
      </c>
      <c r="K48" s="55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1:25" ht="15" customHeight="1" x14ac:dyDescent="0.25">
      <c r="A49" s="41" t="s">
        <v>161</v>
      </c>
      <c r="B49" s="41" t="s">
        <v>162</v>
      </c>
      <c r="C49" s="42" t="s">
        <v>163</v>
      </c>
      <c r="D49" s="46">
        <v>10000</v>
      </c>
      <c r="E49" s="46">
        <f t="shared" si="3"/>
        <v>100</v>
      </c>
      <c r="F49" s="46">
        <v>0</v>
      </c>
      <c r="G49" s="46">
        <v>10000</v>
      </c>
      <c r="H49" s="46">
        <v>0</v>
      </c>
      <c r="I49" s="46">
        <v>0</v>
      </c>
      <c r="J49" s="46">
        <f t="shared" si="6"/>
        <v>-100</v>
      </c>
      <c r="K49" s="55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1:25" ht="15" customHeight="1" x14ac:dyDescent="0.25">
      <c r="A50" s="41" t="s">
        <v>164</v>
      </c>
      <c r="B50" s="41" t="s">
        <v>165</v>
      </c>
      <c r="C50" s="42" t="s">
        <v>166</v>
      </c>
      <c r="D50" s="46">
        <v>10000</v>
      </c>
      <c r="E50" s="46">
        <f t="shared" si="3"/>
        <v>100</v>
      </c>
      <c r="F50" s="46">
        <v>0</v>
      </c>
      <c r="G50" s="46">
        <v>10000</v>
      </c>
      <c r="H50" s="46">
        <v>0</v>
      </c>
      <c r="I50" s="46">
        <v>0</v>
      </c>
      <c r="J50" s="46">
        <f t="shared" si="6"/>
        <v>-100</v>
      </c>
      <c r="K50" s="55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1:25" ht="15" customHeight="1" x14ac:dyDescent="0.25">
      <c r="A51" s="41" t="s">
        <v>194</v>
      </c>
      <c r="B51" s="41" t="s">
        <v>162</v>
      </c>
      <c r="C51" s="42" t="s">
        <v>196</v>
      </c>
      <c r="D51" s="46">
        <v>10000</v>
      </c>
      <c r="E51" s="46">
        <f t="shared" si="3"/>
        <v>100</v>
      </c>
      <c r="F51" s="46">
        <v>0</v>
      </c>
      <c r="G51" s="46">
        <v>10000</v>
      </c>
      <c r="H51" s="46">
        <v>0</v>
      </c>
      <c r="I51" s="46">
        <v>0</v>
      </c>
      <c r="J51" s="46">
        <f t="shared" si="6"/>
        <v>-100</v>
      </c>
      <c r="K51" s="55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1:25" ht="15" customHeight="1" x14ac:dyDescent="0.25">
      <c r="A52" s="41" t="s">
        <v>181</v>
      </c>
      <c r="B52" s="41" t="s">
        <v>162</v>
      </c>
      <c r="C52" s="42" t="s">
        <v>182</v>
      </c>
      <c r="D52" s="46">
        <v>10000</v>
      </c>
      <c r="E52" s="46">
        <f t="shared" si="3"/>
        <v>100</v>
      </c>
      <c r="F52" s="46">
        <v>0</v>
      </c>
      <c r="G52" s="46">
        <v>10000</v>
      </c>
      <c r="H52" s="46">
        <v>0</v>
      </c>
      <c r="I52" s="46">
        <v>0</v>
      </c>
      <c r="J52" s="46">
        <f t="shared" si="6"/>
        <v>-100</v>
      </c>
      <c r="K52" s="55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1:25" ht="15" customHeight="1" x14ac:dyDescent="0.25">
      <c r="A53" s="41" t="s">
        <v>185</v>
      </c>
      <c r="B53" s="41" t="s">
        <v>20</v>
      </c>
      <c r="C53" s="42">
        <v>774746872</v>
      </c>
      <c r="D53" s="46">
        <v>10000</v>
      </c>
      <c r="E53" s="46">
        <f t="shared" si="3"/>
        <v>100</v>
      </c>
      <c r="F53" s="46">
        <v>0</v>
      </c>
      <c r="G53" s="46">
        <v>10000</v>
      </c>
      <c r="H53" s="46">
        <v>0</v>
      </c>
      <c r="I53" s="46">
        <v>0</v>
      </c>
      <c r="J53" s="46">
        <f t="shared" si="6"/>
        <v>-100</v>
      </c>
      <c r="K53" s="55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5" ht="15" customHeight="1" x14ac:dyDescent="0.25">
      <c r="A54" s="41" t="s">
        <v>141</v>
      </c>
      <c r="B54" s="41" t="s">
        <v>162</v>
      </c>
      <c r="C54" s="42" t="s">
        <v>190</v>
      </c>
      <c r="D54" s="46">
        <v>35000</v>
      </c>
      <c r="E54" s="46">
        <f t="shared" si="3"/>
        <v>350</v>
      </c>
      <c r="F54" s="46">
        <v>0</v>
      </c>
      <c r="G54" s="46">
        <v>34650</v>
      </c>
      <c r="H54" s="46">
        <v>0</v>
      </c>
      <c r="I54" s="46">
        <v>0</v>
      </c>
      <c r="J54" s="46">
        <f t="shared" si="6"/>
        <v>0</v>
      </c>
      <c r="K54" s="55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1:25" ht="15" customHeight="1" x14ac:dyDescent="0.25">
      <c r="A55" s="41" t="s">
        <v>142</v>
      </c>
      <c r="B55" s="41" t="s">
        <v>42</v>
      </c>
      <c r="C55" s="42" t="s">
        <v>50</v>
      </c>
      <c r="D55" s="46">
        <v>26000</v>
      </c>
      <c r="E55" s="46">
        <f t="shared" si="3"/>
        <v>260</v>
      </c>
      <c r="F55" s="46">
        <v>0</v>
      </c>
      <c r="G55" s="46">
        <v>25740</v>
      </c>
      <c r="H55" s="46">
        <v>0</v>
      </c>
      <c r="I55" s="46">
        <v>0</v>
      </c>
      <c r="J55" s="46">
        <f t="shared" si="6"/>
        <v>0</v>
      </c>
      <c r="K55" s="55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25" ht="15" customHeight="1" x14ac:dyDescent="0.25">
      <c r="A56" s="41" t="s">
        <v>144</v>
      </c>
      <c r="B56" s="41" t="s">
        <v>162</v>
      </c>
      <c r="C56" s="42" t="s">
        <v>191</v>
      </c>
      <c r="D56" s="46">
        <v>26000</v>
      </c>
      <c r="E56" s="46">
        <f t="shared" si="3"/>
        <v>260</v>
      </c>
      <c r="F56" s="46">
        <v>0</v>
      </c>
      <c r="G56" s="46">
        <v>25740</v>
      </c>
      <c r="H56" s="46">
        <v>0</v>
      </c>
      <c r="I56" s="46">
        <v>0</v>
      </c>
      <c r="J56" s="46">
        <f t="shared" si="6"/>
        <v>0</v>
      </c>
      <c r="K56" s="55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25" ht="15" customHeight="1" x14ac:dyDescent="0.25">
      <c r="A57" s="41" t="s">
        <v>152</v>
      </c>
      <c r="B57" s="41" t="s">
        <v>162</v>
      </c>
      <c r="C57" s="42" t="s">
        <v>171</v>
      </c>
      <c r="D57" s="46">
        <v>25000</v>
      </c>
      <c r="E57" s="46">
        <f t="shared" si="3"/>
        <v>250</v>
      </c>
      <c r="F57" s="46">
        <v>0</v>
      </c>
      <c r="G57" s="46">
        <v>24750</v>
      </c>
      <c r="H57" s="46">
        <v>0</v>
      </c>
      <c r="I57" s="46">
        <v>0</v>
      </c>
      <c r="J57" s="46">
        <f t="shared" si="6"/>
        <v>0</v>
      </c>
      <c r="K57" s="55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25" ht="15" customHeight="1" x14ac:dyDescent="0.25">
      <c r="A58" s="41" t="s">
        <v>186</v>
      </c>
      <c r="B58" s="41" t="s">
        <v>162</v>
      </c>
      <c r="C58" s="42" t="s">
        <v>187</v>
      </c>
      <c r="D58" s="46">
        <v>25000</v>
      </c>
      <c r="E58" s="46">
        <f t="shared" si="3"/>
        <v>250</v>
      </c>
      <c r="F58" s="46">
        <v>0</v>
      </c>
      <c r="G58" s="46">
        <v>24750</v>
      </c>
      <c r="H58" s="46">
        <v>0</v>
      </c>
      <c r="I58" s="46">
        <v>0</v>
      </c>
      <c r="J58" s="46">
        <f t="shared" si="6"/>
        <v>0</v>
      </c>
      <c r="K58" s="55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25" ht="15" customHeight="1" x14ac:dyDescent="0.25">
      <c r="A59" s="40"/>
      <c r="B59" s="40"/>
      <c r="C59" s="48"/>
      <c r="D59" s="49">
        <f>SUM(D42:D58)</f>
        <v>302000</v>
      </c>
      <c r="E59" s="46">
        <f t="shared" si="3"/>
        <v>3020</v>
      </c>
      <c r="F59" s="49">
        <f t="shared" ref="F59:J59" si="7">SUM(F42:F58)</f>
        <v>0</v>
      </c>
      <c r="G59" s="49">
        <f t="shared" si="7"/>
        <v>240630</v>
      </c>
      <c r="H59" s="49">
        <f t="shared" si="7"/>
        <v>0</v>
      </c>
      <c r="I59" s="49">
        <f t="shared" si="7"/>
        <v>0</v>
      </c>
      <c r="J59" s="49">
        <f t="shared" si="7"/>
        <v>58350</v>
      </c>
      <c r="K59" s="55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25" ht="15" customHeight="1" x14ac:dyDescent="0.25">
      <c r="A60" s="39"/>
      <c r="B60" s="39"/>
      <c r="C60" s="54"/>
      <c r="D60" s="39"/>
      <c r="E60" s="46">
        <f t="shared" si="3"/>
        <v>0</v>
      </c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25" ht="15" customHeight="1" x14ac:dyDescent="0.25">
      <c r="A61" s="40" t="s">
        <v>78</v>
      </c>
      <c r="B61" s="41"/>
      <c r="C61" s="42"/>
      <c r="D61" s="41"/>
      <c r="E61" s="46">
        <f t="shared" si="3"/>
        <v>0</v>
      </c>
      <c r="F61" s="41"/>
      <c r="G61" s="41"/>
      <c r="H61" s="41"/>
      <c r="I61" s="41"/>
      <c r="J61" s="41"/>
      <c r="K61" s="55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25" ht="15" customHeight="1" x14ac:dyDescent="0.25">
      <c r="A62" s="41" t="s">
        <v>172</v>
      </c>
      <c r="B62" s="41" t="s">
        <v>35</v>
      </c>
      <c r="C62" s="42" t="s">
        <v>129</v>
      </c>
      <c r="D62" s="46">
        <v>0</v>
      </c>
      <c r="E62" s="46">
        <f t="shared" si="3"/>
        <v>0</v>
      </c>
      <c r="F62" s="46">
        <v>0</v>
      </c>
      <c r="G62" s="46">
        <v>0</v>
      </c>
      <c r="H62" s="46">
        <v>0</v>
      </c>
      <c r="I62" s="46">
        <v>0</v>
      </c>
      <c r="J62" s="46">
        <f t="shared" ref="J62:J67" si="8">D62-SUM(E62:G62)+SUM(H62:I62)</f>
        <v>0</v>
      </c>
      <c r="K62" s="55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25" ht="15" customHeight="1" x14ac:dyDescent="0.25">
      <c r="A63" s="41" t="s">
        <v>185</v>
      </c>
      <c r="B63" s="41" t="s">
        <v>20</v>
      </c>
      <c r="C63" s="42">
        <v>774746872</v>
      </c>
      <c r="D63" s="46">
        <v>5000</v>
      </c>
      <c r="E63" s="46">
        <f t="shared" si="3"/>
        <v>50</v>
      </c>
      <c r="F63" s="46">
        <v>0</v>
      </c>
      <c r="G63" s="46">
        <v>5000</v>
      </c>
      <c r="H63" s="46">
        <v>0</v>
      </c>
      <c r="I63" s="46">
        <v>0</v>
      </c>
      <c r="J63" s="46">
        <f t="shared" si="8"/>
        <v>-50</v>
      </c>
      <c r="K63" s="55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25" ht="15" customHeight="1" x14ac:dyDescent="0.25">
      <c r="A64" s="41" t="s">
        <v>142</v>
      </c>
      <c r="B64" s="41" t="s">
        <v>42</v>
      </c>
      <c r="C64" s="42" t="s">
        <v>50</v>
      </c>
      <c r="D64" s="46">
        <v>13000</v>
      </c>
      <c r="E64" s="46">
        <f t="shared" si="3"/>
        <v>130</v>
      </c>
      <c r="F64" s="46">
        <v>0</v>
      </c>
      <c r="G64" s="46">
        <v>12870</v>
      </c>
      <c r="H64" s="46">
        <v>0</v>
      </c>
      <c r="I64" s="46">
        <v>0</v>
      </c>
      <c r="J64" s="46">
        <f t="shared" si="8"/>
        <v>0</v>
      </c>
      <c r="K64" s="55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5" ht="15" customHeight="1" x14ac:dyDescent="0.25">
      <c r="A65" s="41" t="s">
        <v>144</v>
      </c>
      <c r="B65" s="41" t="s">
        <v>162</v>
      </c>
      <c r="C65" s="42" t="s">
        <v>191</v>
      </c>
      <c r="D65" s="46">
        <v>13000</v>
      </c>
      <c r="E65" s="46">
        <f t="shared" si="3"/>
        <v>130</v>
      </c>
      <c r="F65" s="46">
        <v>0</v>
      </c>
      <c r="G65" s="46">
        <v>12870</v>
      </c>
      <c r="H65" s="46">
        <v>0</v>
      </c>
      <c r="I65" s="46">
        <v>0</v>
      </c>
      <c r="J65" s="46">
        <f t="shared" si="8"/>
        <v>0</v>
      </c>
      <c r="K65" s="55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1:25" ht="15" customHeight="1" x14ac:dyDescent="0.25">
      <c r="A66" s="41" t="s">
        <v>152</v>
      </c>
      <c r="B66" s="41" t="s">
        <v>162</v>
      </c>
      <c r="C66" s="42" t="s">
        <v>171</v>
      </c>
      <c r="D66" s="46">
        <v>12500</v>
      </c>
      <c r="E66" s="46">
        <f t="shared" si="3"/>
        <v>125</v>
      </c>
      <c r="F66" s="46">
        <v>0</v>
      </c>
      <c r="G66" s="46">
        <v>12375</v>
      </c>
      <c r="H66" s="46">
        <v>0</v>
      </c>
      <c r="I66" s="46">
        <v>0</v>
      </c>
      <c r="J66" s="46">
        <f t="shared" si="8"/>
        <v>0</v>
      </c>
      <c r="K66" s="55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1:25" ht="15" customHeight="1" x14ac:dyDescent="0.25">
      <c r="A67" s="41" t="s">
        <v>186</v>
      </c>
      <c r="B67" s="41" t="s">
        <v>162</v>
      </c>
      <c r="C67" s="42" t="s">
        <v>187</v>
      </c>
      <c r="D67" s="46">
        <v>12500</v>
      </c>
      <c r="E67" s="46">
        <f t="shared" si="3"/>
        <v>125</v>
      </c>
      <c r="F67" s="46">
        <v>0</v>
      </c>
      <c r="G67" s="46">
        <v>12375</v>
      </c>
      <c r="H67" s="46">
        <v>0</v>
      </c>
      <c r="I67" s="46">
        <v>0</v>
      </c>
      <c r="J67" s="46">
        <f t="shared" si="8"/>
        <v>0</v>
      </c>
      <c r="K67" s="55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1:25" ht="15" customHeight="1" x14ac:dyDescent="0.25">
      <c r="A68" s="40"/>
      <c r="B68" s="40"/>
      <c r="C68" s="48"/>
      <c r="D68" s="49">
        <f>SUM(D62:D67)</f>
        <v>56000</v>
      </c>
      <c r="E68" s="46">
        <f t="shared" si="3"/>
        <v>560</v>
      </c>
      <c r="F68" s="49">
        <f t="shared" ref="F68:J68" si="9">SUM(F62:F67)</f>
        <v>0</v>
      </c>
      <c r="G68" s="49">
        <f t="shared" si="9"/>
        <v>55490</v>
      </c>
      <c r="H68" s="49">
        <f t="shared" si="9"/>
        <v>0</v>
      </c>
      <c r="I68" s="49">
        <f t="shared" si="9"/>
        <v>0</v>
      </c>
      <c r="J68" s="49">
        <f t="shared" si="9"/>
        <v>-50</v>
      </c>
      <c r="K68" s="55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1:25" ht="15" customHeight="1" x14ac:dyDescent="0.25">
      <c r="A69" s="39"/>
      <c r="B69" s="39"/>
      <c r="C69" s="54"/>
      <c r="D69" s="39"/>
      <c r="E69" s="46">
        <f t="shared" si="3"/>
        <v>0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1:25" ht="15" customHeight="1" x14ac:dyDescent="0.25">
      <c r="A70" s="40" t="s">
        <v>79</v>
      </c>
      <c r="B70" s="41"/>
      <c r="C70" s="42"/>
      <c r="D70" s="41"/>
      <c r="E70" s="46">
        <f t="shared" si="3"/>
        <v>0</v>
      </c>
      <c r="F70" s="41"/>
      <c r="G70" s="41"/>
      <c r="H70" s="41"/>
      <c r="I70" s="41"/>
      <c r="J70" s="41"/>
      <c r="K70" s="55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spans="1:25" ht="15" customHeight="1" x14ac:dyDescent="0.25">
      <c r="A71" s="41" t="s">
        <v>198</v>
      </c>
      <c r="B71" s="41" t="s">
        <v>95</v>
      </c>
      <c r="C71" s="42" t="s">
        <v>199</v>
      </c>
      <c r="D71" s="46">
        <v>22000</v>
      </c>
      <c r="E71" s="46">
        <f t="shared" si="3"/>
        <v>220</v>
      </c>
      <c r="F71" s="46">
        <v>0</v>
      </c>
      <c r="G71" s="46">
        <v>22000</v>
      </c>
      <c r="H71" s="46">
        <v>0</v>
      </c>
      <c r="I71" s="46">
        <v>0</v>
      </c>
      <c r="J71" s="46">
        <f t="shared" ref="J71:J88" si="10">D71-SUM(E71:G71)+SUM(H71:I71)</f>
        <v>-220</v>
      </c>
      <c r="K71" s="55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5" customHeight="1" x14ac:dyDescent="0.25">
      <c r="A72" s="41" t="s">
        <v>183</v>
      </c>
      <c r="B72" s="41" t="s">
        <v>53</v>
      </c>
      <c r="C72" s="42" t="s">
        <v>184</v>
      </c>
      <c r="D72" s="46">
        <v>25000</v>
      </c>
      <c r="E72" s="46">
        <f t="shared" si="3"/>
        <v>250</v>
      </c>
      <c r="F72" s="46">
        <v>0</v>
      </c>
      <c r="G72" s="46">
        <v>25000</v>
      </c>
      <c r="H72" s="46">
        <v>0</v>
      </c>
      <c r="I72" s="46">
        <v>0</v>
      </c>
      <c r="J72" s="46">
        <f t="shared" si="10"/>
        <v>-250</v>
      </c>
      <c r="K72" s="55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spans="1:25" ht="15" customHeight="1" x14ac:dyDescent="0.25">
      <c r="A73" s="41" t="s">
        <v>188</v>
      </c>
      <c r="B73" s="41" t="s">
        <v>23</v>
      </c>
      <c r="C73" s="42" t="s">
        <v>189</v>
      </c>
      <c r="D73" s="46">
        <v>25000</v>
      </c>
      <c r="E73" s="46">
        <f t="shared" si="3"/>
        <v>250</v>
      </c>
      <c r="F73" s="46">
        <v>0</v>
      </c>
      <c r="G73" s="46">
        <v>25000</v>
      </c>
      <c r="H73" s="46">
        <v>0</v>
      </c>
      <c r="I73" s="46">
        <v>0</v>
      </c>
      <c r="J73" s="46">
        <f t="shared" si="10"/>
        <v>-250</v>
      </c>
      <c r="K73" s="55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 spans="1:25" ht="15" customHeight="1" x14ac:dyDescent="0.25">
      <c r="A74" s="41" t="s">
        <v>176</v>
      </c>
      <c r="B74" s="41" t="s">
        <v>35</v>
      </c>
      <c r="C74" s="42" t="s">
        <v>177</v>
      </c>
      <c r="D74" s="46">
        <v>20000</v>
      </c>
      <c r="E74" s="46">
        <f t="shared" si="3"/>
        <v>200</v>
      </c>
      <c r="F74" s="46">
        <v>0</v>
      </c>
      <c r="G74" s="46">
        <v>20000</v>
      </c>
      <c r="H74" s="46">
        <v>0</v>
      </c>
      <c r="I74" s="46">
        <v>0</v>
      </c>
      <c r="J74" s="46">
        <f t="shared" si="10"/>
        <v>-200</v>
      </c>
      <c r="K74" s="55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5" ht="15" customHeight="1" x14ac:dyDescent="0.25">
      <c r="A75" s="41" t="s">
        <v>200</v>
      </c>
      <c r="B75" s="41" t="s">
        <v>162</v>
      </c>
      <c r="C75" s="42" t="s">
        <v>201</v>
      </c>
      <c r="D75" s="46">
        <v>20000</v>
      </c>
      <c r="E75" s="46">
        <f t="shared" si="3"/>
        <v>200</v>
      </c>
      <c r="F75" s="46">
        <v>0</v>
      </c>
      <c r="G75" s="46">
        <v>20000</v>
      </c>
      <c r="H75" s="46">
        <v>0</v>
      </c>
      <c r="I75" s="46">
        <v>0</v>
      </c>
      <c r="J75" s="46">
        <f t="shared" si="10"/>
        <v>-200</v>
      </c>
      <c r="K75" s="55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spans="1:25" ht="15" customHeight="1" x14ac:dyDescent="0.25">
      <c r="A76" s="41" t="s">
        <v>161</v>
      </c>
      <c r="B76" s="41" t="s">
        <v>162</v>
      </c>
      <c r="C76" s="42" t="s">
        <v>163</v>
      </c>
      <c r="D76" s="46">
        <v>10000</v>
      </c>
      <c r="E76" s="46">
        <f t="shared" si="3"/>
        <v>100</v>
      </c>
      <c r="F76" s="46">
        <v>0</v>
      </c>
      <c r="G76" s="46">
        <v>10000</v>
      </c>
      <c r="H76" s="46">
        <v>0</v>
      </c>
      <c r="I76" s="46">
        <v>0</v>
      </c>
      <c r="J76" s="46">
        <f t="shared" si="10"/>
        <v>-100</v>
      </c>
      <c r="K76" s="55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spans="1:25" ht="15" customHeight="1" x14ac:dyDescent="0.25">
      <c r="A77" s="41" t="s">
        <v>164</v>
      </c>
      <c r="B77" s="41" t="s">
        <v>165</v>
      </c>
      <c r="C77" s="42" t="s">
        <v>166</v>
      </c>
      <c r="D77" s="46">
        <v>10000</v>
      </c>
      <c r="E77" s="46">
        <f t="shared" si="3"/>
        <v>100</v>
      </c>
      <c r="F77" s="46">
        <v>0</v>
      </c>
      <c r="G77" s="46">
        <v>10000</v>
      </c>
      <c r="H77" s="46">
        <v>0</v>
      </c>
      <c r="I77" s="46">
        <v>0</v>
      </c>
      <c r="J77" s="46">
        <f t="shared" si="10"/>
        <v>-100</v>
      </c>
      <c r="K77" s="55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spans="1:25" ht="15" customHeight="1" x14ac:dyDescent="0.25">
      <c r="A78" s="41" t="s">
        <v>185</v>
      </c>
      <c r="B78" s="41" t="s">
        <v>20</v>
      </c>
      <c r="C78" s="42">
        <v>774746872</v>
      </c>
      <c r="D78" s="46">
        <v>12000</v>
      </c>
      <c r="E78" s="46">
        <f t="shared" si="3"/>
        <v>120</v>
      </c>
      <c r="F78" s="46">
        <v>0</v>
      </c>
      <c r="G78" s="46">
        <v>12000</v>
      </c>
      <c r="H78" s="46">
        <v>0</v>
      </c>
      <c r="I78" s="46">
        <v>0</v>
      </c>
      <c r="J78" s="46">
        <f t="shared" si="10"/>
        <v>-120</v>
      </c>
      <c r="K78" s="55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15" customHeight="1" x14ac:dyDescent="0.25">
      <c r="A79" s="41" t="s">
        <v>181</v>
      </c>
      <c r="B79" s="41" t="s">
        <v>162</v>
      </c>
      <c r="C79" s="42" t="s">
        <v>182</v>
      </c>
      <c r="D79" s="46">
        <v>10000</v>
      </c>
      <c r="E79" s="46">
        <f t="shared" si="3"/>
        <v>100</v>
      </c>
      <c r="F79" s="46">
        <v>0</v>
      </c>
      <c r="G79" s="46">
        <v>10000</v>
      </c>
      <c r="H79" s="46">
        <v>0</v>
      </c>
      <c r="I79" s="46">
        <v>0</v>
      </c>
      <c r="J79" s="46">
        <f t="shared" si="10"/>
        <v>-100</v>
      </c>
      <c r="K79" s="55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15" customHeight="1" x14ac:dyDescent="0.25">
      <c r="A80" s="41" t="s">
        <v>194</v>
      </c>
      <c r="B80" s="41" t="s">
        <v>162</v>
      </c>
      <c r="C80" s="42" t="s">
        <v>196</v>
      </c>
      <c r="D80" s="46">
        <v>10000</v>
      </c>
      <c r="E80" s="46">
        <f t="shared" si="3"/>
        <v>100</v>
      </c>
      <c r="F80" s="46">
        <v>0</v>
      </c>
      <c r="G80" s="46">
        <v>10000</v>
      </c>
      <c r="H80" s="46">
        <v>0</v>
      </c>
      <c r="I80" s="46">
        <v>0</v>
      </c>
      <c r="J80" s="46">
        <f t="shared" si="10"/>
        <v>-100</v>
      </c>
      <c r="K80" s="55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 spans="1:25" ht="15" customHeight="1" x14ac:dyDescent="0.25">
      <c r="A81" s="41" t="s">
        <v>172</v>
      </c>
      <c r="B81" s="41" t="s">
        <v>35</v>
      </c>
      <c r="C81" s="42" t="s">
        <v>129</v>
      </c>
      <c r="D81" s="46">
        <v>15000</v>
      </c>
      <c r="E81" s="46">
        <f t="shared" si="3"/>
        <v>150</v>
      </c>
      <c r="F81" s="46">
        <v>0</v>
      </c>
      <c r="G81" s="46">
        <v>15000</v>
      </c>
      <c r="H81" s="46">
        <v>0</v>
      </c>
      <c r="I81" s="46">
        <v>0</v>
      </c>
      <c r="J81" s="46">
        <f t="shared" si="10"/>
        <v>-150</v>
      </c>
      <c r="K81" s="55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 spans="1:25" ht="15" customHeight="1" x14ac:dyDescent="0.25">
      <c r="A82" s="41" t="s">
        <v>202</v>
      </c>
      <c r="B82" s="41" t="s">
        <v>20</v>
      </c>
      <c r="C82" s="42">
        <v>1486434228</v>
      </c>
      <c r="D82" s="46">
        <v>35000</v>
      </c>
      <c r="E82" s="46">
        <f t="shared" si="3"/>
        <v>350</v>
      </c>
      <c r="F82" s="46">
        <v>0</v>
      </c>
      <c r="G82" s="46">
        <v>34650</v>
      </c>
      <c r="H82" s="46">
        <v>0</v>
      </c>
      <c r="I82" s="46">
        <v>0</v>
      </c>
      <c r="J82" s="46">
        <f t="shared" si="10"/>
        <v>0</v>
      </c>
      <c r="K82" s="55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 spans="1:25" ht="15" customHeight="1" x14ac:dyDescent="0.25">
      <c r="A83" s="41" t="s">
        <v>203</v>
      </c>
      <c r="B83" s="41" t="s">
        <v>204</v>
      </c>
      <c r="C83" s="42">
        <v>155148852</v>
      </c>
      <c r="D83" s="46">
        <v>25000</v>
      </c>
      <c r="E83" s="46">
        <f t="shared" si="3"/>
        <v>250</v>
      </c>
      <c r="F83" s="46">
        <v>0</v>
      </c>
      <c r="G83" s="46">
        <v>24750</v>
      </c>
      <c r="H83" s="46">
        <v>0</v>
      </c>
      <c r="I83" s="46">
        <v>0</v>
      </c>
      <c r="J83" s="46">
        <f t="shared" si="10"/>
        <v>0</v>
      </c>
      <c r="K83" s="55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 spans="1:25" ht="15" customHeight="1" x14ac:dyDescent="0.25">
      <c r="A84" s="41" t="s">
        <v>152</v>
      </c>
      <c r="B84" s="41" t="s">
        <v>162</v>
      </c>
      <c r="C84" s="42" t="s">
        <v>171</v>
      </c>
      <c r="D84" s="46">
        <v>25000</v>
      </c>
      <c r="E84" s="46">
        <f t="shared" si="3"/>
        <v>250</v>
      </c>
      <c r="F84" s="46">
        <v>0</v>
      </c>
      <c r="G84" s="46">
        <v>24750</v>
      </c>
      <c r="H84" s="46">
        <v>0</v>
      </c>
      <c r="I84" s="46">
        <v>0</v>
      </c>
      <c r="J84" s="46">
        <f t="shared" si="10"/>
        <v>0</v>
      </c>
      <c r="K84" s="55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5" ht="15" customHeight="1" x14ac:dyDescent="0.25">
      <c r="A85" s="41" t="s">
        <v>205</v>
      </c>
      <c r="B85" s="41" t="s">
        <v>53</v>
      </c>
      <c r="C85" s="42" t="s">
        <v>206</v>
      </c>
      <c r="D85" s="46">
        <v>35000</v>
      </c>
      <c r="E85" s="46">
        <f t="shared" si="3"/>
        <v>350</v>
      </c>
      <c r="F85" s="46">
        <v>0</v>
      </c>
      <c r="G85" s="46">
        <v>34650</v>
      </c>
      <c r="H85" s="46">
        <v>0</v>
      </c>
      <c r="I85" s="46">
        <v>0</v>
      </c>
      <c r="J85" s="46">
        <f t="shared" si="10"/>
        <v>0</v>
      </c>
      <c r="K85" s="55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 spans="1:25" ht="15" customHeight="1" x14ac:dyDescent="0.25">
      <c r="A86" s="41" t="s">
        <v>186</v>
      </c>
      <c r="B86" s="41" t="s">
        <v>162</v>
      </c>
      <c r="C86" s="42" t="s">
        <v>187</v>
      </c>
      <c r="D86" s="46">
        <v>25000</v>
      </c>
      <c r="E86" s="46">
        <f t="shared" si="3"/>
        <v>250</v>
      </c>
      <c r="F86" s="46">
        <v>0</v>
      </c>
      <c r="G86" s="46">
        <v>24750</v>
      </c>
      <c r="H86" s="46">
        <v>0</v>
      </c>
      <c r="I86" s="46">
        <v>0</v>
      </c>
      <c r="J86" s="46">
        <f t="shared" si="10"/>
        <v>0</v>
      </c>
      <c r="K86" s="55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 spans="1:25" ht="15" customHeight="1" x14ac:dyDescent="0.25">
      <c r="A87" s="41" t="s">
        <v>142</v>
      </c>
      <c r="B87" s="41" t="s">
        <v>162</v>
      </c>
      <c r="C87" s="42" t="s">
        <v>207</v>
      </c>
      <c r="D87" s="46">
        <v>37000</v>
      </c>
      <c r="E87" s="46">
        <f t="shared" si="3"/>
        <v>370</v>
      </c>
      <c r="F87" s="46">
        <v>0</v>
      </c>
      <c r="G87" s="46">
        <v>36630</v>
      </c>
      <c r="H87" s="46">
        <v>0</v>
      </c>
      <c r="I87" s="46">
        <v>0</v>
      </c>
      <c r="J87" s="46">
        <f t="shared" si="10"/>
        <v>0</v>
      </c>
      <c r="K87" s="55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 spans="1:25" ht="15" customHeight="1" x14ac:dyDescent="0.25">
      <c r="A88" s="41" t="s">
        <v>144</v>
      </c>
      <c r="B88" s="41" t="s">
        <v>162</v>
      </c>
      <c r="C88" s="42" t="s">
        <v>191</v>
      </c>
      <c r="D88" s="46">
        <v>30000</v>
      </c>
      <c r="E88" s="46">
        <f t="shared" si="3"/>
        <v>300</v>
      </c>
      <c r="F88" s="46">
        <v>0</v>
      </c>
      <c r="G88" s="46">
        <v>29700</v>
      </c>
      <c r="H88" s="46">
        <v>0</v>
      </c>
      <c r="I88" s="46">
        <v>0</v>
      </c>
      <c r="J88" s="46">
        <f t="shared" si="10"/>
        <v>0</v>
      </c>
      <c r="K88" s="55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spans="1:25" ht="15" customHeight="1" x14ac:dyDescent="0.25">
      <c r="A89" s="40"/>
      <c r="B89" s="40"/>
      <c r="C89" s="48"/>
      <c r="D89" s="49">
        <f>SUM(D71:D88)</f>
        <v>391000</v>
      </c>
      <c r="E89" s="46">
        <f t="shared" si="3"/>
        <v>3910</v>
      </c>
      <c r="F89" s="49">
        <f t="shared" ref="F89:J89" si="11">SUM(F71:F88)</f>
        <v>0</v>
      </c>
      <c r="G89" s="49">
        <f t="shared" si="11"/>
        <v>388880</v>
      </c>
      <c r="H89" s="49">
        <f t="shared" si="11"/>
        <v>0</v>
      </c>
      <c r="I89" s="49">
        <f t="shared" si="11"/>
        <v>0</v>
      </c>
      <c r="J89" s="49">
        <f t="shared" si="11"/>
        <v>-1790</v>
      </c>
      <c r="K89" s="55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spans="1:25" ht="15" customHeight="1" x14ac:dyDescent="0.25">
      <c r="A90" s="39"/>
      <c r="B90" s="39"/>
      <c r="C90" s="54"/>
      <c r="D90" s="39"/>
      <c r="E90" s="46">
        <f t="shared" si="3"/>
        <v>0</v>
      </c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spans="1:25" ht="15" customHeight="1" x14ac:dyDescent="0.25">
      <c r="A91" s="40" t="s">
        <v>97</v>
      </c>
      <c r="B91" s="41"/>
      <c r="C91" s="42"/>
      <c r="D91" s="41"/>
      <c r="E91" s="46">
        <f t="shared" si="3"/>
        <v>0</v>
      </c>
      <c r="F91" s="41"/>
      <c r="G91" s="41"/>
      <c r="H91" s="41"/>
      <c r="I91" s="41"/>
      <c r="J91" s="41"/>
      <c r="K91" s="55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spans="1:25" ht="15" customHeight="1" x14ac:dyDescent="0.25">
      <c r="A92" s="41" t="s">
        <v>198</v>
      </c>
      <c r="B92" s="41" t="s">
        <v>95</v>
      </c>
      <c r="C92" s="42" t="s">
        <v>199</v>
      </c>
      <c r="D92" s="46">
        <v>16500</v>
      </c>
      <c r="E92" s="46">
        <f t="shared" si="3"/>
        <v>165</v>
      </c>
      <c r="F92" s="46">
        <v>0</v>
      </c>
      <c r="G92" s="46">
        <v>16500</v>
      </c>
      <c r="H92" s="46">
        <v>0</v>
      </c>
      <c r="I92" s="46">
        <v>0</v>
      </c>
      <c r="J92" s="46">
        <f t="shared" ref="J92:J110" si="12">D92-SUM(E92:G92)+SUM(H92:I92)</f>
        <v>-165</v>
      </c>
      <c r="K92" s="55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spans="1:25" ht="15" customHeight="1" x14ac:dyDescent="0.25">
      <c r="A93" s="41" t="s">
        <v>183</v>
      </c>
      <c r="B93" s="41" t="s">
        <v>53</v>
      </c>
      <c r="C93" s="42" t="s">
        <v>184</v>
      </c>
      <c r="D93" s="46">
        <v>25000</v>
      </c>
      <c r="E93" s="46">
        <f t="shared" si="3"/>
        <v>250</v>
      </c>
      <c r="F93" s="46">
        <v>0</v>
      </c>
      <c r="G93" s="46">
        <v>25000</v>
      </c>
      <c r="H93" s="46">
        <v>0</v>
      </c>
      <c r="I93" s="46">
        <v>0</v>
      </c>
      <c r="J93" s="46">
        <f t="shared" si="12"/>
        <v>-250</v>
      </c>
      <c r="K93" s="55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spans="1:25" ht="15" customHeight="1" x14ac:dyDescent="0.25">
      <c r="A94" s="41" t="s">
        <v>188</v>
      </c>
      <c r="B94" s="41" t="s">
        <v>23</v>
      </c>
      <c r="C94" s="42" t="s">
        <v>189</v>
      </c>
      <c r="D94" s="46">
        <v>25000</v>
      </c>
      <c r="E94" s="46">
        <f t="shared" si="3"/>
        <v>250</v>
      </c>
      <c r="F94" s="46">
        <v>0</v>
      </c>
      <c r="G94" s="46">
        <v>25000</v>
      </c>
      <c r="H94" s="46">
        <v>0</v>
      </c>
      <c r="I94" s="46">
        <v>0</v>
      </c>
      <c r="J94" s="46">
        <f t="shared" si="12"/>
        <v>-250</v>
      </c>
      <c r="K94" s="55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spans="1:25" ht="15" customHeight="1" x14ac:dyDescent="0.25">
      <c r="A95" s="41" t="s">
        <v>176</v>
      </c>
      <c r="B95" s="41" t="s">
        <v>35</v>
      </c>
      <c r="C95" s="42" t="s">
        <v>177</v>
      </c>
      <c r="D95" s="46">
        <v>20000</v>
      </c>
      <c r="E95" s="46">
        <f t="shared" si="3"/>
        <v>200</v>
      </c>
      <c r="F95" s="46">
        <v>0</v>
      </c>
      <c r="G95" s="46">
        <v>20000</v>
      </c>
      <c r="H95" s="46">
        <v>0</v>
      </c>
      <c r="I95" s="46">
        <v>0</v>
      </c>
      <c r="J95" s="46">
        <f t="shared" si="12"/>
        <v>-200</v>
      </c>
      <c r="K95" s="55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5" ht="15" customHeight="1" x14ac:dyDescent="0.25">
      <c r="A96" s="41" t="s">
        <v>200</v>
      </c>
      <c r="B96" s="41" t="s">
        <v>162</v>
      </c>
      <c r="C96" s="42" t="s">
        <v>201</v>
      </c>
      <c r="D96" s="46">
        <v>15000</v>
      </c>
      <c r="E96" s="46">
        <f t="shared" si="3"/>
        <v>150</v>
      </c>
      <c r="F96" s="46">
        <v>0</v>
      </c>
      <c r="G96" s="46">
        <v>15000</v>
      </c>
      <c r="H96" s="46">
        <v>0</v>
      </c>
      <c r="I96" s="46">
        <v>0</v>
      </c>
      <c r="J96" s="46">
        <f t="shared" si="12"/>
        <v>-150</v>
      </c>
      <c r="K96" s="55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spans="1:25" ht="15" customHeight="1" x14ac:dyDescent="0.25">
      <c r="A97" s="41" t="s">
        <v>208</v>
      </c>
      <c r="B97" s="41" t="s">
        <v>162</v>
      </c>
      <c r="C97" s="42" t="s">
        <v>209</v>
      </c>
      <c r="D97" s="46">
        <v>10000</v>
      </c>
      <c r="E97" s="46">
        <f t="shared" si="3"/>
        <v>100</v>
      </c>
      <c r="F97" s="46">
        <v>0</v>
      </c>
      <c r="G97" s="46">
        <v>10000</v>
      </c>
      <c r="H97" s="46">
        <v>0</v>
      </c>
      <c r="I97" s="46">
        <v>0</v>
      </c>
      <c r="J97" s="46">
        <f t="shared" si="12"/>
        <v>-100</v>
      </c>
      <c r="K97" s="55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spans="1:25" ht="15" customHeight="1" x14ac:dyDescent="0.25">
      <c r="A98" s="41" t="s">
        <v>161</v>
      </c>
      <c r="B98" s="41" t="s">
        <v>162</v>
      </c>
      <c r="C98" s="42" t="s">
        <v>163</v>
      </c>
      <c r="D98" s="46">
        <v>10000</v>
      </c>
      <c r="E98" s="46">
        <f t="shared" si="3"/>
        <v>100</v>
      </c>
      <c r="F98" s="46">
        <v>0</v>
      </c>
      <c r="G98" s="46">
        <v>10000</v>
      </c>
      <c r="H98" s="46">
        <v>0</v>
      </c>
      <c r="I98" s="46">
        <v>0</v>
      </c>
      <c r="J98" s="46">
        <f t="shared" si="12"/>
        <v>-100</v>
      </c>
      <c r="K98" s="55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5" ht="15" customHeight="1" x14ac:dyDescent="0.25">
      <c r="A99" s="41" t="s">
        <v>164</v>
      </c>
      <c r="B99" s="41" t="s">
        <v>165</v>
      </c>
      <c r="C99" s="42" t="s">
        <v>166</v>
      </c>
      <c r="D99" s="46">
        <v>10000</v>
      </c>
      <c r="E99" s="46">
        <f t="shared" si="3"/>
        <v>100</v>
      </c>
      <c r="F99" s="46">
        <v>0</v>
      </c>
      <c r="G99" s="46">
        <v>10000</v>
      </c>
      <c r="H99" s="46">
        <v>0</v>
      </c>
      <c r="I99" s="46">
        <v>0</v>
      </c>
      <c r="J99" s="46">
        <f t="shared" si="12"/>
        <v>-100</v>
      </c>
      <c r="K99" s="55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5" ht="15" customHeight="1" x14ac:dyDescent="0.25">
      <c r="A100" s="41" t="s">
        <v>185</v>
      </c>
      <c r="B100" s="41" t="s">
        <v>20</v>
      </c>
      <c r="C100" s="42">
        <v>774746872</v>
      </c>
      <c r="D100" s="46">
        <v>12000</v>
      </c>
      <c r="E100" s="46">
        <f t="shared" si="3"/>
        <v>120</v>
      </c>
      <c r="F100" s="46">
        <v>0</v>
      </c>
      <c r="G100" s="46">
        <v>12000</v>
      </c>
      <c r="H100" s="46">
        <v>0</v>
      </c>
      <c r="I100" s="46">
        <v>0</v>
      </c>
      <c r="J100" s="46">
        <f t="shared" si="12"/>
        <v>-120</v>
      </c>
      <c r="K100" s="55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spans="1:25" ht="15" customHeight="1" x14ac:dyDescent="0.25">
      <c r="A101" s="41" t="s">
        <v>181</v>
      </c>
      <c r="B101" s="41" t="s">
        <v>162</v>
      </c>
      <c r="C101" s="42" t="s">
        <v>182</v>
      </c>
      <c r="D101" s="46">
        <v>10000</v>
      </c>
      <c r="E101" s="46">
        <f t="shared" si="3"/>
        <v>100</v>
      </c>
      <c r="F101" s="46">
        <v>0</v>
      </c>
      <c r="G101" s="46">
        <v>10000</v>
      </c>
      <c r="H101" s="46">
        <v>0</v>
      </c>
      <c r="I101" s="46">
        <v>0</v>
      </c>
      <c r="J101" s="46">
        <f t="shared" si="12"/>
        <v>-100</v>
      </c>
      <c r="K101" s="55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spans="1:25" ht="15" customHeight="1" x14ac:dyDescent="0.25">
      <c r="A102" s="41" t="s">
        <v>194</v>
      </c>
      <c r="B102" s="41" t="s">
        <v>162</v>
      </c>
      <c r="C102" s="42" t="s">
        <v>196</v>
      </c>
      <c r="D102" s="46">
        <v>10000</v>
      </c>
      <c r="E102" s="46">
        <f t="shared" si="3"/>
        <v>100</v>
      </c>
      <c r="F102" s="46">
        <v>0</v>
      </c>
      <c r="G102" s="46">
        <v>10000</v>
      </c>
      <c r="H102" s="46">
        <v>0</v>
      </c>
      <c r="I102" s="46">
        <v>0</v>
      </c>
      <c r="J102" s="46">
        <f t="shared" si="12"/>
        <v>-100</v>
      </c>
      <c r="K102" s="55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spans="1:25" ht="15" customHeight="1" x14ac:dyDescent="0.25">
      <c r="A103" s="41" t="s">
        <v>172</v>
      </c>
      <c r="B103" s="41" t="s">
        <v>35</v>
      </c>
      <c r="C103" s="42" t="s">
        <v>129</v>
      </c>
      <c r="D103" s="46">
        <v>15000</v>
      </c>
      <c r="E103" s="46">
        <f t="shared" si="3"/>
        <v>150</v>
      </c>
      <c r="F103" s="46">
        <v>0</v>
      </c>
      <c r="G103" s="46">
        <v>14850</v>
      </c>
      <c r="H103" s="46">
        <v>0</v>
      </c>
      <c r="I103" s="46">
        <v>0</v>
      </c>
      <c r="J103" s="46">
        <f t="shared" si="12"/>
        <v>0</v>
      </c>
      <c r="K103" s="55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spans="1:25" ht="15" customHeight="1" x14ac:dyDescent="0.25">
      <c r="A104" s="41" t="s">
        <v>202</v>
      </c>
      <c r="B104" s="41" t="s">
        <v>20</v>
      </c>
      <c r="C104" s="42">
        <v>1486434228</v>
      </c>
      <c r="D104" s="46">
        <v>35000</v>
      </c>
      <c r="E104" s="46">
        <f t="shared" si="3"/>
        <v>350</v>
      </c>
      <c r="F104" s="46">
        <v>0</v>
      </c>
      <c r="G104" s="46">
        <v>34650</v>
      </c>
      <c r="H104" s="46">
        <v>0</v>
      </c>
      <c r="I104" s="46">
        <v>0</v>
      </c>
      <c r="J104" s="46">
        <f t="shared" si="12"/>
        <v>0</v>
      </c>
      <c r="K104" s="55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 spans="1:25" ht="15" customHeight="1" x14ac:dyDescent="0.25">
      <c r="A105" s="41" t="s">
        <v>203</v>
      </c>
      <c r="B105" s="41" t="s">
        <v>204</v>
      </c>
      <c r="C105" s="42" t="s">
        <v>210</v>
      </c>
      <c r="D105" s="46">
        <v>25000</v>
      </c>
      <c r="E105" s="46">
        <f t="shared" si="3"/>
        <v>250</v>
      </c>
      <c r="F105" s="46">
        <v>0</v>
      </c>
      <c r="G105" s="46">
        <v>24750</v>
      </c>
      <c r="H105" s="46">
        <v>0</v>
      </c>
      <c r="I105" s="46">
        <v>0</v>
      </c>
      <c r="J105" s="46">
        <f t="shared" si="12"/>
        <v>0</v>
      </c>
      <c r="K105" s="55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 ht="15" customHeight="1" x14ac:dyDescent="0.25">
      <c r="A106" s="41" t="s">
        <v>152</v>
      </c>
      <c r="B106" s="41" t="s">
        <v>162</v>
      </c>
      <c r="C106" s="42" t="s">
        <v>171</v>
      </c>
      <c r="D106" s="46">
        <v>25000</v>
      </c>
      <c r="E106" s="46">
        <f t="shared" si="3"/>
        <v>250</v>
      </c>
      <c r="F106" s="46">
        <v>0</v>
      </c>
      <c r="G106" s="46">
        <v>24750</v>
      </c>
      <c r="H106" s="46">
        <v>0</v>
      </c>
      <c r="I106" s="46">
        <v>0</v>
      </c>
      <c r="J106" s="46">
        <f t="shared" si="12"/>
        <v>0</v>
      </c>
      <c r="K106" s="55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spans="1:25" ht="15" customHeight="1" x14ac:dyDescent="0.25">
      <c r="A107" s="41" t="s">
        <v>205</v>
      </c>
      <c r="B107" s="41" t="s">
        <v>53</v>
      </c>
      <c r="C107" s="42" t="s">
        <v>206</v>
      </c>
      <c r="D107" s="46">
        <v>35000</v>
      </c>
      <c r="E107" s="46">
        <f t="shared" si="3"/>
        <v>350</v>
      </c>
      <c r="F107" s="46">
        <v>0</v>
      </c>
      <c r="G107" s="46">
        <v>34650</v>
      </c>
      <c r="H107" s="46">
        <v>0</v>
      </c>
      <c r="I107" s="46">
        <v>0</v>
      </c>
      <c r="J107" s="46">
        <f t="shared" si="12"/>
        <v>0</v>
      </c>
      <c r="K107" s="55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 spans="1:25" ht="15" customHeight="1" x14ac:dyDescent="0.25">
      <c r="A108" s="41" t="s">
        <v>186</v>
      </c>
      <c r="B108" s="41" t="s">
        <v>162</v>
      </c>
      <c r="C108" s="42" t="s">
        <v>187</v>
      </c>
      <c r="D108" s="46">
        <v>25000</v>
      </c>
      <c r="E108" s="46">
        <f t="shared" si="3"/>
        <v>250</v>
      </c>
      <c r="F108" s="46">
        <v>0</v>
      </c>
      <c r="G108" s="46">
        <v>24750</v>
      </c>
      <c r="H108" s="46">
        <v>0</v>
      </c>
      <c r="I108" s="46">
        <v>0</v>
      </c>
      <c r="J108" s="46">
        <f t="shared" si="12"/>
        <v>0</v>
      </c>
      <c r="K108" s="55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 spans="1:25" ht="15" customHeight="1" x14ac:dyDescent="0.25">
      <c r="A109" s="41" t="s">
        <v>142</v>
      </c>
      <c r="B109" s="41" t="s">
        <v>162</v>
      </c>
      <c r="C109" s="42" t="s">
        <v>207</v>
      </c>
      <c r="D109" s="46">
        <v>37000</v>
      </c>
      <c r="E109" s="46">
        <f t="shared" si="3"/>
        <v>370</v>
      </c>
      <c r="F109" s="46">
        <v>0</v>
      </c>
      <c r="G109" s="46">
        <v>36630</v>
      </c>
      <c r="H109" s="46">
        <v>0</v>
      </c>
      <c r="I109" s="46">
        <v>0</v>
      </c>
      <c r="J109" s="46">
        <f t="shared" si="12"/>
        <v>0</v>
      </c>
      <c r="K109" s="55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 spans="1:25" ht="15" customHeight="1" x14ac:dyDescent="0.25">
      <c r="A110" s="41" t="s">
        <v>144</v>
      </c>
      <c r="B110" s="41" t="s">
        <v>162</v>
      </c>
      <c r="C110" s="42" t="s">
        <v>191</v>
      </c>
      <c r="D110" s="46">
        <v>30000</v>
      </c>
      <c r="E110" s="46">
        <f t="shared" si="3"/>
        <v>300</v>
      </c>
      <c r="F110" s="46">
        <v>0</v>
      </c>
      <c r="G110" s="46">
        <v>29700</v>
      </c>
      <c r="H110" s="46">
        <v>0</v>
      </c>
      <c r="I110" s="46">
        <v>0</v>
      </c>
      <c r="J110" s="46">
        <f t="shared" si="12"/>
        <v>0</v>
      </c>
      <c r="K110" s="55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spans="1:25" ht="15" customHeight="1" x14ac:dyDescent="0.25">
      <c r="A111" s="40"/>
      <c r="B111" s="40"/>
      <c r="C111" s="48"/>
      <c r="D111" s="49">
        <f>SUM(D92:D110)</f>
        <v>390500</v>
      </c>
      <c r="E111" s="46">
        <f t="shared" si="3"/>
        <v>3905</v>
      </c>
      <c r="F111" s="49">
        <f t="shared" ref="F111:J111" si="13">SUM(F92:F110)</f>
        <v>0</v>
      </c>
      <c r="G111" s="49">
        <f t="shared" si="13"/>
        <v>388230</v>
      </c>
      <c r="H111" s="49">
        <f t="shared" si="13"/>
        <v>0</v>
      </c>
      <c r="I111" s="49">
        <f t="shared" si="13"/>
        <v>0</v>
      </c>
      <c r="J111" s="49">
        <f t="shared" si="13"/>
        <v>-1635</v>
      </c>
      <c r="K111" s="4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spans="1:25" ht="15" customHeight="1" x14ac:dyDescent="0.25">
      <c r="A112" s="39"/>
      <c r="B112" s="39"/>
      <c r="C112" s="54"/>
      <c r="D112" s="39"/>
      <c r="E112" s="46">
        <f t="shared" si="3"/>
        <v>0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spans="1:25" ht="15" customHeight="1" x14ac:dyDescent="0.25">
      <c r="A113" s="40" t="s">
        <v>101</v>
      </c>
      <c r="B113" s="41"/>
      <c r="C113" s="42"/>
      <c r="D113" s="41"/>
      <c r="E113" s="46">
        <f t="shared" si="3"/>
        <v>0</v>
      </c>
      <c r="F113" s="41"/>
      <c r="G113" s="41"/>
      <c r="H113" s="41"/>
      <c r="I113" s="41"/>
      <c r="J113" s="41"/>
      <c r="K113" s="55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spans="1:25" ht="15" customHeight="1" x14ac:dyDescent="0.25">
      <c r="A114" s="41" t="s">
        <v>211</v>
      </c>
      <c r="B114" s="41" t="s">
        <v>95</v>
      </c>
      <c r="C114" s="42" t="s">
        <v>199</v>
      </c>
      <c r="D114" s="46">
        <v>22000</v>
      </c>
      <c r="E114" s="46">
        <f t="shared" si="3"/>
        <v>220</v>
      </c>
      <c r="F114" s="46">
        <v>0</v>
      </c>
      <c r="G114" s="46">
        <v>22000</v>
      </c>
      <c r="H114" s="46">
        <v>0</v>
      </c>
      <c r="I114" s="46">
        <v>0</v>
      </c>
      <c r="J114" s="46">
        <f t="shared" ref="J114:J131" si="14">D114-SUM(E114:G114)+SUM(H114:I114)</f>
        <v>-220</v>
      </c>
      <c r="K114" s="55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spans="1:25" ht="15" customHeight="1" x14ac:dyDescent="0.25">
      <c r="A115" s="41" t="s">
        <v>183</v>
      </c>
      <c r="B115" s="41" t="s">
        <v>53</v>
      </c>
      <c r="C115" s="42" t="s">
        <v>184</v>
      </c>
      <c r="D115" s="46">
        <v>25000</v>
      </c>
      <c r="E115" s="46">
        <f t="shared" si="3"/>
        <v>250</v>
      </c>
      <c r="F115" s="46">
        <v>0</v>
      </c>
      <c r="G115" s="46">
        <v>25000</v>
      </c>
      <c r="H115" s="46">
        <v>0</v>
      </c>
      <c r="I115" s="46">
        <v>0</v>
      </c>
      <c r="J115" s="46">
        <f t="shared" si="14"/>
        <v>-250</v>
      </c>
      <c r="K115" s="55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 ht="15" customHeight="1" x14ac:dyDescent="0.25">
      <c r="A116" s="41" t="s">
        <v>188</v>
      </c>
      <c r="B116" s="41" t="s">
        <v>23</v>
      </c>
      <c r="C116" s="42" t="s">
        <v>189</v>
      </c>
      <c r="D116" s="46">
        <v>25000</v>
      </c>
      <c r="E116" s="46">
        <f t="shared" si="3"/>
        <v>250</v>
      </c>
      <c r="F116" s="46">
        <v>0</v>
      </c>
      <c r="G116" s="46">
        <v>25000</v>
      </c>
      <c r="H116" s="46">
        <v>0</v>
      </c>
      <c r="I116" s="46">
        <v>0</v>
      </c>
      <c r="J116" s="46">
        <f t="shared" si="14"/>
        <v>-250</v>
      </c>
      <c r="K116" s="55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 spans="1:25" ht="15" customHeight="1" x14ac:dyDescent="0.25">
      <c r="A117" s="41" t="s">
        <v>212</v>
      </c>
      <c r="B117" s="41" t="s">
        <v>35</v>
      </c>
      <c r="C117" s="42" t="s">
        <v>177</v>
      </c>
      <c r="D117" s="46">
        <v>20000</v>
      </c>
      <c r="E117" s="46">
        <f t="shared" si="3"/>
        <v>200</v>
      </c>
      <c r="F117" s="46">
        <v>0</v>
      </c>
      <c r="G117" s="46">
        <v>20000</v>
      </c>
      <c r="H117" s="46">
        <v>0</v>
      </c>
      <c r="I117" s="46">
        <v>0</v>
      </c>
      <c r="J117" s="46">
        <f t="shared" si="14"/>
        <v>-200</v>
      </c>
      <c r="K117" s="55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 spans="1:25" ht="15" customHeight="1" x14ac:dyDescent="0.25">
      <c r="A118" s="41" t="s">
        <v>213</v>
      </c>
      <c r="B118" s="41" t="s">
        <v>162</v>
      </c>
      <c r="C118" s="42" t="s">
        <v>201</v>
      </c>
      <c r="D118" s="46">
        <v>20000</v>
      </c>
      <c r="E118" s="46">
        <f t="shared" si="3"/>
        <v>200</v>
      </c>
      <c r="F118" s="46">
        <v>0</v>
      </c>
      <c r="G118" s="46">
        <v>25000</v>
      </c>
      <c r="H118" s="46">
        <v>0</v>
      </c>
      <c r="I118" s="46">
        <v>5000</v>
      </c>
      <c r="J118" s="46">
        <f t="shared" si="14"/>
        <v>-200</v>
      </c>
      <c r="K118" s="55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 spans="1:25" ht="15" customHeight="1" x14ac:dyDescent="0.25">
      <c r="A119" s="41" t="s">
        <v>214</v>
      </c>
      <c r="B119" s="41" t="s">
        <v>162</v>
      </c>
      <c r="C119" s="42" t="s">
        <v>209</v>
      </c>
      <c r="D119" s="46">
        <v>10000</v>
      </c>
      <c r="E119" s="46">
        <f t="shared" si="3"/>
        <v>100</v>
      </c>
      <c r="F119" s="46">
        <v>0</v>
      </c>
      <c r="G119" s="46">
        <v>10000</v>
      </c>
      <c r="H119" s="46">
        <v>0</v>
      </c>
      <c r="I119" s="46">
        <v>0</v>
      </c>
      <c r="J119" s="46">
        <f t="shared" si="14"/>
        <v>-100</v>
      </c>
      <c r="K119" s="55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 spans="1:25" ht="15" customHeight="1" x14ac:dyDescent="0.25">
      <c r="A120" s="41" t="s">
        <v>215</v>
      </c>
      <c r="B120" s="41" t="s">
        <v>20</v>
      </c>
      <c r="C120" s="42">
        <v>774746872</v>
      </c>
      <c r="D120" s="46">
        <v>12000</v>
      </c>
      <c r="E120" s="46">
        <f t="shared" si="3"/>
        <v>120</v>
      </c>
      <c r="F120" s="46">
        <v>0</v>
      </c>
      <c r="G120" s="46">
        <v>12000</v>
      </c>
      <c r="H120" s="46">
        <v>0</v>
      </c>
      <c r="I120" s="46">
        <v>0</v>
      </c>
      <c r="J120" s="46">
        <f t="shared" si="14"/>
        <v>-120</v>
      </c>
      <c r="K120" s="55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 spans="1:25" ht="15" customHeight="1" x14ac:dyDescent="0.25">
      <c r="A121" s="41" t="s">
        <v>181</v>
      </c>
      <c r="B121" s="41" t="s">
        <v>162</v>
      </c>
      <c r="C121" s="42" t="s">
        <v>182</v>
      </c>
      <c r="D121" s="46">
        <v>0</v>
      </c>
      <c r="E121" s="46">
        <f t="shared" si="3"/>
        <v>0</v>
      </c>
      <c r="F121" s="46">
        <v>0</v>
      </c>
      <c r="G121" s="46">
        <v>0</v>
      </c>
      <c r="H121" s="46">
        <v>0</v>
      </c>
      <c r="I121" s="46">
        <v>0</v>
      </c>
      <c r="J121" s="46">
        <f t="shared" si="14"/>
        <v>0</v>
      </c>
      <c r="K121" s="55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 spans="1:25" ht="15" customHeight="1" x14ac:dyDescent="0.25">
      <c r="A122" s="41" t="s">
        <v>216</v>
      </c>
      <c r="B122" s="41" t="s">
        <v>162</v>
      </c>
      <c r="C122" s="42" t="s">
        <v>196</v>
      </c>
      <c r="D122" s="46">
        <v>5000</v>
      </c>
      <c r="E122" s="46">
        <f t="shared" si="3"/>
        <v>50</v>
      </c>
      <c r="F122" s="46">
        <v>0</v>
      </c>
      <c r="G122" s="46">
        <v>5000</v>
      </c>
      <c r="H122" s="46">
        <v>0</v>
      </c>
      <c r="I122" s="46">
        <v>0</v>
      </c>
      <c r="J122" s="46">
        <f t="shared" si="14"/>
        <v>-50</v>
      </c>
      <c r="K122" s="55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 spans="1:25" ht="15" customHeight="1" x14ac:dyDescent="0.25">
      <c r="A123" s="41" t="s">
        <v>217</v>
      </c>
      <c r="B123" s="41" t="s">
        <v>162</v>
      </c>
      <c r="C123" s="42" t="s">
        <v>163</v>
      </c>
      <c r="D123" s="46">
        <v>25000</v>
      </c>
      <c r="E123" s="46">
        <f t="shared" si="3"/>
        <v>250</v>
      </c>
      <c r="F123" s="46">
        <v>0</v>
      </c>
      <c r="G123" s="46">
        <v>25000</v>
      </c>
      <c r="H123" s="46">
        <v>0</v>
      </c>
      <c r="I123" s="46">
        <v>0</v>
      </c>
      <c r="J123" s="46">
        <f t="shared" si="14"/>
        <v>-250</v>
      </c>
      <c r="K123" s="55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 spans="1:25" ht="15" customHeight="1" x14ac:dyDescent="0.25">
      <c r="A124" s="41" t="s">
        <v>218</v>
      </c>
      <c r="B124" s="41" t="s">
        <v>165</v>
      </c>
      <c r="C124" s="42" t="s">
        <v>166</v>
      </c>
      <c r="D124" s="46">
        <v>25000</v>
      </c>
      <c r="E124" s="46">
        <f t="shared" si="3"/>
        <v>250</v>
      </c>
      <c r="F124" s="46">
        <v>0</v>
      </c>
      <c r="G124" s="46">
        <v>24750</v>
      </c>
      <c r="H124" s="46">
        <v>0</v>
      </c>
      <c r="I124" s="46">
        <v>0</v>
      </c>
      <c r="J124" s="46">
        <f t="shared" si="14"/>
        <v>0</v>
      </c>
      <c r="K124" s="55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 spans="1:25" ht="15" customHeight="1" x14ac:dyDescent="0.25">
      <c r="A125" s="41" t="s">
        <v>219</v>
      </c>
      <c r="B125" s="41" t="s">
        <v>35</v>
      </c>
      <c r="C125" s="42" t="s">
        <v>129</v>
      </c>
      <c r="D125" s="46">
        <v>15000</v>
      </c>
      <c r="E125" s="46">
        <f t="shared" si="3"/>
        <v>150</v>
      </c>
      <c r="F125" s="46">
        <v>0</v>
      </c>
      <c r="G125" s="46">
        <v>14850</v>
      </c>
      <c r="H125" s="46">
        <v>0</v>
      </c>
      <c r="I125" s="46">
        <v>0</v>
      </c>
      <c r="J125" s="46">
        <f t="shared" si="14"/>
        <v>0</v>
      </c>
      <c r="K125" s="55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 ht="15" customHeight="1" x14ac:dyDescent="0.25">
      <c r="A126" s="41" t="s">
        <v>220</v>
      </c>
      <c r="B126" s="41" t="s">
        <v>20</v>
      </c>
      <c r="C126" s="42">
        <v>1486434228</v>
      </c>
      <c r="D126" s="46">
        <v>35000</v>
      </c>
      <c r="E126" s="46">
        <f t="shared" si="3"/>
        <v>350</v>
      </c>
      <c r="F126" s="46">
        <v>0</v>
      </c>
      <c r="G126" s="46">
        <v>34650</v>
      </c>
      <c r="H126" s="46">
        <v>0</v>
      </c>
      <c r="I126" s="46">
        <v>0</v>
      </c>
      <c r="J126" s="46">
        <f t="shared" si="14"/>
        <v>0</v>
      </c>
      <c r="K126" s="55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 spans="1:25" ht="15" customHeight="1" x14ac:dyDescent="0.25">
      <c r="A127" s="41" t="s">
        <v>221</v>
      </c>
      <c r="B127" s="41" t="s">
        <v>162</v>
      </c>
      <c r="C127" s="42" t="s">
        <v>171</v>
      </c>
      <c r="D127" s="46">
        <v>25000</v>
      </c>
      <c r="E127" s="46">
        <f t="shared" si="3"/>
        <v>250</v>
      </c>
      <c r="F127" s="46">
        <v>0</v>
      </c>
      <c r="G127" s="46">
        <v>24750</v>
      </c>
      <c r="H127" s="46">
        <v>0</v>
      </c>
      <c r="I127" s="46">
        <v>0</v>
      </c>
      <c r="J127" s="46">
        <f t="shared" si="14"/>
        <v>0</v>
      </c>
      <c r="K127" s="55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 spans="1:25" ht="15" customHeight="1" x14ac:dyDescent="0.25">
      <c r="A128" s="41" t="s">
        <v>222</v>
      </c>
      <c r="B128" s="41" t="s">
        <v>53</v>
      </c>
      <c r="C128" s="42" t="s">
        <v>206</v>
      </c>
      <c r="D128" s="46">
        <v>35000</v>
      </c>
      <c r="E128" s="46">
        <f t="shared" si="3"/>
        <v>350</v>
      </c>
      <c r="F128" s="46">
        <v>0</v>
      </c>
      <c r="G128" s="46">
        <v>34650</v>
      </c>
      <c r="H128" s="46">
        <v>0</v>
      </c>
      <c r="I128" s="46">
        <v>0</v>
      </c>
      <c r="J128" s="46">
        <f t="shared" si="14"/>
        <v>0</v>
      </c>
      <c r="K128" s="55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 spans="1:26" ht="15" customHeight="1" x14ac:dyDescent="0.25">
      <c r="A129" s="41" t="s">
        <v>223</v>
      </c>
      <c r="B129" s="41" t="s">
        <v>162</v>
      </c>
      <c r="C129" s="42" t="s">
        <v>187</v>
      </c>
      <c r="D129" s="46">
        <v>25000</v>
      </c>
      <c r="E129" s="46">
        <f t="shared" si="3"/>
        <v>250</v>
      </c>
      <c r="F129" s="46">
        <v>0</v>
      </c>
      <c r="G129" s="46">
        <v>24750</v>
      </c>
      <c r="H129" s="46">
        <v>0</v>
      </c>
      <c r="I129" s="46">
        <v>0</v>
      </c>
      <c r="J129" s="46">
        <f t="shared" si="14"/>
        <v>0</v>
      </c>
      <c r="K129" s="55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 spans="1:26" ht="15" customHeight="1" x14ac:dyDescent="0.25">
      <c r="A130" s="41" t="s">
        <v>224</v>
      </c>
      <c r="B130" s="41" t="s">
        <v>162</v>
      </c>
      <c r="C130" s="42" t="s">
        <v>207</v>
      </c>
      <c r="D130" s="46">
        <v>37000</v>
      </c>
      <c r="E130" s="46">
        <f t="shared" si="3"/>
        <v>370</v>
      </c>
      <c r="F130" s="46">
        <v>0</v>
      </c>
      <c r="G130" s="46">
        <v>36680</v>
      </c>
      <c r="H130" s="46">
        <v>0</v>
      </c>
      <c r="I130" s="46">
        <v>0</v>
      </c>
      <c r="J130" s="46">
        <f t="shared" si="14"/>
        <v>-50</v>
      </c>
      <c r="K130" s="55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 spans="1:26" ht="15" customHeight="1" x14ac:dyDescent="0.25">
      <c r="A131" s="41" t="s">
        <v>225</v>
      </c>
      <c r="B131" s="41" t="s">
        <v>162</v>
      </c>
      <c r="C131" s="42" t="s">
        <v>191</v>
      </c>
      <c r="D131" s="46">
        <v>30000</v>
      </c>
      <c r="E131" s="46">
        <f t="shared" si="3"/>
        <v>300</v>
      </c>
      <c r="F131" s="46">
        <v>0</v>
      </c>
      <c r="G131" s="46">
        <v>29700</v>
      </c>
      <c r="H131" s="46">
        <v>0</v>
      </c>
      <c r="I131" s="46">
        <v>0</v>
      </c>
      <c r="J131" s="46">
        <f t="shared" si="14"/>
        <v>0</v>
      </c>
      <c r="K131" s="55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 spans="1:26" ht="15" customHeight="1" x14ac:dyDescent="0.25">
      <c r="A132" s="40"/>
      <c r="B132" s="40"/>
      <c r="C132" s="48"/>
      <c r="D132" s="49">
        <f>SUM(D114:D131)</f>
        <v>391000</v>
      </c>
      <c r="E132" s="46">
        <f t="shared" si="3"/>
        <v>3910</v>
      </c>
      <c r="F132" s="49">
        <f t="shared" ref="F132:J132" si="15">SUM(F114:F131)</f>
        <v>0</v>
      </c>
      <c r="G132" s="49">
        <f t="shared" si="15"/>
        <v>393780</v>
      </c>
      <c r="H132" s="49">
        <f t="shared" si="15"/>
        <v>0</v>
      </c>
      <c r="I132" s="49">
        <f t="shared" si="15"/>
        <v>5000</v>
      </c>
      <c r="J132" s="49">
        <f t="shared" si="15"/>
        <v>-1690</v>
      </c>
      <c r="K132" s="4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 spans="1:26" ht="15" customHeight="1" x14ac:dyDescent="0.25">
      <c r="A133" s="39"/>
      <c r="B133" s="39"/>
      <c r="C133" s="54"/>
      <c r="D133" s="39"/>
      <c r="E133" s="46">
        <f t="shared" si="3"/>
        <v>0</v>
      </c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 spans="1:26" ht="15" customHeight="1" x14ac:dyDescent="0.25">
      <c r="A134" s="40" t="s">
        <v>104</v>
      </c>
      <c r="B134" s="41"/>
      <c r="C134" s="42"/>
      <c r="D134" s="41"/>
      <c r="E134" s="46">
        <f t="shared" si="3"/>
        <v>0</v>
      </c>
      <c r="F134" s="41"/>
      <c r="G134" s="41"/>
      <c r="H134" s="41"/>
      <c r="I134" s="41"/>
      <c r="J134" s="41"/>
      <c r="K134" s="55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 spans="1:26" ht="15" customHeight="1" x14ac:dyDescent="0.25">
      <c r="A135" s="41" t="s">
        <v>217</v>
      </c>
      <c r="B135" s="41" t="s">
        <v>162</v>
      </c>
      <c r="C135" s="42" t="s">
        <v>163</v>
      </c>
      <c r="D135" s="46">
        <v>25000</v>
      </c>
      <c r="E135" s="46">
        <f t="shared" si="3"/>
        <v>250</v>
      </c>
      <c r="F135" s="46">
        <v>0</v>
      </c>
      <c r="G135" s="46">
        <v>25000</v>
      </c>
      <c r="H135" s="46">
        <v>0</v>
      </c>
      <c r="I135" s="46">
        <v>0</v>
      </c>
      <c r="J135" s="46">
        <f t="shared" ref="J135:J139" si="16">D135-SUM(E135:G135)+SUM(H135:I135)</f>
        <v>-250</v>
      </c>
      <c r="K135" s="55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6" ht="15" customHeight="1" x14ac:dyDescent="0.25">
      <c r="A136" s="41" t="s">
        <v>221</v>
      </c>
      <c r="B136" s="41" t="s">
        <v>162</v>
      </c>
      <c r="C136" s="42" t="s">
        <v>171</v>
      </c>
      <c r="D136" s="46">
        <v>25000</v>
      </c>
      <c r="E136" s="46">
        <f t="shared" si="3"/>
        <v>250</v>
      </c>
      <c r="F136" s="46">
        <v>0</v>
      </c>
      <c r="G136" s="46">
        <v>24750</v>
      </c>
      <c r="H136" s="46">
        <v>0</v>
      </c>
      <c r="I136" s="46">
        <v>0</v>
      </c>
      <c r="J136" s="46">
        <f t="shared" si="16"/>
        <v>0</v>
      </c>
      <c r="K136" s="55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 spans="1:26" ht="15" customHeight="1" x14ac:dyDescent="0.25">
      <c r="A137" s="41" t="s">
        <v>222</v>
      </c>
      <c r="B137" s="41" t="s">
        <v>53</v>
      </c>
      <c r="C137" s="42" t="s">
        <v>206</v>
      </c>
      <c r="D137" s="46">
        <v>35000</v>
      </c>
      <c r="E137" s="46">
        <f t="shared" si="3"/>
        <v>350</v>
      </c>
      <c r="F137" s="46">
        <v>0</v>
      </c>
      <c r="G137" s="46">
        <v>34650</v>
      </c>
      <c r="H137" s="46">
        <v>0</v>
      </c>
      <c r="I137" s="46">
        <v>0</v>
      </c>
      <c r="J137" s="46">
        <f t="shared" si="16"/>
        <v>0</v>
      </c>
      <c r="K137" s="55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 spans="1:26" ht="15" customHeight="1" x14ac:dyDescent="0.25">
      <c r="A138" s="41" t="s">
        <v>225</v>
      </c>
      <c r="B138" s="41" t="s">
        <v>162</v>
      </c>
      <c r="C138" s="42" t="s">
        <v>191</v>
      </c>
      <c r="D138" s="46">
        <v>30000</v>
      </c>
      <c r="E138" s="46">
        <f t="shared" si="3"/>
        <v>300</v>
      </c>
      <c r="F138" s="46">
        <v>0</v>
      </c>
      <c r="G138" s="46">
        <v>40000</v>
      </c>
      <c r="H138" s="46">
        <v>0</v>
      </c>
      <c r="I138" s="46">
        <v>10000</v>
      </c>
      <c r="J138" s="46">
        <f t="shared" si="16"/>
        <v>-300</v>
      </c>
      <c r="K138" s="55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 spans="1:26" ht="15" customHeight="1" x14ac:dyDescent="0.25">
      <c r="A139" s="41" t="s">
        <v>224</v>
      </c>
      <c r="B139" s="41" t="s">
        <v>162</v>
      </c>
      <c r="C139" s="42" t="s">
        <v>207</v>
      </c>
      <c r="D139" s="46">
        <v>37000</v>
      </c>
      <c r="E139" s="46">
        <f t="shared" si="3"/>
        <v>370</v>
      </c>
      <c r="F139" s="46">
        <v>0</v>
      </c>
      <c r="G139" s="46">
        <v>36630</v>
      </c>
      <c r="H139" s="46">
        <v>0</v>
      </c>
      <c r="I139" s="46">
        <v>0</v>
      </c>
      <c r="J139" s="46">
        <f t="shared" si="16"/>
        <v>0</v>
      </c>
      <c r="K139" s="55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 spans="1:26" ht="15" customHeight="1" x14ac:dyDescent="0.25">
      <c r="A140" s="40"/>
      <c r="B140" s="40"/>
      <c r="C140" s="48"/>
      <c r="D140" s="49">
        <f>SUM(D135:D139)</f>
        <v>152000</v>
      </c>
      <c r="E140" s="49">
        <f t="shared" si="3"/>
        <v>1520</v>
      </c>
      <c r="F140" s="49">
        <f t="shared" ref="F140:J140" si="17">SUM(F135:F139)</f>
        <v>0</v>
      </c>
      <c r="G140" s="49">
        <f t="shared" si="17"/>
        <v>161030</v>
      </c>
      <c r="H140" s="49">
        <f t="shared" si="17"/>
        <v>0</v>
      </c>
      <c r="I140" s="49">
        <f t="shared" si="17"/>
        <v>10000</v>
      </c>
      <c r="J140" s="49">
        <f t="shared" si="17"/>
        <v>-550</v>
      </c>
      <c r="K140" s="49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27"/>
    </row>
    <row r="141" spans="1:26" ht="15" customHeight="1" x14ac:dyDescent="0.25">
      <c r="A141" s="39"/>
      <c r="B141" s="39"/>
      <c r="C141" s="54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 spans="1:26" ht="15" customHeight="1" x14ac:dyDescent="0.25">
      <c r="A142" s="40" t="s">
        <v>105</v>
      </c>
      <c r="B142" s="41"/>
      <c r="C142" s="42"/>
      <c r="D142" s="41"/>
      <c r="E142" s="41"/>
      <c r="F142" s="41"/>
      <c r="G142" s="41"/>
      <c r="H142" s="41"/>
      <c r="I142" s="41"/>
      <c r="J142" s="41"/>
      <c r="K142" s="55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 spans="1:26" ht="15" customHeight="1" x14ac:dyDescent="0.25">
      <c r="A143" s="41" t="s">
        <v>211</v>
      </c>
      <c r="B143" s="41" t="s">
        <v>95</v>
      </c>
      <c r="C143" s="42" t="s">
        <v>199</v>
      </c>
      <c r="D143" s="46">
        <v>14000</v>
      </c>
      <c r="E143" s="46">
        <v>0</v>
      </c>
      <c r="F143" s="46">
        <v>0</v>
      </c>
      <c r="G143" s="46">
        <v>14000</v>
      </c>
      <c r="H143" s="46">
        <v>0</v>
      </c>
      <c r="I143" s="46">
        <v>0</v>
      </c>
      <c r="J143" s="46">
        <f t="shared" ref="J143:J159" si="18">D143-SUM(E143:G143)+SUM(H143:I143)</f>
        <v>0</v>
      </c>
      <c r="K143" s="46">
        <v>0</v>
      </c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spans="1:26" ht="15" customHeight="1" x14ac:dyDescent="0.25">
      <c r="A144" s="41" t="s">
        <v>183</v>
      </c>
      <c r="B144" s="41" t="s">
        <v>53</v>
      </c>
      <c r="C144" s="42" t="s">
        <v>184</v>
      </c>
      <c r="D144" s="46">
        <v>13333.333333333332</v>
      </c>
      <c r="E144" s="46">
        <f t="shared" ref="E144:E146" si="19">D144*0.01</f>
        <v>133.33333333333331</v>
      </c>
      <c r="F144" s="46">
        <v>0</v>
      </c>
      <c r="G144" s="46">
        <v>13200</v>
      </c>
      <c r="H144" s="46">
        <v>0</v>
      </c>
      <c r="I144" s="46">
        <v>0</v>
      </c>
      <c r="J144" s="46">
        <f t="shared" si="18"/>
        <v>-1.8189894035458565E-12</v>
      </c>
      <c r="K144" s="46">
        <v>28000</v>
      </c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spans="1:25" ht="15" customHeight="1" x14ac:dyDescent="0.25">
      <c r="A145" s="41" t="s">
        <v>188</v>
      </c>
      <c r="B145" s="41" t="s">
        <v>23</v>
      </c>
      <c r="C145" s="42" t="s">
        <v>189</v>
      </c>
      <c r="D145" s="46">
        <v>17619.047619047618</v>
      </c>
      <c r="E145" s="46">
        <f t="shared" si="19"/>
        <v>176.19047619047618</v>
      </c>
      <c r="F145" s="46">
        <v>0</v>
      </c>
      <c r="G145" s="46">
        <v>17443</v>
      </c>
      <c r="H145" s="46">
        <v>0</v>
      </c>
      <c r="I145" s="46">
        <v>0</v>
      </c>
      <c r="J145" s="46">
        <f t="shared" si="18"/>
        <v>-0.14285714285870199</v>
      </c>
      <c r="K145" s="46">
        <v>37000</v>
      </c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5" ht="15" customHeight="1" x14ac:dyDescent="0.25">
      <c r="A146" s="41" t="s">
        <v>212</v>
      </c>
      <c r="B146" s="41" t="s">
        <v>35</v>
      </c>
      <c r="C146" s="42" t="s">
        <v>177</v>
      </c>
      <c r="D146" s="46">
        <v>10952.380952380952</v>
      </c>
      <c r="E146" s="46">
        <f t="shared" si="19"/>
        <v>109.52380952380952</v>
      </c>
      <c r="F146" s="46">
        <v>0</v>
      </c>
      <c r="G146" s="46">
        <v>10843</v>
      </c>
      <c r="H146" s="46">
        <v>0</v>
      </c>
      <c r="I146" s="46">
        <v>0</v>
      </c>
      <c r="J146" s="46">
        <f t="shared" si="18"/>
        <v>-0.142857142856883</v>
      </c>
      <c r="K146" s="46">
        <v>23000</v>
      </c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spans="1:25" ht="15" customHeight="1" x14ac:dyDescent="0.25">
      <c r="A147" s="41" t="s">
        <v>213</v>
      </c>
      <c r="B147" s="41" t="s">
        <v>162</v>
      </c>
      <c r="C147" s="42" t="s">
        <v>201</v>
      </c>
      <c r="D147" s="46">
        <v>8000</v>
      </c>
      <c r="E147" s="46">
        <v>0</v>
      </c>
      <c r="F147" s="46">
        <v>0</v>
      </c>
      <c r="G147" s="46">
        <v>8000</v>
      </c>
      <c r="H147" s="46">
        <v>0</v>
      </c>
      <c r="I147" s="46">
        <v>0</v>
      </c>
      <c r="J147" s="46">
        <f t="shared" si="18"/>
        <v>0</v>
      </c>
      <c r="K147" s="46">
        <v>0</v>
      </c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spans="1:25" ht="15" customHeight="1" x14ac:dyDescent="0.25">
      <c r="A148" s="41" t="s">
        <v>214</v>
      </c>
      <c r="B148" s="41" t="s">
        <v>162</v>
      </c>
      <c r="C148" s="42" t="s">
        <v>209</v>
      </c>
      <c r="D148" s="46">
        <v>7142.8571428571422</v>
      </c>
      <c r="E148" s="46">
        <f t="shared" ref="E148:E159" si="20">D148*0.01</f>
        <v>71.428571428571431</v>
      </c>
      <c r="F148" s="46">
        <v>0</v>
      </c>
      <c r="G148" s="46">
        <v>7072</v>
      </c>
      <c r="H148" s="46">
        <v>0</v>
      </c>
      <c r="I148" s="46">
        <v>0</v>
      </c>
      <c r="J148" s="46">
        <f t="shared" si="18"/>
        <v>-0.571428571429351</v>
      </c>
      <c r="K148" s="46">
        <v>15000</v>
      </c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spans="1:25" ht="15" customHeight="1" x14ac:dyDescent="0.25">
      <c r="A149" s="41" t="s">
        <v>216</v>
      </c>
      <c r="B149" s="41" t="s">
        <v>162</v>
      </c>
      <c r="C149" s="42" t="s">
        <v>196</v>
      </c>
      <c r="D149" s="46">
        <v>4285.7142857142853</v>
      </c>
      <c r="E149" s="46">
        <f t="shared" si="20"/>
        <v>42.857142857142854</v>
      </c>
      <c r="F149" s="46">
        <v>0</v>
      </c>
      <c r="G149" s="46">
        <v>4243</v>
      </c>
      <c r="H149" s="46">
        <v>0</v>
      </c>
      <c r="I149" s="46">
        <v>0</v>
      </c>
      <c r="J149" s="46">
        <f t="shared" si="18"/>
        <v>-0.1428571428577925</v>
      </c>
      <c r="K149" s="46">
        <v>15000</v>
      </c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spans="1:25" ht="15" customHeight="1" x14ac:dyDescent="0.25">
      <c r="A150" s="41" t="s">
        <v>217</v>
      </c>
      <c r="B150" s="41" t="s">
        <v>162</v>
      </c>
      <c r="C150" s="42" t="s">
        <v>163</v>
      </c>
      <c r="D150" s="46">
        <v>17619.047619047618</v>
      </c>
      <c r="E150" s="46">
        <f t="shared" si="20"/>
        <v>176.19047619047618</v>
      </c>
      <c r="F150" s="46">
        <v>0</v>
      </c>
      <c r="G150" s="46">
        <v>17443</v>
      </c>
      <c r="H150" s="46">
        <v>0</v>
      </c>
      <c r="I150" s="46">
        <v>0</v>
      </c>
      <c r="J150" s="46">
        <f t="shared" si="18"/>
        <v>-0.14285714285870199</v>
      </c>
      <c r="K150" s="46">
        <v>37000</v>
      </c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spans="1:25" ht="15" customHeight="1" x14ac:dyDescent="0.25">
      <c r="A151" s="41" t="s">
        <v>219</v>
      </c>
      <c r="B151" s="41" t="s">
        <v>35</v>
      </c>
      <c r="C151" s="42" t="s">
        <v>129</v>
      </c>
      <c r="D151" s="46">
        <v>11333.333333333332</v>
      </c>
      <c r="E151" s="46">
        <f t="shared" si="20"/>
        <v>113.33333333333333</v>
      </c>
      <c r="F151" s="46">
        <v>0</v>
      </c>
      <c r="G151" s="46">
        <v>11220</v>
      </c>
      <c r="H151" s="46">
        <v>0</v>
      </c>
      <c r="I151" s="46">
        <v>0</v>
      </c>
      <c r="J151" s="46">
        <f t="shared" si="18"/>
        <v>-1.8189894035458565E-12</v>
      </c>
      <c r="K151" s="46">
        <v>17000</v>
      </c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 spans="1:25" ht="15" customHeight="1" x14ac:dyDescent="0.25">
      <c r="A152" s="41" t="s">
        <v>226</v>
      </c>
      <c r="B152" s="41" t="s">
        <v>53</v>
      </c>
      <c r="C152" s="42" t="s">
        <v>227</v>
      </c>
      <c r="D152" s="46">
        <v>23333.333333333332</v>
      </c>
      <c r="E152" s="46">
        <f t="shared" si="20"/>
        <v>233.33333333333331</v>
      </c>
      <c r="F152" s="46">
        <v>0</v>
      </c>
      <c r="G152" s="46">
        <v>23100</v>
      </c>
      <c r="H152" s="46">
        <v>0</v>
      </c>
      <c r="I152" s="46">
        <v>0</v>
      </c>
      <c r="J152" s="46">
        <f t="shared" si="18"/>
        <v>0</v>
      </c>
      <c r="K152" s="46">
        <v>35000</v>
      </c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 spans="1:25" ht="15" customHeight="1" x14ac:dyDescent="0.25">
      <c r="A153" s="41" t="s">
        <v>228</v>
      </c>
      <c r="B153" s="41" t="s">
        <v>53</v>
      </c>
      <c r="C153" s="42" t="s">
        <v>229</v>
      </c>
      <c r="D153" s="46">
        <v>14285.714285714284</v>
      </c>
      <c r="E153" s="46">
        <f t="shared" si="20"/>
        <v>142.85714285714286</v>
      </c>
      <c r="F153" s="46">
        <v>0</v>
      </c>
      <c r="G153" s="46">
        <v>14143</v>
      </c>
      <c r="H153" s="46">
        <v>0</v>
      </c>
      <c r="I153" s="46">
        <v>0</v>
      </c>
      <c r="J153" s="46">
        <f t="shared" si="18"/>
        <v>-0.14285714285870199</v>
      </c>
      <c r="K153" s="46">
        <v>30000</v>
      </c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 spans="1:25" ht="15" customHeight="1" x14ac:dyDescent="0.25">
      <c r="A154" s="41" t="s">
        <v>230</v>
      </c>
      <c r="B154" s="41" t="s">
        <v>162</v>
      </c>
      <c r="C154" s="42" t="s">
        <v>231</v>
      </c>
      <c r="D154" s="46">
        <v>8571.4285714285706</v>
      </c>
      <c r="E154" s="46">
        <f t="shared" si="20"/>
        <v>85.714285714285708</v>
      </c>
      <c r="F154" s="46">
        <v>0</v>
      </c>
      <c r="G154" s="46">
        <v>8486</v>
      </c>
      <c r="H154" s="46">
        <v>0</v>
      </c>
      <c r="I154" s="46">
        <v>0</v>
      </c>
      <c r="J154" s="46">
        <f t="shared" si="18"/>
        <v>-0.28571428571558499</v>
      </c>
      <c r="K154" s="46">
        <v>30000</v>
      </c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 spans="1:25" ht="15" customHeight="1" x14ac:dyDescent="0.25">
      <c r="A155" s="41" t="s">
        <v>232</v>
      </c>
      <c r="B155" s="41" t="s">
        <v>233</v>
      </c>
      <c r="C155" s="42"/>
      <c r="D155" s="46">
        <v>20000</v>
      </c>
      <c r="E155" s="46">
        <f t="shared" si="20"/>
        <v>200</v>
      </c>
      <c r="F155" s="46">
        <v>0</v>
      </c>
      <c r="G155" s="46">
        <v>20000</v>
      </c>
      <c r="H155" s="46">
        <v>0</v>
      </c>
      <c r="I155" s="46">
        <v>0</v>
      </c>
      <c r="J155" s="46">
        <f t="shared" si="18"/>
        <v>-200</v>
      </c>
      <c r="K155" s="46">
        <v>20000</v>
      </c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spans="1:25" ht="15" customHeight="1" x14ac:dyDescent="0.25">
      <c r="A156" s="41" t="s">
        <v>234</v>
      </c>
      <c r="B156" s="41" t="s">
        <v>95</v>
      </c>
      <c r="C156" s="42" t="s">
        <v>235</v>
      </c>
      <c r="D156" s="46">
        <v>7142.8571428571422</v>
      </c>
      <c r="E156" s="46">
        <f t="shared" si="20"/>
        <v>71.428571428571431</v>
      </c>
      <c r="F156" s="46">
        <v>0</v>
      </c>
      <c r="G156" s="46">
        <v>7072</v>
      </c>
      <c r="H156" s="46">
        <v>0</v>
      </c>
      <c r="I156" s="46">
        <v>0</v>
      </c>
      <c r="J156" s="46">
        <f t="shared" si="18"/>
        <v>-0.571428571429351</v>
      </c>
      <c r="K156" s="46">
        <v>15000</v>
      </c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spans="1:25" ht="15" customHeight="1" x14ac:dyDescent="0.25">
      <c r="A157" s="41" t="s">
        <v>222</v>
      </c>
      <c r="B157" s="41" t="s">
        <v>53</v>
      </c>
      <c r="C157" s="42" t="s">
        <v>206</v>
      </c>
      <c r="D157" s="46">
        <v>17619.047619047618</v>
      </c>
      <c r="E157" s="46">
        <f t="shared" si="20"/>
        <v>176.19047619047618</v>
      </c>
      <c r="F157" s="46">
        <v>0</v>
      </c>
      <c r="G157" s="46">
        <v>17443</v>
      </c>
      <c r="H157" s="46">
        <v>0</v>
      </c>
      <c r="I157" s="46">
        <v>0</v>
      </c>
      <c r="J157" s="46">
        <f t="shared" si="18"/>
        <v>-0.14285714285870199</v>
      </c>
      <c r="K157" s="46">
        <v>37000</v>
      </c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spans="1:25" ht="15" customHeight="1" x14ac:dyDescent="0.25">
      <c r="A158" s="41" t="s">
        <v>236</v>
      </c>
      <c r="B158" s="41" t="s">
        <v>162</v>
      </c>
      <c r="C158" s="42" t="s">
        <v>207</v>
      </c>
      <c r="D158" s="46">
        <v>26666.666666666664</v>
      </c>
      <c r="E158" s="46">
        <f t="shared" si="20"/>
        <v>266.66666666666663</v>
      </c>
      <c r="F158" s="46">
        <v>0</v>
      </c>
      <c r="G158" s="46">
        <v>26400</v>
      </c>
      <c r="H158" s="46">
        <v>0</v>
      </c>
      <c r="I158" s="46">
        <v>0</v>
      </c>
      <c r="J158" s="46">
        <f t="shared" si="18"/>
        <v>-3.637978807091713E-12</v>
      </c>
      <c r="K158" s="46">
        <v>40000</v>
      </c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spans="1:25" ht="15" customHeight="1" x14ac:dyDescent="0.25">
      <c r="A159" s="41" t="s">
        <v>237</v>
      </c>
      <c r="B159" s="41" t="s">
        <v>162</v>
      </c>
      <c r="C159" s="42" t="s">
        <v>191</v>
      </c>
      <c r="D159" s="46">
        <v>22000</v>
      </c>
      <c r="E159" s="46">
        <f t="shared" si="20"/>
        <v>220</v>
      </c>
      <c r="F159" s="46">
        <v>0</v>
      </c>
      <c r="G159" s="46">
        <v>21780</v>
      </c>
      <c r="H159" s="46">
        <v>0</v>
      </c>
      <c r="I159" s="46">
        <v>0</v>
      </c>
      <c r="J159" s="46">
        <f t="shared" si="18"/>
        <v>0</v>
      </c>
      <c r="K159" s="46">
        <v>33000</v>
      </c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spans="1:25" ht="15" customHeight="1" x14ac:dyDescent="0.25">
      <c r="A160" s="40"/>
      <c r="B160" s="40"/>
      <c r="C160" s="48"/>
      <c r="D160" s="49">
        <f t="shared" ref="D160:E160" si="21">SUM(D143:D159)</f>
        <v>243904.76190476186</v>
      </c>
      <c r="E160" s="49">
        <f t="shared" si="21"/>
        <v>2219.0476190476188</v>
      </c>
      <c r="F160" s="46">
        <v>0</v>
      </c>
      <c r="G160" s="49">
        <f t="shared" ref="G160:J160" si="22">SUM(G143:G159)</f>
        <v>241888</v>
      </c>
      <c r="H160" s="49">
        <f t="shared" si="22"/>
        <v>0</v>
      </c>
      <c r="I160" s="49">
        <f t="shared" si="22"/>
        <v>0</v>
      </c>
      <c r="J160" s="49">
        <f t="shared" si="22"/>
        <v>-202.28571428573105</v>
      </c>
      <c r="K160" s="4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spans="1:25" ht="15" customHeight="1" x14ac:dyDescent="0.25">
      <c r="A161" s="39"/>
      <c r="B161" s="39"/>
      <c r="C161" s="54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spans="1:25" ht="15" customHeight="1" x14ac:dyDescent="0.25">
      <c r="A162" s="40" t="s">
        <v>122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55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spans="1:25" ht="15" customHeight="1" x14ac:dyDescent="0.25">
      <c r="A163" s="41" t="s">
        <v>211</v>
      </c>
      <c r="B163" s="41" t="s">
        <v>95</v>
      </c>
      <c r="C163" s="42" t="s">
        <v>199</v>
      </c>
      <c r="D163" s="46">
        <v>37000</v>
      </c>
      <c r="E163" s="46">
        <f t="shared" ref="E163:E182" si="23">D163*0.01</f>
        <v>370</v>
      </c>
      <c r="F163" s="46">
        <v>0</v>
      </c>
      <c r="G163" s="46">
        <v>36630</v>
      </c>
      <c r="H163" s="46">
        <v>0</v>
      </c>
      <c r="I163" s="46">
        <v>0</v>
      </c>
      <c r="J163" s="46">
        <f t="shared" ref="J163:J182" si="24">D163-SUM(E163:G163)+SUM(H163:I163)</f>
        <v>0</v>
      </c>
      <c r="K163" s="46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spans="1:25" ht="15" customHeight="1" x14ac:dyDescent="0.25">
      <c r="A164" s="41" t="s">
        <v>238</v>
      </c>
      <c r="B164" s="41" t="s">
        <v>53</v>
      </c>
      <c r="C164" s="42" t="s">
        <v>184</v>
      </c>
      <c r="D164" s="46">
        <v>28000</v>
      </c>
      <c r="E164" s="46">
        <f t="shared" si="23"/>
        <v>280</v>
      </c>
      <c r="F164" s="46">
        <v>0</v>
      </c>
      <c r="G164" s="46">
        <v>27720</v>
      </c>
      <c r="H164" s="46">
        <v>0</v>
      </c>
      <c r="I164" s="46">
        <v>0</v>
      </c>
      <c r="J164" s="46">
        <f t="shared" si="24"/>
        <v>0</v>
      </c>
      <c r="K164" s="46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spans="1:25" ht="15" customHeight="1" x14ac:dyDescent="0.25">
      <c r="A165" s="41" t="s">
        <v>239</v>
      </c>
      <c r="B165" s="41" t="s">
        <v>23</v>
      </c>
      <c r="C165" s="42" t="s">
        <v>189</v>
      </c>
      <c r="D165" s="46">
        <v>37000</v>
      </c>
      <c r="E165" s="46">
        <f t="shared" si="23"/>
        <v>370</v>
      </c>
      <c r="F165" s="46">
        <v>0</v>
      </c>
      <c r="G165" s="46">
        <v>36630</v>
      </c>
      <c r="H165" s="46">
        <v>0</v>
      </c>
      <c r="I165" s="46">
        <v>0</v>
      </c>
      <c r="J165" s="46">
        <f t="shared" si="24"/>
        <v>0</v>
      </c>
      <c r="K165" s="46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spans="1:25" ht="15" customHeight="1" x14ac:dyDescent="0.25">
      <c r="A166" s="41" t="s">
        <v>240</v>
      </c>
      <c r="B166" s="41" t="s">
        <v>35</v>
      </c>
      <c r="C166" s="42" t="s">
        <v>177</v>
      </c>
      <c r="D166" s="46">
        <v>23000</v>
      </c>
      <c r="E166" s="46">
        <f t="shared" si="23"/>
        <v>230</v>
      </c>
      <c r="F166" s="46">
        <v>0</v>
      </c>
      <c r="G166" s="46">
        <v>22770</v>
      </c>
      <c r="H166" s="46">
        <v>0</v>
      </c>
      <c r="I166" s="46">
        <v>0</v>
      </c>
      <c r="J166" s="46">
        <f t="shared" si="24"/>
        <v>0</v>
      </c>
      <c r="K166" s="46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 spans="1:25" ht="15" customHeight="1" x14ac:dyDescent="0.25">
      <c r="A167" s="41" t="s">
        <v>241</v>
      </c>
      <c r="B167" s="41" t="s">
        <v>162</v>
      </c>
      <c r="C167" s="42" t="s">
        <v>201</v>
      </c>
      <c r="D167" s="46">
        <v>32000</v>
      </c>
      <c r="E167" s="46">
        <f t="shared" si="23"/>
        <v>320</v>
      </c>
      <c r="F167" s="46">
        <v>0</v>
      </c>
      <c r="G167" s="46">
        <v>31680</v>
      </c>
      <c r="H167" s="46">
        <v>0</v>
      </c>
      <c r="I167" s="46">
        <v>0</v>
      </c>
      <c r="J167" s="46">
        <f t="shared" si="24"/>
        <v>0</v>
      </c>
      <c r="K167" s="46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 spans="1:25" ht="15" customHeight="1" x14ac:dyDescent="0.25">
      <c r="A168" s="41" t="s">
        <v>214</v>
      </c>
      <c r="B168" s="41" t="s">
        <v>162</v>
      </c>
      <c r="C168" s="42" t="s">
        <v>209</v>
      </c>
      <c r="D168" s="46">
        <v>15000</v>
      </c>
      <c r="E168" s="46">
        <f t="shared" si="23"/>
        <v>150</v>
      </c>
      <c r="F168" s="46">
        <v>0</v>
      </c>
      <c r="G168" s="46">
        <v>14850</v>
      </c>
      <c r="H168" s="46">
        <v>0</v>
      </c>
      <c r="I168" s="46">
        <v>0</v>
      </c>
      <c r="J168" s="46">
        <f t="shared" si="24"/>
        <v>0</v>
      </c>
      <c r="K168" s="46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 spans="1:25" ht="15" customHeight="1" x14ac:dyDescent="0.25">
      <c r="A169" s="41" t="s">
        <v>242</v>
      </c>
      <c r="B169" s="41" t="s">
        <v>162</v>
      </c>
      <c r="C169" s="42" t="s">
        <v>196</v>
      </c>
      <c r="D169" s="46">
        <v>15000</v>
      </c>
      <c r="E169" s="46">
        <f t="shared" si="23"/>
        <v>150</v>
      </c>
      <c r="F169" s="46">
        <v>0</v>
      </c>
      <c r="G169" s="46">
        <v>14850</v>
      </c>
      <c r="H169" s="46">
        <v>0</v>
      </c>
      <c r="I169" s="46">
        <v>0</v>
      </c>
      <c r="J169" s="46">
        <f t="shared" si="24"/>
        <v>0</v>
      </c>
      <c r="K169" s="46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 spans="1:25" ht="15" customHeight="1" x14ac:dyDescent="0.25">
      <c r="A170" s="41" t="s">
        <v>243</v>
      </c>
      <c r="B170" s="41" t="s">
        <v>35</v>
      </c>
      <c r="C170" s="42" t="s">
        <v>129</v>
      </c>
      <c r="D170" s="46">
        <v>17000</v>
      </c>
      <c r="E170" s="46">
        <f t="shared" si="23"/>
        <v>170</v>
      </c>
      <c r="F170" s="46">
        <v>0</v>
      </c>
      <c r="G170" s="46">
        <v>16830</v>
      </c>
      <c r="H170" s="46">
        <v>0</v>
      </c>
      <c r="I170" s="46">
        <v>0</v>
      </c>
      <c r="J170" s="46">
        <f t="shared" si="24"/>
        <v>0</v>
      </c>
      <c r="K170" s="46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 spans="1:25" ht="15" customHeight="1" x14ac:dyDescent="0.25">
      <c r="A171" s="41" t="s">
        <v>226</v>
      </c>
      <c r="B171" s="41" t="s">
        <v>53</v>
      </c>
      <c r="C171" s="42" t="s">
        <v>227</v>
      </c>
      <c r="D171" s="46">
        <v>35000</v>
      </c>
      <c r="E171" s="46">
        <f t="shared" si="23"/>
        <v>350</v>
      </c>
      <c r="F171" s="46">
        <v>0</v>
      </c>
      <c r="G171" s="46">
        <v>34650</v>
      </c>
      <c r="H171" s="46">
        <v>0</v>
      </c>
      <c r="I171" s="46">
        <v>0</v>
      </c>
      <c r="J171" s="46">
        <f t="shared" si="24"/>
        <v>0</v>
      </c>
      <c r="K171" s="46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 spans="1:25" ht="15" customHeight="1" x14ac:dyDescent="0.25">
      <c r="A172" s="41" t="s">
        <v>228</v>
      </c>
      <c r="B172" s="41" t="s">
        <v>53</v>
      </c>
      <c r="C172" s="42" t="s">
        <v>229</v>
      </c>
      <c r="D172" s="46">
        <v>30000</v>
      </c>
      <c r="E172" s="46">
        <f t="shared" si="23"/>
        <v>300</v>
      </c>
      <c r="F172" s="46">
        <v>0</v>
      </c>
      <c r="G172" s="46">
        <v>29700</v>
      </c>
      <c r="H172" s="46">
        <v>0</v>
      </c>
      <c r="I172" s="46">
        <v>0</v>
      </c>
      <c r="J172" s="46">
        <f t="shared" si="24"/>
        <v>0</v>
      </c>
      <c r="K172" s="46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spans="1:25" ht="15" customHeight="1" x14ac:dyDescent="0.25">
      <c r="A173" s="41" t="s">
        <v>244</v>
      </c>
      <c r="B173" s="41" t="s">
        <v>162</v>
      </c>
      <c r="C173" s="42" t="s">
        <v>231</v>
      </c>
      <c r="D173" s="46">
        <v>30000</v>
      </c>
      <c r="E173" s="46">
        <f t="shared" si="23"/>
        <v>300</v>
      </c>
      <c r="F173" s="46">
        <v>0</v>
      </c>
      <c r="G173" s="46">
        <v>29700</v>
      </c>
      <c r="H173" s="46">
        <v>0</v>
      </c>
      <c r="I173" s="46">
        <v>0</v>
      </c>
      <c r="J173" s="46">
        <f t="shared" si="24"/>
        <v>0</v>
      </c>
      <c r="K173" s="46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spans="1:25" ht="15" customHeight="1" x14ac:dyDescent="0.25">
      <c r="A174" s="41" t="s">
        <v>245</v>
      </c>
      <c r="B174" s="41" t="s">
        <v>233</v>
      </c>
      <c r="C174" s="42" t="s">
        <v>246</v>
      </c>
      <c r="D174" s="46">
        <v>20000</v>
      </c>
      <c r="E174" s="46">
        <f t="shared" si="23"/>
        <v>200</v>
      </c>
      <c r="F174" s="46">
        <v>0</v>
      </c>
      <c r="G174" s="46">
        <v>19800</v>
      </c>
      <c r="H174" s="46">
        <v>0</v>
      </c>
      <c r="I174" s="46">
        <v>0</v>
      </c>
      <c r="J174" s="46">
        <f t="shared" si="24"/>
        <v>0</v>
      </c>
      <c r="K174" s="46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spans="1:25" ht="15" customHeight="1" x14ac:dyDescent="0.25">
      <c r="A175" s="41" t="s">
        <v>234</v>
      </c>
      <c r="B175" s="41" t="s">
        <v>95</v>
      </c>
      <c r="C175" s="42" t="s">
        <v>235</v>
      </c>
      <c r="D175" s="46">
        <v>15000</v>
      </c>
      <c r="E175" s="46">
        <f t="shared" si="23"/>
        <v>150</v>
      </c>
      <c r="F175" s="46">
        <v>0</v>
      </c>
      <c r="G175" s="46">
        <v>14850</v>
      </c>
      <c r="H175" s="46">
        <v>0</v>
      </c>
      <c r="I175" s="46">
        <v>0</v>
      </c>
      <c r="J175" s="46">
        <f t="shared" si="24"/>
        <v>0</v>
      </c>
      <c r="K175" s="46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 spans="1:25" ht="15" customHeight="1" x14ac:dyDescent="0.25">
      <c r="A176" s="41" t="s">
        <v>247</v>
      </c>
      <c r="B176" s="41" t="s">
        <v>162</v>
      </c>
      <c r="C176" s="42" t="s">
        <v>248</v>
      </c>
      <c r="D176" s="46">
        <v>15000</v>
      </c>
      <c r="E176" s="46">
        <f t="shared" si="23"/>
        <v>150</v>
      </c>
      <c r="F176" s="46">
        <v>0</v>
      </c>
      <c r="G176" s="46">
        <v>14850</v>
      </c>
      <c r="H176" s="46">
        <v>0</v>
      </c>
      <c r="I176" s="46">
        <v>0</v>
      </c>
      <c r="J176" s="46">
        <f t="shared" si="24"/>
        <v>0</v>
      </c>
      <c r="K176" s="46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 spans="1:25" ht="15" customHeight="1" x14ac:dyDescent="0.25">
      <c r="A177" s="41" t="s">
        <v>249</v>
      </c>
      <c r="B177" s="41" t="s">
        <v>20</v>
      </c>
      <c r="C177" s="42" t="s">
        <v>250</v>
      </c>
      <c r="D177" s="46">
        <v>15000</v>
      </c>
      <c r="E177" s="46">
        <f t="shared" si="23"/>
        <v>150</v>
      </c>
      <c r="F177" s="46">
        <v>0</v>
      </c>
      <c r="G177" s="46">
        <v>14850</v>
      </c>
      <c r="H177" s="46">
        <v>0</v>
      </c>
      <c r="I177" s="46">
        <v>0</v>
      </c>
      <c r="J177" s="46">
        <f t="shared" si="24"/>
        <v>0</v>
      </c>
      <c r="K177" s="46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 spans="1:25" ht="15" customHeight="1" x14ac:dyDescent="0.25">
      <c r="A178" s="41" t="s">
        <v>222</v>
      </c>
      <c r="B178" s="41" t="s">
        <v>53</v>
      </c>
      <c r="C178" s="42" t="s">
        <v>206</v>
      </c>
      <c r="D178" s="46">
        <v>37000</v>
      </c>
      <c r="E178" s="46">
        <f t="shared" si="23"/>
        <v>370</v>
      </c>
      <c r="F178" s="46">
        <v>0</v>
      </c>
      <c r="G178" s="46">
        <v>36630</v>
      </c>
      <c r="H178" s="46">
        <v>0</v>
      </c>
      <c r="I178" s="46">
        <v>0</v>
      </c>
      <c r="J178" s="46">
        <f t="shared" si="24"/>
        <v>0</v>
      </c>
      <c r="K178" s="46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spans="1:25" ht="15" customHeight="1" x14ac:dyDescent="0.25">
      <c r="A179" s="41" t="s">
        <v>251</v>
      </c>
      <c r="B179" s="41" t="s">
        <v>162</v>
      </c>
      <c r="C179" s="42" t="s">
        <v>252</v>
      </c>
      <c r="D179" s="46">
        <v>30000</v>
      </c>
      <c r="E179" s="46">
        <f t="shared" si="23"/>
        <v>300</v>
      </c>
      <c r="F179" s="46">
        <v>0</v>
      </c>
      <c r="G179" s="46">
        <v>29700</v>
      </c>
      <c r="H179" s="46">
        <v>0</v>
      </c>
      <c r="I179" s="46">
        <v>0</v>
      </c>
      <c r="J179" s="46">
        <f t="shared" si="24"/>
        <v>0</v>
      </c>
      <c r="K179" s="46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spans="1:25" ht="15" customHeight="1" x14ac:dyDescent="0.25">
      <c r="A180" s="41" t="s">
        <v>253</v>
      </c>
      <c r="B180" s="41" t="s">
        <v>162</v>
      </c>
      <c r="C180" s="42" t="s">
        <v>254</v>
      </c>
      <c r="D180" s="46">
        <v>25000</v>
      </c>
      <c r="E180" s="46">
        <f t="shared" si="23"/>
        <v>250</v>
      </c>
      <c r="F180" s="46">
        <v>0</v>
      </c>
      <c r="G180" s="46">
        <v>24750</v>
      </c>
      <c r="H180" s="46">
        <v>0</v>
      </c>
      <c r="I180" s="46">
        <v>0</v>
      </c>
      <c r="J180" s="46">
        <f t="shared" si="24"/>
        <v>0</v>
      </c>
      <c r="K180" s="46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spans="1:25" ht="15" customHeight="1" x14ac:dyDescent="0.25">
      <c r="A181" s="41" t="s">
        <v>236</v>
      </c>
      <c r="B181" s="41" t="s">
        <v>162</v>
      </c>
      <c r="C181" s="42" t="s">
        <v>207</v>
      </c>
      <c r="D181" s="46">
        <v>40000</v>
      </c>
      <c r="E181" s="46">
        <f t="shared" si="23"/>
        <v>400</v>
      </c>
      <c r="F181" s="46">
        <v>0</v>
      </c>
      <c r="G181" s="46">
        <v>39600</v>
      </c>
      <c r="H181" s="46">
        <v>0</v>
      </c>
      <c r="I181" s="46">
        <v>0</v>
      </c>
      <c r="J181" s="46">
        <f t="shared" si="24"/>
        <v>0</v>
      </c>
      <c r="K181" s="46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spans="1:25" ht="15" customHeight="1" x14ac:dyDescent="0.25">
      <c r="A182" s="41" t="s">
        <v>237</v>
      </c>
      <c r="B182" s="41" t="s">
        <v>162</v>
      </c>
      <c r="C182" s="42" t="s">
        <v>191</v>
      </c>
      <c r="D182" s="46">
        <v>35000</v>
      </c>
      <c r="E182" s="46">
        <f t="shared" si="23"/>
        <v>350</v>
      </c>
      <c r="F182" s="46">
        <v>0</v>
      </c>
      <c r="G182" s="46">
        <v>34650</v>
      </c>
      <c r="H182" s="46">
        <v>0</v>
      </c>
      <c r="I182" s="46">
        <v>0</v>
      </c>
      <c r="J182" s="46">
        <f t="shared" si="24"/>
        <v>0</v>
      </c>
      <c r="K182" s="46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spans="1:25" ht="15" customHeight="1" x14ac:dyDescent="0.25">
      <c r="A183" s="40"/>
      <c r="B183" s="40"/>
      <c r="C183" s="48"/>
      <c r="D183" s="49">
        <f t="shared" ref="D183:E183" si="25">SUM(D163:D182)</f>
        <v>531000</v>
      </c>
      <c r="E183" s="49">
        <f t="shared" si="25"/>
        <v>5310</v>
      </c>
      <c r="F183" s="46">
        <v>0</v>
      </c>
      <c r="G183" s="49">
        <f t="shared" ref="G183:J183" si="26">SUM(G163:G182)</f>
        <v>525690</v>
      </c>
      <c r="H183" s="49">
        <f t="shared" si="26"/>
        <v>0</v>
      </c>
      <c r="I183" s="49">
        <f t="shared" si="26"/>
        <v>0</v>
      </c>
      <c r="J183" s="49">
        <f t="shared" si="26"/>
        <v>0</v>
      </c>
      <c r="K183" s="4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spans="1:25" ht="15" customHeight="1" x14ac:dyDescent="0.25">
      <c r="A184" s="39"/>
      <c r="B184" s="39"/>
      <c r="C184" s="54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spans="1:25" ht="15" customHeight="1" x14ac:dyDescent="0.25">
      <c r="A185" s="40" t="s">
        <v>125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55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spans="1:25" ht="15" customHeight="1" x14ac:dyDescent="0.25">
      <c r="A186" s="41" t="s">
        <v>211</v>
      </c>
      <c r="B186" s="41" t="s">
        <v>95</v>
      </c>
      <c r="C186" s="42" t="s">
        <v>199</v>
      </c>
      <c r="D186" s="46">
        <v>34000</v>
      </c>
      <c r="E186" s="46">
        <f t="shared" ref="E186:E205" si="27">D186*0.01</f>
        <v>340</v>
      </c>
      <c r="F186" s="46">
        <v>0</v>
      </c>
      <c r="G186" s="46">
        <v>33660</v>
      </c>
      <c r="H186" s="46">
        <v>0</v>
      </c>
      <c r="I186" s="46">
        <v>0</v>
      </c>
      <c r="J186" s="46">
        <f t="shared" ref="J186:J205" si="28">D186-SUM(E186:G186)+SUM(H186:I186)</f>
        <v>0</v>
      </c>
      <c r="K186" s="46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spans="1:25" x14ac:dyDescent="0.25">
      <c r="A187" s="41" t="s">
        <v>238</v>
      </c>
      <c r="B187" s="41" t="s">
        <v>53</v>
      </c>
      <c r="C187" s="42" t="s">
        <v>184</v>
      </c>
      <c r="D187" s="46">
        <v>28000</v>
      </c>
      <c r="E187" s="46">
        <f t="shared" si="27"/>
        <v>280</v>
      </c>
      <c r="F187" s="46">
        <v>0</v>
      </c>
      <c r="G187" s="46">
        <v>27720</v>
      </c>
      <c r="H187" s="46">
        <v>0</v>
      </c>
      <c r="I187" s="46">
        <v>0</v>
      </c>
      <c r="J187" s="46">
        <f t="shared" si="28"/>
        <v>0</v>
      </c>
      <c r="K187" s="46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spans="1:25" x14ac:dyDescent="0.25">
      <c r="A188" s="41" t="s">
        <v>239</v>
      </c>
      <c r="B188" s="41" t="s">
        <v>23</v>
      </c>
      <c r="C188" s="42" t="s">
        <v>189</v>
      </c>
      <c r="D188" s="46">
        <v>37000</v>
      </c>
      <c r="E188" s="46">
        <f t="shared" si="27"/>
        <v>370</v>
      </c>
      <c r="F188" s="46">
        <v>0</v>
      </c>
      <c r="G188" s="46">
        <v>36630</v>
      </c>
      <c r="H188" s="46">
        <v>0</v>
      </c>
      <c r="I188" s="46">
        <v>0</v>
      </c>
      <c r="J188" s="46">
        <f t="shared" si="28"/>
        <v>0</v>
      </c>
      <c r="K188" s="46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spans="1:25" x14ac:dyDescent="0.25">
      <c r="A189" s="41" t="s">
        <v>240</v>
      </c>
      <c r="B189" s="41" t="s">
        <v>35</v>
      </c>
      <c r="C189" s="42" t="s">
        <v>177</v>
      </c>
      <c r="D189" s="46">
        <v>23000</v>
      </c>
      <c r="E189" s="46">
        <f t="shared" si="27"/>
        <v>230</v>
      </c>
      <c r="F189" s="46">
        <v>0</v>
      </c>
      <c r="G189" s="46">
        <v>22770</v>
      </c>
      <c r="H189" s="46">
        <v>0</v>
      </c>
      <c r="I189" s="46">
        <v>0</v>
      </c>
      <c r="J189" s="46">
        <f t="shared" si="28"/>
        <v>0</v>
      </c>
      <c r="K189" s="46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 spans="1:25" x14ac:dyDescent="0.25">
      <c r="A190" s="41" t="s">
        <v>241</v>
      </c>
      <c r="B190" s="41" t="s">
        <v>162</v>
      </c>
      <c r="C190" s="42" t="s">
        <v>201</v>
      </c>
      <c r="D190" s="46">
        <v>24000</v>
      </c>
      <c r="E190" s="46">
        <f t="shared" si="27"/>
        <v>240</v>
      </c>
      <c r="F190" s="46">
        <v>0</v>
      </c>
      <c r="G190" s="46">
        <v>23760</v>
      </c>
      <c r="H190" s="46">
        <v>0</v>
      </c>
      <c r="I190" s="46">
        <v>0</v>
      </c>
      <c r="J190" s="46">
        <f t="shared" si="28"/>
        <v>0</v>
      </c>
      <c r="K190" s="46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 spans="1:25" x14ac:dyDescent="0.25">
      <c r="A191" s="41" t="s">
        <v>214</v>
      </c>
      <c r="B191" s="41" t="s">
        <v>162</v>
      </c>
      <c r="C191" s="42" t="s">
        <v>209</v>
      </c>
      <c r="D191" s="46">
        <v>15000</v>
      </c>
      <c r="E191" s="46">
        <f t="shared" si="27"/>
        <v>150</v>
      </c>
      <c r="F191" s="46">
        <v>0</v>
      </c>
      <c r="G191" s="46">
        <v>14850</v>
      </c>
      <c r="H191" s="46">
        <v>0</v>
      </c>
      <c r="I191" s="46">
        <v>0</v>
      </c>
      <c r="J191" s="46">
        <f t="shared" si="28"/>
        <v>0</v>
      </c>
      <c r="K191" s="46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 spans="1:25" x14ac:dyDescent="0.25">
      <c r="A192" s="41" t="s">
        <v>242</v>
      </c>
      <c r="B192" s="41" t="s">
        <v>162</v>
      </c>
      <c r="C192" s="42" t="s">
        <v>196</v>
      </c>
      <c r="D192" s="46">
        <v>25000</v>
      </c>
      <c r="E192" s="46">
        <f t="shared" si="27"/>
        <v>250</v>
      </c>
      <c r="F192" s="46">
        <v>0</v>
      </c>
      <c r="G192" s="46">
        <v>24750</v>
      </c>
      <c r="H192" s="46">
        <v>0</v>
      </c>
      <c r="I192" s="46">
        <v>0</v>
      </c>
      <c r="J192" s="46">
        <f t="shared" si="28"/>
        <v>0</v>
      </c>
      <c r="K192" s="46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 spans="1:25" x14ac:dyDescent="0.25">
      <c r="A193" s="41" t="s">
        <v>243</v>
      </c>
      <c r="B193" s="41" t="s">
        <v>35</v>
      </c>
      <c r="C193" s="42" t="s">
        <v>129</v>
      </c>
      <c r="D193" s="46">
        <v>17000</v>
      </c>
      <c r="E193" s="46">
        <f t="shared" si="27"/>
        <v>170</v>
      </c>
      <c r="F193" s="46">
        <v>0</v>
      </c>
      <c r="G193" s="46">
        <v>16830</v>
      </c>
      <c r="H193" s="46">
        <v>0</v>
      </c>
      <c r="I193" s="46">
        <v>0</v>
      </c>
      <c r="J193" s="46">
        <f t="shared" si="28"/>
        <v>0</v>
      </c>
      <c r="K193" s="46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 spans="1:25" x14ac:dyDescent="0.25">
      <c r="A194" s="41" t="s">
        <v>226</v>
      </c>
      <c r="B194" s="41" t="s">
        <v>53</v>
      </c>
      <c r="C194" s="42" t="s">
        <v>227</v>
      </c>
      <c r="D194" s="46">
        <v>35000</v>
      </c>
      <c r="E194" s="46">
        <f t="shared" si="27"/>
        <v>350</v>
      </c>
      <c r="F194" s="46">
        <v>0</v>
      </c>
      <c r="G194" s="46">
        <v>34650</v>
      </c>
      <c r="H194" s="46">
        <v>0</v>
      </c>
      <c r="I194" s="46">
        <v>0</v>
      </c>
      <c r="J194" s="46">
        <f t="shared" si="28"/>
        <v>0</v>
      </c>
      <c r="K194" s="46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 spans="1:25" x14ac:dyDescent="0.25">
      <c r="A195" s="41" t="s">
        <v>228</v>
      </c>
      <c r="B195" s="41" t="s">
        <v>53</v>
      </c>
      <c r="C195" s="42" t="s">
        <v>229</v>
      </c>
      <c r="D195" s="46">
        <v>30000</v>
      </c>
      <c r="E195" s="46">
        <f t="shared" si="27"/>
        <v>300</v>
      </c>
      <c r="F195" s="46">
        <v>0</v>
      </c>
      <c r="G195" s="46">
        <v>29700</v>
      </c>
      <c r="H195" s="46">
        <v>0</v>
      </c>
      <c r="I195" s="46">
        <v>0</v>
      </c>
      <c r="J195" s="46">
        <f t="shared" si="28"/>
        <v>0</v>
      </c>
      <c r="K195" s="46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 spans="1:25" x14ac:dyDescent="0.25">
      <c r="A196" s="41" t="s">
        <v>244</v>
      </c>
      <c r="B196" s="41" t="s">
        <v>162</v>
      </c>
      <c r="C196" s="42" t="s">
        <v>231</v>
      </c>
      <c r="D196" s="46">
        <v>30000</v>
      </c>
      <c r="E196" s="46">
        <f t="shared" si="27"/>
        <v>300</v>
      </c>
      <c r="F196" s="46">
        <v>0</v>
      </c>
      <c r="G196" s="46">
        <v>29700</v>
      </c>
      <c r="H196" s="46">
        <v>0</v>
      </c>
      <c r="I196" s="46">
        <v>0</v>
      </c>
      <c r="J196" s="46">
        <f t="shared" si="28"/>
        <v>0</v>
      </c>
      <c r="K196" s="46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 spans="1:25" x14ac:dyDescent="0.25">
      <c r="A197" s="41" t="s">
        <v>245</v>
      </c>
      <c r="B197" s="41" t="s">
        <v>233</v>
      </c>
      <c r="C197" s="42" t="s">
        <v>246</v>
      </c>
      <c r="D197" s="46">
        <v>20000</v>
      </c>
      <c r="E197" s="46">
        <f t="shared" si="27"/>
        <v>200</v>
      </c>
      <c r="F197" s="46">
        <v>0</v>
      </c>
      <c r="G197" s="46">
        <v>19800</v>
      </c>
      <c r="H197" s="46">
        <v>0</v>
      </c>
      <c r="I197" s="46">
        <v>0</v>
      </c>
      <c r="J197" s="46">
        <f t="shared" si="28"/>
        <v>0</v>
      </c>
      <c r="K197" s="46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 spans="1:25" x14ac:dyDescent="0.25">
      <c r="A198" s="41" t="s">
        <v>234</v>
      </c>
      <c r="B198" s="41" t="s">
        <v>95</v>
      </c>
      <c r="C198" s="42" t="s">
        <v>235</v>
      </c>
      <c r="D198" s="46">
        <v>15000</v>
      </c>
      <c r="E198" s="46">
        <f t="shared" si="27"/>
        <v>150</v>
      </c>
      <c r="F198" s="46">
        <v>0</v>
      </c>
      <c r="G198" s="46">
        <v>14850</v>
      </c>
      <c r="H198" s="46">
        <v>0</v>
      </c>
      <c r="I198" s="46">
        <v>0</v>
      </c>
      <c r="J198" s="46">
        <f t="shared" si="28"/>
        <v>0</v>
      </c>
      <c r="K198" s="46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 spans="1:25" x14ac:dyDescent="0.25">
      <c r="A199" s="41" t="s">
        <v>247</v>
      </c>
      <c r="B199" s="41" t="s">
        <v>162</v>
      </c>
      <c r="C199" s="42" t="s">
        <v>248</v>
      </c>
      <c r="D199" s="46">
        <v>15000</v>
      </c>
      <c r="E199" s="46">
        <f t="shared" si="27"/>
        <v>150</v>
      </c>
      <c r="F199" s="46">
        <v>0</v>
      </c>
      <c r="G199" s="46">
        <v>14850</v>
      </c>
      <c r="H199" s="46">
        <v>0</v>
      </c>
      <c r="I199" s="46">
        <v>0</v>
      </c>
      <c r="J199" s="46">
        <f t="shared" si="28"/>
        <v>0</v>
      </c>
      <c r="K199" s="46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 spans="1:25" x14ac:dyDescent="0.25">
      <c r="A200" s="41" t="s">
        <v>249</v>
      </c>
      <c r="B200" s="41" t="s">
        <v>20</v>
      </c>
      <c r="C200" s="42" t="s">
        <v>250</v>
      </c>
      <c r="D200" s="46">
        <v>15000</v>
      </c>
      <c r="E200" s="46">
        <f t="shared" si="27"/>
        <v>150</v>
      </c>
      <c r="F200" s="46">
        <v>0</v>
      </c>
      <c r="G200" s="46">
        <v>14850</v>
      </c>
      <c r="H200" s="46">
        <v>0</v>
      </c>
      <c r="I200" s="46">
        <v>0</v>
      </c>
      <c r="J200" s="46">
        <f t="shared" si="28"/>
        <v>0</v>
      </c>
      <c r="K200" s="46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 spans="1:25" x14ac:dyDescent="0.25">
      <c r="A201" s="41" t="s">
        <v>222</v>
      </c>
      <c r="B201" s="41" t="s">
        <v>53</v>
      </c>
      <c r="C201" s="42" t="s">
        <v>206</v>
      </c>
      <c r="D201" s="46">
        <v>37000</v>
      </c>
      <c r="E201" s="46">
        <f t="shared" si="27"/>
        <v>370</v>
      </c>
      <c r="F201" s="46">
        <v>0</v>
      </c>
      <c r="G201" s="46">
        <v>36630</v>
      </c>
      <c r="H201" s="46">
        <v>0</v>
      </c>
      <c r="I201" s="46">
        <v>0</v>
      </c>
      <c r="J201" s="46">
        <f t="shared" si="28"/>
        <v>0</v>
      </c>
      <c r="K201" s="46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 spans="1:25" x14ac:dyDescent="0.25">
      <c r="A202" s="41" t="s">
        <v>251</v>
      </c>
      <c r="B202" s="41" t="s">
        <v>162</v>
      </c>
      <c r="C202" s="42" t="s">
        <v>252</v>
      </c>
      <c r="D202" s="46">
        <v>30000</v>
      </c>
      <c r="E202" s="46">
        <f t="shared" si="27"/>
        <v>300</v>
      </c>
      <c r="F202" s="46">
        <v>0</v>
      </c>
      <c r="G202" s="46">
        <v>29700</v>
      </c>
      <c r="H202" s="46">
        <v>0</v>
      </c>
      <c r="I202" s="46">
        <v>0</v>
      </c>
      <c r="J202" s="46">
        <f t="shared" si="28"/>
        <v>0</v>
      </c>
      <c r="K202" s="46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 spans="1:25" x14ac:dyDescent="0.25">
      <c r="A203" s="41" t="s">
        <v>253</v>
      </c>
      <c r="B203" s="41" t="s">
        <v>162</v>
      </c>
      <c r="C203" s="42" t="s">
        <v>254</v>
      </c>
      <c r="D203" s="46">
        <v>25000</v>
      </c>
      <c r="E203" s="46">
        <f t="shared" si="27"/>
        <v>250</v>
      </c>
      <c r="F203" s="46">
        <v>0</v>
      </c>
      <c r="G203" s="46">
        <v>24750</v>
      </c>
      <c r="H203" s="46">
        <v>0</v>
      </c>
      <c r="I203" s="46">
        <v>0</v>
      </c>
      <c r="J203" s="46">
        <f t="shared" si="28"/>
        <v>0</v>
      </c>
      <c r="K203" s="46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 spans="1:25" x14ac:dyDescent="0.25">
      <c r="A204" s="41" t="s">
        <v>236</v>
      </c>
      <c r="B204" s="41" t="s">
        <v>162</v>
      </c>
      <c r="C204" s="42" t="s">
        <v>207</v>
      </c>
      <c r="D204" s="46">
        <v>40000</v>
      </c>
      <c r="E204" s="46">
        <f t="shared" si="27"/>
        <v>400</v>
      </c>
      <c r="F204" s="46">
        <v>0</v>
      </c>
      <c r="G204" s="46">
        <v>39600</v>
      </c>
      <c r="H204" s="46">
        <v>0</v>
      </c>
      <c r="I204" s="46">
        <v>0</v>
      </c>
      <c r="J204" s="46">
        <f t="shared" si="28"/>
        <v>0</v>
      </c>
      <c r="K204" s="46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 spans="1:25" x14ac:dyDescent="0.25">
      <c r="A205" s="41" t="s">
        <v>237</v>
      </c>
      <c r="B205" s="41" t="s">
        <v>162</v>
      </c>
      <c r="C205" s="42" t="s">
        <v>191</v>
      </c>
      <c r="D205" s="46">
        <v>35000</v>
      </c>
      <c r="E205" s="46">
        <f t="shared" si="27"/>
        <v>350</v>
      </c>
      <c r="F205" s="46">
        <v>0</v>
      </c>
      <c r="G205" s="46">
        <v>34650</v>
      </c>
      <c r="H205" s="46">
        <v>0</v>
      </c>
      <c r="I205" s="46">
        <v>0</v>
      </c>
      <c r="J205" s="46">
        <f t="shared" si="28"/>
        <v>0</v>
      </c>
      <c r="K205" s="46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 spans="1:25" x14ac:dyDescent="0.25">
      <c r="A206" s="40"/>
      <c r="B206" s="40"/>
      <c r="C206" s="48"/>
      <c r="D206" s="49">
        <f t="shared" ref="D206:E206" si="29">SUM(D186:D205)</f>
        <v>530000</v>
      </c>
      <c r="E206" s="49">
        <f t="shared" si="29"/>
        <v>5300</v>
      </c>
      <c r="F206" s="46">
        <v>0</v>
      </c>
      <c r="G206" s="49">
        <f t="shared" ref="G206:J206" si="30">SUM(G186:G205)</f>
        <v>524700</v>
      </c>
      <c r="H206" s="49">
        <f t="shared" si="30"/>
        <v>0</v>
      </c>
      <c r="I206" s="49">
        <f t="shared" si="30"/>
        <v>0</v>
      </c>
      <c r="J206" s="49">
        <f t="shared" si="30"/>
        <v>0</v>
      </c>
      <c r="K206" s="4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 spans="1:25" x14ac:dyDescent="0.25">
      <c r="A207" s="39"/>
      <c r="B207" s="39"/>
      <c r="C207" s="54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 spans="1:25" x14ac:dyDescent="0.25">
      <c r="A208" s="40" t="s">
        <v>130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55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 spans="1:25" x14ac:dyDescent="0.25">
      <c r="A209" s="41" t="s">
        <v>211</v>
      </c>
      <c r="B209" s="41" t="s">
        <v>95</v>
      </c>
      <c r="C209" s="42" t="s">
        <v>199</v>
      </c>
      <c r="D209" s="46">
        <v>10000</v>
      </c>
      <c r="E209" s="46">
        <f t="shared" ref="E209:E227" si="31">D209*0.01</f>
        <v>100</v>
      </c>
      <c r="F209" s="46">
        <v>0</v>
      </c>
      <c r="G209" s="46">
        <v>10000</v>
      </c>
      <c r="H209" s="46">
        <v>0</v>
      </c>
      <c r="I209" s="46">
        <v>0</v>
      </c>
      <c r="J209" s="46">
        <f t="shared" ref="J209:J227" si="32">D209-SUM(E209:G209)+SUM(H209:I209)</f>
        <v>-100</v>
      </c>
      <c r="K209" s="46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 spans="1:25" x14ac:dyDescent="0.25">
      <c r="A210" s="41" t="s">
        <v>239</v>
      </c>
      <c r="B210" s="41" t="s">
        <v>23</v>
      </c>
      <c r="C210" s="42" t="s">
        <v>189</v>
      </c>
      <c r="D210" s="46">
        <v>18500</v>
      </c>
      <c r="E210" s="46">
        <f t="shared" si="31"/>
        <v>185</v>
      </c>
      <c r="F210" s="46">
        <v>0</v>
      </c>
      <c r="G210" s="46">
        <v>18315</v>
      </c>
      <c r="H210" s="46">
        <v>0</v>
      </c>
      <c r="I210" s="46">
        <v>0</v>
      </c>
      <c r="J210" s="46">
        <f t="shared" si="32"/>
        <v>0</v>
      </c>
      <c r="K210" s="46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 spans="1:25" x14ac:dyDescent="0.25">
      <c r="A211" s="41" t="s">
        <v>240</v>
      </c>
      <c r="B211" s="41" t="s">
        <v>35</v>
      </c>
      <c r="C211" s="42" t="s">
        <v>177</v>
      </c>
      <c r="D211" s="46">
        <v>11500</v>
      </c>
      <c r="E211" s="46">
        <f t="shared" si="31"/>
        <v>115</v>
      </c>
      <c r="F211" s="46">
        <v>0</v>
      </c>
      <c r="G211" s="46">
        <v>11385</v>
      </c>
      <c r="H211" s="46">
        <v>0</v>
      </c>
      <c r="I211" s="46">
        <v>0</v>
      </c>
      <c r="J211" s="46">
        <f t="shared" si="32"/>
        <v>0</v>
      </c>
      <c r="K211" s="46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 spans="1:25" x14ac:dyDescent="0.25">
      <c r="A212" s="41" t="s">
        <v>241</v>
      </c>
      <c r="B212" s="41" t="s">
        <v>162</v>
      </c>
      <c r="C212" s="42" t="s">
        <v>201</v>
      </c>
      <c r="D212" s="46">
        <v>0</v>
      </c>
      <c r="E212" s="46">
        <f t="shared" si="31"/>
        <v>0</v>
      </c>
      <c r="F212" s="46">
        <v>0</v>
      </c>
      <c r="G212" s="46">
        <v>0</v>
      </c>
      <c r="H212" s="46">
        <v>0</v>
      </c>
      <c r="I212" s="46">
        <v>0</v>
      </c>
      <c r="J212" s="46">
        <f t="shared" si="32"/>
        <v>0</v>
      </c>
      <c r="K212" s="46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 spans="1:25" x14ac:dyDescent="0.25">
      <c r="A213" s="41" t="s">
        <v>214</v>
      </c>
      <c r="B213" s="41" t="s">
        <v>162</v>
      </c>
      <c r="C213" s="42" t="s">
        <v>209</v>
      </c>
      <c r="D213" s="46">
        <v>7500</v>
      </c>
      <c r="E213" s="46">
        <f t="shared" si="31"/>
        <v>75</v>
      </c>
      <c r="F213" s="46">
        <v>0</v>
      </c>
      <c r="G213" s="46">
        <v>7425</v>
      </c>
      <c r="H213" s="46">
        <v>0</v>
      </c>
      <c r="I213" s="46">
        <v>0</v>
      </c>
      <c r="J213" s="46">
        <f t="shared" si="32"/>
        <v>0</v>
      </c>
      <c r="K213" s="46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 spans="1:25" x14ac:dyDescent="0.25">
      <c r="A214" s="41" t="s">
        <v>216</v>
      </c>
      <c r="B214" s="41" t="s">
        <v>162</v>
      </c>
      <c r="C214" s="42" t="s">
        <v>196</v>
      </c>
      <c r="D214" s="46">
        <v>12500</v>
      </c>
      <c r="E214" s="46">
        <f t="shared" si="31"/>
        <v>125</v>
      </c>
      <c r="F214" s="46">
        <v>0</v>
      </c>
      <c r="G214" s="46">
        <v>12375</v>
      </c>
      <c r="H214" s="46">
        <v>0</v>
      </c>
      <c r="I214" s="46">
        <v>0</v>
      </c>
      <c r="J214" s="46">
        <f t="shared" si="32"/>
        <v>0</v>
      </c>
      <c r="K214" s="46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 spans="1:25" x14ac:dyDescent="0.25">
      <c r="A215" s="41" t="s">
        <v>243</v>
      </c>
      <c r="B215" s="41" t="s">
        <v>35</v>
      </c>
      <c r="C215" s="42" t="s">
        <v>129</v>
      </c>
      <c r="D215" s="46">
        <v>8500</v>
      </c>
      <c r="E215" s="46">
        <f t="shared" si="31"/>
        <v>85</v>
      </c>
      <c r="F215" s="46">
        <v>0</v>
      </c>
      <c r="G215" s="46">
        <v>8415</v>
      </c>
      <c r="H215" s="46">
        <v>0</v>
      </c>
      <c r="I215" s="46">
        <v>0</v>
      </c>
      <c r="J215" s="46">
        <f t="shared" si="32"/>
        <v>0</v>
      </c>
      <c r="K215" s="46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 spans="1:25" x14ac:dyDescent="0.25">
      <c r="A216" s="41" t="s">
        <v>226</v>
      </c>
      <c r="B216" s="41" t="s">
        <v>53</v>
      </c>
      <c r="C216" s="42" t="s">
        <v>227</v>
      </c>
      <c r="D216" s="46">
        <v>17500</v>
      </c>
      <c r="E216" s="46">
        <f t="shared" si="31"/>
        <v>175</v>
      </c>
      <c r="F216" s="46">
        <v>0</v>
      </c>
      <c r="G216" s="46">
        <v>17325</v>
      </c>
      <c r="H216" s="46">
        <v>0</v>
      </c>
      <c r="I216" s="46">
        <v>0</v>
      </c>
      <c r="J216" s="46">
        <f t="shared" si="32"/>
        <v>0</v>
      </c>
      <c r="K216" s="46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 spans="1:25" x14ac:dyDescent="0.25">
      <c r="A217" s="41" t="s">
        <v>228</v>
      </c>
      <c r="B217" s="41" t="s">
        <v>53</v>
      </c>
      <c r="C217" s="42" t="s">
        <v>229</v>
      </c>
      <c r="D217" s="46">
        <v>15000</v>
      </c>
      <c r="E217" s="46">
        <f t="shared" si="31"/>
        <v>150</v>
      </c>
      <c r="F217" s="46">
        <v>0</v>
      </c>
      <c r="G217" s="46">
        <v>14850</v>
      </c>
      <c r="H217" s="46">
        <v>0</v>
      </c>
      <c r="I217" s="46">
        <v>0</v>
      </c>
      <c r="J217" s="46">
        <f t="shared" si="32"/>
        <v>0</v>
      </c>
      <c r="K217" s="46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 spans="1:25" x14ac:dyDescent="0.25">
      <c r="A218" s="41" t="s">
        <v>244</v>
      </c>
      <c r="B218" s="41" t="s">
        <v>162</v>
      </c>
      <c r="C218" s="42" t="s">
        <v>231</v>
      </c>
      <c r="D218" s="46">
        <v>15000</v>
      </c>
      <c r="E218" s="46">
        <f t="shared" si="31"/>
        <v>150</v>
      </c>
      <c r="F218" s="46">
        <v>0</v>
      </c>
      <c r="G218" s="46">
        <v>14850</v>
      </c>
      <c r="H218" s="46">
        <v>0</v>
      </c>
      <c r="I218" s="46">
        <v>0</v>
      </c>
      <c r="J218" s="46">
        <f t="shared" si="32"/>
        <v>0</v>
      </c>
      <c r="K218" s="46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 spans="1:25" x14ac:dyDescent="0.25">
      <c r="A219" s="41" t="s">
        <v>245</v>
      </c>
      <c r="B219" s="41" t="s">
        <v>233</v>
      </c>
      <c r="C219" s="42" t="s">
        <v>246</v>
      </c>
      <c r="D219" s="46">
        <v>10000</v>
      </c>
      <c r="E219" s="46">
        <f t="shared" si="31"/>
        <v>100</v>
      </c>
      <c r="F219" s="46">
        <v>0</v>
      </c>
      <c r="G219" s="46">
        <v>10000</v>
      </c>
      <c r="H219" s="46">
        <v>0</v>
      </c>
      <c r="I219" s="46">
        <v>0</v>
      </c>
      <c r="J219" s="46">
        <f t="shared" si="32"/>
        <v>-100</v>
      </c>
      <c r="K219" s="46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 spans="1:25" x14ac:dyDescent="0.25">
      <c r="A220" s="41" t="s">
        <v>234</v>
      </c>
      <c r="B220" s="41" t="s">
        <v>95</v>
      </c>
      <c r="C220" s="42" t="s">
        <v>235</v>
      </c>
      <c r="D220" s="46">
        <v>7500</v>
      </c>
      <c r="E220" s="46">
        <f t="shared" si="31"/>
        <v>75</v>
      </c>
      <c r="F220" s="46">
        <v>0</v>
      </c>
      <c r="G220" s="46">
        <v>7425</v>
      </c>
      <c r="H220" s="46">
        <v>0</v>
      </c>
      <c r="I220" s="46">
        <v>0</v>
      </c>
      <c r="J220" s="46">
        <f t="shared" si="32"/>
        <v>0</v>
      </c>
      <c r="K220" s="46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 spans="1:25" x14ac:dyDescent="0.25">
      <c r="A221" s="41" t="s">
        <v>247</v>
      </c>
      <c r="B221" s="41" t="s">
        <v>162</v>
      </c>
      <c r="C221" s="42" t="s">
        <v>248</v>
      </c>
      <c r="D221" s="46">
        <v>7500</v>
      </c>
      <c r="E221" s="46">
        <f t="shared" si="31"/>
        <v>75</v>
      </c>
      <c r="F221" s="46">
        <v>0</v>
      </c>
      <c r="G221" s="46">
        <v>7425</v>
      </c>
      <c r="H221" s="46">
        <v>0</v>
      </c>
      <c r="I221" s="46">
        <v>0</v>
      </c>
      <c r="J221" s="46">
        <f t="shared" si="32"/>
        <v>0</v>
      </c>
      <c r="K221" s="46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 spans="1:25" x14ac:dyDescent="0.25">
      <c r="A222" s="41" t="s">
        <v>249</v>
      </c>
      <c r="B222" s="41" t="s">
        <v>20</v>
      </c>
      <c r="C222" s="42" t="s">
        <v>250</v>
      </c>
      <c r="D222" s="46">
        <v>7500</v>
      </c>
      <c r="E222" s="46">
        <f t="shared" si="31"/>
        <v>75</v>
      </c>
      <c r="F222" s="46">
        <v>0</v>
      </c>
      <c r="G222" s="46">
        <v>7425</v>
      </c>
      <c r="H222" s="46">
        <v>0</v>
      </c>
      <c r="I222" s="46">
        <v>0</v>
      </c>
      <c r="J222" s="46">
        <f t="shared" si="32"/>
        <v>0</v>
      </c>
      <c r="K222" s="46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spans="1:25" x14ac:dyDescent="0.25">
      <c r="A223" s="41" t="s">
        <v>222</v>
      </c>
      <c r="B223" s="41" t="s">
        <v>53</v>
      </c>
      <c r="C223" s="42" t="s">
        <v>206</v>
      </c>
      <c r="D223" s="46">
        <v>18500</v>
      </c>
      <c r="E223" s="46">
        <f t="shared" si="31"/>
        <v>185</v>
      </c>
      <c r="F223" s="46">
        <v>0</v>
      </c>
      <c r="G223" s="46">
        <v>18315</v>
      </c>
      <c r="H223" s="46">
        <v>0</v>
      </c>
      <c r="I223" s="46">
        <v>0</v>
      </c>
      <c r="J223" s="46">
        <f t="shared" si="32"/>
        <v>0</v>
      </c>
      <c r="K223" s="46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 spans="1:25" x14ac:dyDescent="0.25">
      <c r="A224" s="41" t="s">
        <v>251</v>
      </c>
      <c r="B224" s="41" t="s">
        <v>162</v>
      </c>
      <c r="C224" s="42" t="s">
        <v>252</v>
      </c>
      <c r="D224" s="46">
        <v>15000</v>
      </c>
      <c r="E224" s="46">
        <f t="shared" si="31"/>
        <v>150</v>
      </c>
      <c r="F224" s="46">
        <v>0</v>
      </c>
      <c r="G224" s="46">
        <v>14850</v>
      </c>
      <c r="H224" s="46">
        <v>0</v>
      </c>
      <c r="I224" s="46">
        <v>0</v>
      </c>
      <c r="J224" s="46">
        <f t="shared" si="32"/>
        <v>0</v>
      </c>
      <c r="K224" s="46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 spans="1:25" x14ac:dyDescent="0.25">
      <c r="A225" s="41" t="s">
        <v>253</v>
      </c>
      <c r="B225" s="41" t="s">
        <v>162</v>
      </c>
      <c r="C225" s="42" t="s">
        <v>254</v>
      </c>
      <c r="D225" s="46">
        <v>12500</v>
      </c>
      <c r="E225" s="46">
        <f t="shared" si="31"/>
        <v>125</v>
      </c>
      <c r="F225" s="46">
        <v>0</v>
      </c>
      <c r="G225" s="46">
        <v>12375</v>
      </c>
      <c r="H225" s="46">
        <v>0</v>
      </c>
      <c r="I225" s="46">
        <v>0</v>
      </c>
      <c r="J225" s="46">
        <f t="shared" si="32"/>
        <v>0</v>
      </c>
      <c r="K225" s="46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 spans="1:25" x14ac:dyDescent="0.25">
      <c r="A226" s="41" t="s">
        <v>236</v>
      </c>
      <c r="B226" s="41" t="s">
        <v>162</v>
      </c>
      <c r="C226" s="42" t="s">
        <v>207</v>
      </c>
      <c r="D226" s="46">
        <v>20000</v>
      </c>
      <c r="E226" s="46">
        <f t="shared" si="31"/>
        <v>200</v>
      </c>
      <c r="F226" s="46">
        <v>0</v>
      </c>
      <c r="G226" s="46">
        <v>19800</v>
      </c>
      <c r="H226" s="46">
        <v>0</v>
      </c>
      <c r="I226" s="46">
        <v>0</v>
      </c>
      <c r="J226" s="46">
        <f t="shared" si="32"/>
        <v>0</v>
      </c>
      <c r="K226" s="46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 spans="1:25" x14ac:dyDescent="0.25">
      <c r="A227" s="41" t="s">
        <v>237</v>
      </c>
      <c r="B227" s="41" t="s">
        <v>162</v>
      </c>
      <c r="C227" s="42" t="s">
        <v>191</v>
      </c>
      <c r="D227" s="46">
        <v>17500</v>
      </c>
      <c r="E227" s="46">
        <f t="shared" si="31"/>
        <v>175</v>
      </c>
      <c r="F227" s="46">
        <v>0</v>
      </c>
      <c r="G227" s="46">
        <v>17325</v>
      </c>
      <c r="H227" s="46">
        <v>0</v>
      </c>
      <c r="I227" s="46">
        <v>0</v>
      </c>
      <c r="J227" s="46">
        <f t="shared" si="32"/>
        <v>0</v>
      </c>
      <c r="K227" s="46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 spans="1:25" x14ac:dyDescent="0.25">
      <c r="A228" s="40"/>
      <c r="B228" s="40"/>
      <c r="C228" s="48"/>
      <c r="D228" s="49">
        <f t="shared" ref="D228:E228" si="33">SUM(D209:D227)</f>
        <v>232000</v>
      </c>
      <c r="E228" s="49">
        <f t="shared" si="33"/>
        <v>2320</v>
      </c>
      <c r="F228" s="46">
        <v>0</v>
      </c>
      <c r="G228" s="49">
        <f t="shared" ref="G228:J228" si="34">SUM(G209:G227)</f>
        <v>229880</v>
      </c>
      <c r="H228" s="49">
        <f t="shared" si="34"/>
        <v>0</v>
      </c>
      <c r="I228" s="49">
        <f t="shared" si="34"/>
        <v>0</v>
      </c>
      <c r="J228" s="49">
        <f t="shared" si="34"/>
        <v>-200</v>
      </c>
      <c r="K228" s="4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 spans="1:25" x14ac:dyDescent="0.25">
      <c r="A229" s="39"/>
      <c r="B229" s="39"/>
      <c r="C229" s="54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 spans="1:25" x14ac:dyDescent="0.25">
      <c r="A230" s="39"/>
      <c r="B230" s="39"/>
      <c r="C230" s="54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 spans="1:25" x14ac:dyDescent="0.25">
      <c r="A231" s="39"/>
      <c r="B231" s="39"/>
      <c r="C231" s="54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 spans="1:25" x14ac:dyDescent="0.25">
      <c r="A232" s="39"/>
      <c r="B232" s="39"/>
      <c r="C232" s="54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 spans="1:25" x14ac:dyDescent="0.25">
      <c r="A233" s="39"/>
      <c r="B233" s="39"/>
      <c r="C233" s="54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 spans="1:25" x14ac:dyDescent="0.25">
      <c r="A234" s="39"/>
      <c r="B234" s="39"/>
      <c r="C234" s="54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 spans="1:25" x14ac:dyDescent="0.25">
      <c r="A235" s="39"/>
      <c r="B235" s="39"/>
      <c r="C235" s="54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 spans="1:25" x14ac:dyDescent="0.25">
      <c r="A236" s="39"/>
      <c r="B236" s="39"/>
      <c r="C236" s="54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 spans="1:25" x14ac:dyDescent="0.25">
      <c r="A237" s="39"/>
      <c r="B237" s="39"/>
      <c r="C237" s="54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 spans="1:25" x14ac:dyDescent="0.25">
      <c r="A238" s="39"/>
      <c r="B238" s="39"/>
      <c r="C238" s="54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 spans="1:25" x14ac:dyDescent="0.25">
      <c r="A239" s="39"/>
      <c r="B239" s="39"/>
      <c r="C239" s="54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 spans="1:25" x14ac:dyDescent="0.25">
      <c r="A240" s="39"/>
      <c r="B240" s="39"/>
      <c r="C240" s="54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 spans="1:25" x14ac:dyDescent="0.25">
      <c r="A241" s="39"/>
      <c r="B241" s="39"/>
      <c r="C241" s="54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 spans="1:25" x14ac:dyDescent="0.25">
      <c r="A242" s="39"/>
      <c r="B242" s="39"/>
      <c r="C242" s="54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 spans="1:25" x14ac:dyDescent="0.25">
      <c r="A243" s="39"/>
      <c r="B243" s="39"/>
      <c r="C243" s="54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 spans="1:25" x14ac:dyDescent="0.25">
      <c r="A244" s="39"/>
      <c r="B244" s="39"/>
      <c r="C244" s="54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 spans="1:25" x14ac:dyDescent="0.25">
      <c r="A245" s="39"/>
      <c r="B245" s="39"/>
      <c r="C245" s="54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 spans="1:25" x14ac:dyDescent="0.25">
      <c r="A246" s="39"/>
      <c r="B246" s="39"/>
      <c r="C246" s="54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 spans="1:25" x14ac:dyDescent="0.25">
      <c r="A247" s="39"/>
      <c r="B247" s="39"/>
      <c r="C247" s="54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 spans="1:25" x14ac:dyDescent="0.25">
      <c r="A248" s="39"/>
      <c r="B248" s="39"/>
      <c r="C248" s="54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 spans="1:25" x14ac:dyDescent="0.25">
      <c r="A249" s="39"/>
      <c r="B249" s="39"/>
      <c r="C249" s="54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 spans="1:25" x14ac:dyDescent="0.25">
      <c r="A250" s="39"/>
      <c r="B250" s="39"/>
      <c r="C250" s="54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 spans="1:25" x14ac:dyDescent="0.25">
      <c r="A251" s="39"/>
      <c r="B251" s="39"/>
      <c r="C251" s="54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spans="1:25" x14ac:dyDescent="0.25">
      <c r="A252" s="39"/>
      <c r="B252" s="39"/>
      <c r="C252" s="54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 spans="1:25" x14ac:dyDescent="0.25">
      <c r="A253" s="39"/>
      <c r="B253" s="39"/>
      <c r="C253" s="54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 spans="1:25" x14ac:dyDescent="0.25">
      <c r="A254" s="39"/>
      <c r="B254" s="39"/>
      <c r="C254" s="54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 spans="1:25" x14ac:dyDescent="0.25">
      <c r="A255" s="39"/>
      <c r="B255" s="39"/>
      <c r="C255" s="54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 spans="1:25" x14ac:dyDescent="0.25">
      <c r="A256" s="39"/>
      <c r="B256" s="39"/>
      <c r="C256" s="54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 spans="1:25" x14ac:dyDescent="0.25">
      <c r="A257" s="39"/>
      <c r="B257" s="39"/>
      <c r="C257" s="54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 spans="1:25" x14ac:dyDescent="0.25">
      <c r="A258" s="39"/>
      <c r="B258" s="39"/>
      <c r="C258" s="54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 spans="1:25" x14ac:dyDescent="0.25">
      <c r="A259" s="39"/>
      <c r="B259" s="39"/>
      <c r="C259" s="54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 spans="1:25" x14ac:dyDescent="0.25">
      <c r="A260" s="39"/>
      <c r="B260" s="39"/>
      <c r="C260" s="54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 spans="1:25" x14ac:dyDescent="0.25">
      <c r="A261" s="39"/>
      <c r="B261" s="39"/>
      <c r="C261" s="54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 spans="1:25" x14ac:dyDescent="0.25">
      <c r="A262" s="39"/>
      <c r="B262" s="39"/>
      <c r="C262" s="54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 spans="1:25" x14ac:dyDescent="0.25">
      <c r="A263" s="39"/>
      <c r="B263" s="39"/>
      <c r="C263" s="54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 spans="1:25" x14ac:dyDescent="0.25">
      <c r="A264" s="39"/>
      <c r="B264" s="39"/>
      <c r="C264" s="54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 spans="1:25" x14ac:dyDescent="0.25">
      <c r="A265" s="39"/>
      <c r="B265" s="39"/>
      <c r="C265" s="54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 spans="1:25" x14ac:dyDescent="0.25">
      <c r="A266" s="39"/>
      <c r="B266" s="39"/>
      <c r="C266" s="54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 spans="1:25" x14ac:dyDescent="0.25">
      <c r="A267" s="39"/>
      <c r="B267" s="39"/>
      <c r="C267" s="54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 spans="1:25" x14ac:dyDescent="0.25">
      <c r="A268" s="39"/>
      <c r="B268" s="39"/>
      <c r="C268" s="54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 spans="1:25" x14ac:dyDescent="0.25">
      <c r="A269" s="39"/>
      <c r="B269" s="39"/>
      <c r="C269" s="54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 spans="1:25" x14ac:dyDescent="0.25">
      <c r="A270" s="39"/>
      <c r="B270" s="39"/>
      <c r="C270" s="54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 spans="1:25" x14ac:dyDescent="0.25">
      <c r="A271" s="39"/>
      <c r="B271" s="39"/>
      <c r="C271" s="54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 spans="1:25" x14ac:dyDescent="0.25">
      <c r="A272" s="39"/>
      <c r="B272" s="39"/>
      <c r="C272" s="54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 spans="1:25" x14ac:dyDescent="0.25">
      <c r="A273" s="39"/>
      <c r="B273" s="39"/>
      <c r="C273" s="54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 spans="1:25" x14ac:dyDescent="0.25">
      <c r="A274" s="39"/>
      <c r="B274" s="39"/>
      <c r="C274" s="54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 spans="1:25" x14ac:dyDescent="0.25">
      <c r="A275" s="39"/>
      <c r="B275" s="39"/>
      <c r="C275" s="54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 spans="1:25" x14ac:dyDescent="0.25">
      <c r="A276" s="39"/>
      <c r="B276" s="39"/>
      <c r="C276" s="54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 spans="1:25" x14ac:dyDescent="0.25">
      <c r="A277" s="39"/>
      <c r="B277" s="39"/>
      <c r="C277" s="54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 spans="1:25" x14ac:dyDescent="0.25">
      <c r="A278" s="39"/>
      <c r="B278" s="39"/>
      <c r="C278" s="54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 spans="1:25" x14ac:dyDescent="0.25">
      <c r="A279" s="39"/>
      <c r="B279" s="39"/>
      <c r="C279" s="54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 spans="1:25" x14ac:dyDescent="0.25">
      <c r="A280" s="39"/>
      <c r="B280" s="39"/>
      <c r="C280" s="54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 spans="1:25" x14ac:dyDescent="0.25">
      <c r="A281" s="39"/>
      <c r="B281" s="39"/>
      <c r="C281" s="54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 spans="1:25" x14ac:dyDescent="0.25">
      <c r="A282" s="39"/>
      <c r="B282" s="39"/>
      <c r="C282" s="54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 spans="1:25" x14ac:dyDescent="0.25">
      <c r="A283" s="39"/>
      <c r="B283" s="39"/>
      <c r="C283" s="54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 spans="1:25" x14ac:dyDescent="0.25">
      <c r="A284" s="39"/>
      <c r="B284" s="39"/>
      <c r="C284" s="54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 spans="1:25" x14ac:dyDescent="0.25">
      <c r="A285" s="39"/>
      <c r="B285" s="39"/>
      <c r="C285" s="54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 spans="1:25" x14ac:dyDescent="0.25">
      <c r="A286" s="39"/>
      <c r="B286" s="39"/>
      <c r="C286" s="54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 spans="1:25" x14ac:dyDescent="0.25">
      <c r="A287" s="39"/>
      <c r="B287" s="39"/>
      <c r="C287" s="54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 spans="1:25" x14ac:dyDescent="0.25">
      <c r="A288" s="39"/>
      <c r="B288" s="39"/>
      <c r="C288" s="54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 spans="1:25" x14ac:dyDescent="0.25">
      <c r="A289" s="39"/>
      <c r="B289" s="39"/>
      <c r="C289" s="54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 spans="1:25" x14ac:dyDescent="0.25">
      <c r="A290" s="39"/>
      <c r="B290" s="39"/>
      <c r="C290" s="54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 spans="1:25" x14ac:dyDescent="0.25">
      <c r="A291" s="39"/>
      <c r="B291" s="39"/>
      <c r="C291" s="54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 spans="1:25" x14ac:dyDescent="0.25">
      <c r="A292" s="39"/>
      <c r="B292" s="39"/>
      <c r="C292" s="54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 spans="1:25" x14ac:dyDescent="0.25">
      <c r="A293" s="39"/>
      <c r="B293" s="39"/>
      <c r="C293" s="54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 spans="1:25" x14ac:dyDescent="0.25">
      <c r="A294" s="39"/>
      <c r="B294" s="39"/>
      <c r="C294" s="54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 spans="1:25" x14ac:dyDescent="0.25">
      <c r="A295" s="39"/>
      <c r="B295" s="39"/>
      <c r="C295" s="54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 spans="1:25" x14ac:dyDescent="0.25">
      <c r="A296" s="39"/>
      <c r="B296" s="39"/>
      <c r="C296" s="54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 spans="1:25" x14ac:dyDescent="0.25">
      <c r="A297" s="39"/>
      <c r="B297" s="39"/>
      <c r="C297" s="54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 spans="1:25" x14ac:dyDescent="0.25">
      <c r="A298" s="39"/>
      <c r="B298" s="39"/>
      <c r="C298" s="54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 spans="1:25" x14ac:dyDescent="0.25">
      <c r="A299" s="39"/>
      <c r="B299" s="39"/>
      <c r="C299" s="54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 spans="1:25" x14ac:dyDescent="0.25">
      <c r="A300" s="39"/>
      <c r="B300" s="39"/>
      <c r="C300" s="54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 spans="1:25" x14ac:dyDescent="0.25">
      <c r="A301" s="39"/>
      <c r="B301" s="39"/>
      <c r="C301" s="54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 spans="1:25" x14ac:dyDescent="0.25">
      <c r="A302" s="39"/>
      <c r="B302" s="39"/>
      <c r="C302" s="54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 spans="1:25" x14ac:dyDescent="0.25">
      <c r="A303" s="39"/>
      <c r="B303" s="39"/>
      <c r="C303" s="54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 spans="1:25" x14ac:dyDescent="0.25">
      <c r="A304" s="39"/>
      <c r="B304" s="39"/>
      <c r="C304" s="54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 spans="1:25" x14ac:dyDescent="0.25">
      <c r="A305" s="39"/>
      <c r="B305" s="39"/>
      <c r="C305" s="54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 spans="1:25" x14ac:dyDescent="0.25">
      <c r="A306" s="39"/>
      <c r="B306" s="39"/>
      <c r="C306" s="54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 spans="1:25" x14ac:dyDescent="0.25">
      <c r="A307" s="39"/>
      <c r="B307" s="39"/>
      <c r="C307" s="54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 spans="1:25" x14ac:dyDescent="0.25">
      <c r="A308" s="39"/>
      <c r="B308" s="39"/>
      <c r="C308" s="54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 spans="1:25" x14ac:dyDescent="0.25">
      <c r="A309" s="39"/>
      <c r="B309" s="39"/>
      <c r="C309" s="54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 spans="1:25" x14ac:dyDescent="0.25">
      <c r="A310" s="39"/>
      <c r="B310" s="39"/>
      <c r="C310" s="54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 spans="1:25" x14ac:dyDescent="0.25">
      <c r="A311" s="39"/>
      <c r="B311" s="39"/>
      <c r="C311" s="54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 spans="1:25" x14ac:dyDescent="0.25">
      <c r="A312" s="39"/>
      <c r="B312" s="39"/>
      <c r="C312" s="54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 spans="1:25" x14ac:dyDescent="0.25">
      <c r="A313" s="39"/>
      <c r="B313" s="39"/>
      <c r="C313" s="54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 spans="1:25" x14ac:dyDescent="0.25">
      <c r="A314" s="39"/>
      <c r="B314" s="39"/>
      <c r="C314" s="54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 spans="1:25" x14ac:dyDescent="0.25">
      <c r="A315" s="39"/>
      <c r="B315" s="39"/>
      <c r="C315" s="54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 spans="1:25" x14ac:dyDescent="0.25">
      <c r="A316" s="39"/>
      <c r="B316" s="39"/>
      <c r="C316" s="54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 spans="1:25" x14ac:dyDescent="0.25">
      <c r="A317" s="39"/>
      <c r="B317" s="39"/>
      <c r="C317" s="54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 spans="1:25" x14ac:dyDescent="0.25">
      <c r="A318" s="39"/>
      <c r="B318" s="39"/>
      <c r="C318" s="54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 spans="1:25" x14ac:dyDescent="0.25">
      <c r="A319" s="39"/>
      <c r="B319" s="39"/>
      <c r="C319" s="54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 spans="1:25" x14ac:dyDescent="0.25">
      <c r="A320" s="39"/>
      <c r="B320" s="39"/>
      <c r="C320" s="54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 spans="1:25" x14ac:dyDescent="0.25">
      <c r="A321" s="39"/>
      <c r="B321" s="39"/>
      <c r="C321" s="54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 spans="1:25" x14ac:dyDescent="0.25">
      <c r="A322" s="39"/>
      <c r="B322" s="39"/>
      <c r="C322" s="54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 spans="1:25" x14ac:dyDescent="0.25">
      <c r="A323" s="39"/>
      <c r="B323" s="39"/>
      <c r="C323" s="54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 spans="1:25" x14ac:dyDescent="0.25">
      <c r="A324" s="39"/>
      <c r="B324" s="39"/>
      <c r="C324" s="54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 spans="1:25" x14ac:dyDescent="0.25">
      <c r="A325" s="39"/>
      <c r="B325" s="39"/>
      <c r="C325" s="54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 spans="1:25" x14ac:dyDescent="0.25">
      <c r="A326" s="39"/>
      <c r="B326" s="39"/>
      <c r="C326" s="54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 spans="1:25" x14ac:dyDescent="0.25">
      <c r="A327" s="39"/>
      <c r="B327" s="39"/>
      <c r="C327" s="54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 spans="1:25" x14ac:dyDescent="0.25">
      <c r="A328" s="39"/>
      <c r="B328" s="39"/>
      <c r="C328" s="54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 spans="1:25" x14ac:dyDescent="0.25">
      <c r="A329" s="39"/>
      <c r="B329" s="39"/>
      <c r="C329" s="54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 spans="1:25" x14ac:dyDescent="0.25">
      <c r="A330" s="39"/>
      <c r="B330" s="39"/>
      <c r="C330" s="54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 spans="1:25" x14ac:dyDescent="0.25">
      <c r="A331" s="39"/>
      <c r="B331" s="39"/>
      <c r="C331" s="54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 spans="1:25" x14ac:dyDescent="0.25">
      <c r="A332" s="39"/>
      <c r="B332" s="39"/>
      <c r="C332" s="54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 spans="1:25" x14ac:dyDescent="0.25">
      <c r="A333" s="39"/>
      <c r="B333" s="39"/>
      <c r="C333" s="54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 spans="1:25" x14ac:dyDescent="0.25">
      <c r="A334" s="39"/>
      <c r="B334" s="39"/>
      <c r="C334" s="54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 spans="1:25" x14ac:dyDescent="0.25">
      <c r="A335" s="39"/>
      <c r="B335" s="39"/>
      <c r="C335" s="54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 spans="1:25" x14ac:dyDescent="0.25">
      <c r="A336" s="39"/>
      <c r="B336" s="39"/>
      <c r="C336" s="54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 spans="1:25" x14ac:dyDescent="0.25">
      <c r="A337" s="39"/>
      <c r="B337" s="39"/>
      <c r="C337" s="54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 spans="1:25" x14ac:dyDescent="0.25">
      <c r="A338" s="39"/>
      <c r="B338" s="39"/>
      <c r="C338" s="54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 spans="1:25" x14ac:dyDescent="0.25">
      <c r="A339" s="39"/>
      <c r="B339" s="39"/>
      <c r="C339" s="54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 spans="1:25" x14ac:dyDescent="0.25">
      <c r="A340" s="39"/>
      <c r="B340" s="39"/>
      <c r="C340" s="54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 spans="1:25" x14ac:dyDescent="0.25">
      <c r="A341" s="39"/>
      <c r="B341" s="39"/>
      <c r="C341" s="54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 spans="1:25" x14ac:dyDescent="0.25">
      <c r="A342" s="39"/>
      <c r="B342" s="39"/>
      <c r="C342" s="54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 spans="1:25" x14ac:dyDescent="0.25">
      <c r="A343" s="39"/>
      <c r="B343" s="39"/>
      <c r="C343" s="54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 spans="1:25" x14ac:dyDescent="0.25">
      <c r="A344" s="39"/>
      <c r="B344" s="39"/>
      <c r="C344" s="54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 spans="1:25" x14ac:dyDescent="0.25">
      <c r="A345" s="39"/>
      <c r="B345" s="39"/>
      <c r="C345" s="54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 spans="1:25" x14ac:dyDescent="0.25">
      <c r="A346" s="39"/>
      <c r="B346" s="39"/>
      <c r="C346" s="54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 spans="1:25" x14ac:dyDescent="0.25">
      <c r="A347" s="39"/>
      <c r="B347" s="39"/>
      <c r="C347" s="54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 spans="1:25" x14ac:dyDescent="0.25">
      <c r="A348" s="39"/>
      <c r="B348" s="39"/>
      <c r="C348" s="54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 spans="1:25" x14ac:dyDescent="0.25">
      <c r="A349" s="39"/>
      <c r="B349" s="39"/>
      <c r="C349" s="54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 spans="1:25" x14ac:dyDescent="0.25">
      <c r="A350" s="39"/>
      <c r="B350" s="39"/>
      <c r="C350" s="54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 spans="1:25" x14ac:dyDescent="0.25">
      <c r="A351" s="39"/>
      <c r="B351" s="39"/>
      <c r="C351" s="54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 spans="1:25" x14ac:dyDescent="0.25">
      <c r="A352" s="39"/>
      <c r="B352" s="39"/>
      <c r="C352" s="54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 spans="1:25" x14ac:dyDescent="0.25">
      <c r="A353" s="39"/>
      <c r="B353" s="39"/>
      <c r="C353" s="54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 spans="1:25" x14ac:dyDescent="0.25">
      <c r="A354" s="39"/>
      <c r="B354" s="39"/>
      <c r="C354" s="54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 spans="1:25" x14ac:dyDescent="0.25">
      <c r="A355" s="39"/>
      <c r="B355" s="39"/>
      <c r="C355" s="54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 spans="1:25" x14ac:dyDescent="0.25">
      <c r="A356" s="39"/>
      <c r="B356" s="39"/>
      <c r="C356" s="54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 spans="1:25" x14ac:dyDescent="0.25">
      <c r="A357" s="39"/>
      <c r="B357" s="39"/>
      <c r="C357" s="54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 spans="1:25" x14ac:dyDescent="0.25">
      <c r="A358" s="39"/>
      <c r="B358" s="39"/>
      <c r="C358" s="54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 spans="1:25" x14ac:dyDescent="0.25">
      <c r="A359" s="39"/>
      <c r="B359" s="39"/>
      <c r="C359" s="54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 spans="1:25" x14ac:dyDescent="0.25">
      <c r="A360" s="39"/>
      <c r="B360" s="39"/>
      <c r="C360" s="54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 spans="1:25" x14ac:dyDescent="0.25">
      <c r="A361" s="39"/>
      <c r="B361" s="39"/>
      <c r="C361" s="54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 spans="1:25" x14ac:dyDescent="0.25">
      <c r="A362" s="39"/>
      <c r="B362" s="39"/>
      <c r="C362" s="54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 spans="1:25" x14ac:dyDescent="0.25">
      <c r="A363" s="39"/>
      <c r="B363" s="39"/>
      <c r="C363" s="54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 spans="1:25" x14ac:dyDescent="0.25">
      <c r="A364" s="39"/>
      <c r="B364" s="39"/>
      <c r="C364" s="54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 spans="1:25" x14ac:dyDescent="0.25">
      <c r="A365" s="39"/>
      <c r="B365" s="39"/>
      <c r="C365" s="54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 spans="1:25" x14ac:dyDescent="0.25">
      <c r="A366" s="39"/>
      <c r="B366" s="39"/>
      <c r="C366" s="54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 spans="1:25" x14ac:dyDescent="0.25">
      <c r="A367" s="39"/>
      <c r="B367" s="39"/>
      <c r="C367" s="54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 spans="1:25" x14ac:dyDescent="0.25">
      <c r="A368" s="39"/>
      <c r="B368" s="39"/>
      <c r="C368" s="54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 spans="1:25" x14ac:dyDescent="0.25">
      <c r="A369" s="39"/>
      <c r="B369" s="39"/>
      <c r="C369" s="54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 spans="1:25" x14ac:dyDescent="0.25">
      <c r="A370" s="39"/>
      <c r="B370" s="39"/>
      <c r="C370" s="54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 spans="1:25" x14ac:dyDescent="0.25">
      <c r="A371" s="39"/>
      <c r="B371" s="39"/>
      <c r="C371" s="54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 spans="1:25" x14ac:dyDescent="0.25">
      <c r="A372" s="39"/>
      <c r="B372" s="39"/>
      <c r="C372" s="54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 spans="1:25" x14ac:dyDescent="0.25">
      <c r="A373" s="39"/>
      <c r="B373" s="39"/>
      <c r="C373" s="54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 spans="1:25" x14ac:dyDescent="0.25">
      <c r="A374" s="39"/>
      <c r="B374" s="39"/>
      <c r="C374" s="54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 spans="1:25" x14ac:dyDescent="0.25">
      <c r="A375" s="39"/>
      <c r="B375" s="39"/>
      <c r="C375" s="54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 spans="1:25" x14ac:dyDescent="0.25">
      <c r="A376" s="39"/>
      <c r="B376" s="39"/>
      <c r="C376" s="54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 spans="1:25" x14ac:dyDescent="0.25">
      <c r="A377" s="39"/>
      <c r="B377" s="39"/>
      <c r="C377" s="54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 spans="1:25" x14ac:dyDescent="0.25">
      <c r="A378" s="39"/>
      <c r="B378" s="39"/>
      <c r="C378" s="54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 spans="1:25" x14ac:dyDescent="0.25">
      <c r="A379" s="39"/>
      <c r="B379" s="39"/>
      <c r="C379" s="54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 spans="1:25" x14ac:dyDescent="0.25">
      <c r="A380" s="39"/>
      <c r="B380" s="39"/>
      <c r="C380" s="54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 spans="1:25" x14ac:dyDescent="0.25">
      <c r="A381" s="39"/>
      <c r="B381" s="39"/>
      <c r="C381" s="54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 spans="1:25" x14ac:dyDescent="0.25">
      <c r="A382" s="39"/>
      <c r="B382" s="39"/>
      <c r="C382" s="54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 spans="1:25" x14ac:dyDescent="0.25">
      <c r="A383" s="39"/>
      <c r="B383" s="39"/>
      <c r="C383" s="54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 spans="1:25" x14ac:dyDescent="0.25">
      <c r="A384" s="39"/>
      <c r="B384" s="39"/>
      <c r="C384" s="54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 spans="1:25" x14ac:dyDescent="0.25">
      <c r="A385" s="39"/>
      <c r="B385" s="39"/>
      <c r="C385" s="54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 spans="1:25" x14ac:dyDescent="0.25">
      <c r="A386" s="39"/>
      <c r="B386" s="39"/>
      <c r="C386" s="54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 spans="1:25" x14ac:dyDescent="0.25">
      <c r="A387" s="39"/>
      <c r="B387" s="39"/>
      <c r="C387" s="54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 spans="1:25" x14ac:dyDescent="0.25">
      <c r="A388" s="39"/>
      <c r="B388" s="39"/>
      <c r="C388" s="54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 spans="1:25" x14ac:dyDescent="0.25">
      <c r="A389" s="39"/>
      <c r="B389" s="39"/>
      <c r="C389" s="54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 spans="1:25" x14ac:dyDescent="0.25">
      <c r="A390" s="39"/>
      <c r="B390" s="39"/>
      <c r="C390" s="54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 spans="1:25" x14ac:dyDescent="0.25">
      <c r="A391" s="39"/>
      <c r="B391" s="39"/>
      <c r="C391" s="54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 spans="1:25" x14ac:dyDescent="0.25">
      <c r="A392" s="39"/>
      <c r="B392" s="39"/>
      <c r="C392" s="54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 spans="1:25" x14ac:dyDescent="0.25">
      <c r="A393" s="39"/>
      <c r="B393" s="39"/>
      <c r="C393" s="54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 spans="1:25" x14ac:dyDescent="0.25">
      <c r="A394" s="39"/>
      <c r="B394" s="39"/>
      <c r="C394" s="54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 spans="1:25" x14ac:dyDescent="0.25">
      <c r="A395" s="39"/>
      <c r="B395" s="39"/>
      <c r="C395" s="54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 spans="1:25" x14ac:dyDescent="0.25">
      <c r="A396" s="39"/>
      <c r="B396" s="39"/>
      <c r="C396" s="54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 spans="1:25" x14ac:dyDescent="0.25">
      <c r="A397" s="39"/>
      <c r="B397" s="39"/>
      <c r="C397" s="54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 spans="1:25" x14ac:dyDescent="0.25">
      <c r="A398" s="39"/>
      <c r="B398" s="39"/>
      <c r="C398" s="54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 spans="1:25" x14ac:dyDescent="0.25">
      <c r="A399" s="39"/>
      <c r="B399" s="39"/>
      <c r="C399" s="54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 spans="1:25" x14ac:dyDescent="0.25">
      <c r="A400" s="39"/>
      <c r="B400" s="39"/>
      <c r="C400" s="54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 spans="1:25" x14ac:dyDescent="0.25">
      <c r="A401" s="39"/>
      <c r="B401" s="39"/>
      <c r="C401" s="54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 spans="1:25" x14ac:dyDescent="0.25">
      <c r="A402" s="39"/>
      <c r="B402" s="39"/>
      <c r="C402" s="54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 spans="1:25" x14ac:dyDescent="0.25">
      <c r="A403" s="39"/>
      <c r="B403" s="39"/>
      <c r="C403" s="54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 spans="1:25" x14ac:dyDescent="0.25">
      <c r="A404" s="39"/>
      <c r="B404" s="39"/>
      <c r="C404" s="54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 spans="1:25" x14ac:dyDescent="0.25">
      <c r="A405" s="39"/>
      <c r="B405" s="39"/>
      <c r="C405" s="54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 spans="1:25" x14ac:dyDescent="0.25">
      <c r="A406" s="39"/>
      <c r="B406" s="39"/>
      <c r="C406" s="54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 spans="1:25" x14ac:dyDescent="0.25">
      <c r="A407" s="39"/>
      <c r="B407" s="39"/>
      <c r="C407" s="54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 spans="1:25" x14ac:dyDescent="0.25">
      <c r="A408" s="39"/>
      <c r="B408" s="39"/>
      <c r="C408" s="54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 spans="1:25" x14ac:dyDescent="0.25">
      <c r="A409" s="39"/>
      <c r="B409" s="39"/>
      <c r="C409" s="54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 spans="1:25" x14ac:dyDescent="0.25">
      <c r="A410" s="39"/>
      <c r="B410" s="39"/>
      <c r="C410" s="54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 spans="1:25" x14ac:dyDescent="0.25">
      <c r="A411" s="39"/>
      <c r="B411" s="39"/>
      <c r="C411" s="54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 spans="1:25" x14ac:dyDescent="0.25">
      <c r="A412" s="39"/>
      <c r="B412" s="39"/>
      <c r="C412" s="54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 spans="1:25" x14ac:dyDescent="0.25">
      <c r="A413" s="39"/>
      <c r="B413" s="39"/>
      <c r="C413" s="54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 spans="1:25" x14ac:dyDescent="0.25">
      <c r="A414" s="39"/>
      <c r="B414" s="39"/>
      <c r="C414" s="54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 spans="1:25" x14ac:dyDescent="0.25">
      <c r="A415" s="39"/>
      <c r="B415" s="39"/>
      <c r="C415" s="54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 spans="1:25" x14ac:dyDescent="0.25">
      <c r="A416" s="39"/>
      <c r="B416" s="39"/>
      <c r="C416" s="54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 spans="1:25" x14ac:dyDescent="0.25">
      <c r="A417" s="39"/>
      <c r="B417" s="39"/>
      <c r="C417" s="54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 spans="1:25" x14ac:dyDescent="0.25">
      <c r="A418" s="39"/>
      <c r="B418" s="39"/>
      <c r="C418" s="54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 spans="1:25" x14ac:dyDescent="0.25">
      <c r="A419" s="39"/>
      <c r="B419" s="39"/>
      <c r="C419" s="54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 spans="1:25" x14ac:dyDescent="0.25">
      <c r="A420" s="39"/>
      <c r="B420" s="39"/>
      <c r="C420" s="54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 spans="1:25" x14ac:dyDescent="0.25">
      <c r="A421" s="39"/>
      <c r="B421" s="39"/>
      <c r="C421" s="54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 spans="1:25" x14ac:dyDescent="0.25">
      <c r="A422" s="39"/>
      <c r="B422" s="39"/>
      <c r="C422" s="54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 spans="1:25" x14ac:dyDescent="0.25">
      <c r="A423" s="39"/>
      <c r="B423" s="39"/>
      <c r="C423" s="54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 spans="1:25" x14ac:dyDescent="0.25">
      <c r="A424" s="39"/>
      <c r="B424" s="39"/>
      <c r="C424" s="54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 spans="1:25" x14ac:dyDescent="0.25">
      <c r="A425" s="39"/>
      <c r="B425" s="39"/>
      <c r="C425" s="54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 spans="1:25" x14ac:dyDescent="0.25">
      <c r="A426" s="39"/>
      <c r="B426" s="39"/>
      <c r="C426" s="54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 spans="1:25" x14ac:dyDescent="0.25">
      <c r="A427" s="39"/>
      <c r="B427" s="39"/>
      <c r="C427" s="54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 spans="1:25" x14ac:dyDescent="0.25">
      <c r="A428" s="39"/>
      <c r="B428" s="39"/>
      <c r="C428" s="54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 spans="1:25" x14ac:dyDescent="0.25">
      <c r="A429" s="39"/>
      <c r="B429" s="39"/>
      <c r="C429" s="54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 spans="1:25" x14ac:dyDescent="0.25">
      <c r="A430" s="39"/>
      <c r="B430" s="39"/>
      <c r="C430" s="54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 spans="1:25" x14ac:dyDescent="0.25">
      <c r="A431" s="39"/>
      <c r="B431" s="39"/>
      <c r="C431" s="54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 spans="1:25" x14ac:dyDescent="0.25">
      <c r="A432" s="39"/>
      <c r="B432" s="39"/>
      <c r="C432" s="54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 spans="1:25" x14ac:dyDescent="0.25">
      <c r="A433" s="39"/>
      <c r="B433" s="39"/>
      <c r="C433" s="54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 spans="1:25" x14ac:dyDescent="0.25">
      <c r="A434" s="39"/>
      <c r="B434" s="39"/>
      <c r="C434" s="54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 spans="1:25" x14ac:dyDescent="0.25">
      <c r="A435" s="39"/>
      <c r="B435" s="39"/>
      <c r="C435" s="54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 spans="1:25" x14ac:dyDescent="0.25">
      <c r="A436" s="39"/>
      <c r="B436" s="39"/>
      <c r="C436" s="54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 spans="1:25" x14ac:dyDescent="0.25">
      <c r="A437" s="39"/>
      <c r="B437" s="39"/>
      <c r="C437" s="54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 spans="1:25" x14ac:dyDescent="0.25">
      <c r="A438" s="39"/>
      <c r="B438" s="39"/>
      <c r="C438" s="54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 spans="1:25" x14ac:dyDescent="0.25">
      <c r="A439" s="39"/>
      <c r="B439" s="39"/>
      <c r="C439" s="54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 spans="1:25" x14ac:dyDescent="0.25">
      <c r="A440" s="39"/>
      <c r="B440" s="39"/>
      <c r="C440" s="54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 spans="1:25" x14ac:dyDescent="0.25">
      <c r="A441" s="39"/>
      <c r="B441" s="39"/>
      <c r="C441" s="54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 spans="1:25" x14ac:dyDescent="0.25">
      <c r="A442" s="39"/>
      <c r="B442" s="39"/>
      <c r="C442" s="54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 spans="1:25" x14ac:dyDescent="0.25">
      <c r="A443" s="39"/>
      <c r="B443" s="39"/>
      <c r="C443" s="54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 spans="1:25" x14ac:dyDescent="0.25">
      <c r="A444" s="39"/>
      <c r="B444" s="39"/>
      <c r="C444" s="54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 spans="1:25" x14ac:dyDescent="0.25">
      <c r="A445" s="39"/>
      <c r="B445" s="39"/>
      <c r="C445" s="54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 spans="1:25" x14ac:dyDescent="0.25">
      <c r="A446" s="39"/>
      <c r="B446" s="39"/>
      <c r="C446" s="54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 spans="1:25" x14ac:dyDescent="0.25">
      <c r="A447" s="39"/>
      <c r="B447" s="39"/>
      <c r="C447" s="54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 spans="1:25" x14ac:dyDescent="0.25">
      <c r="A448" s="39"/>
      <c r="B448" s="39"/>
      <c r="C448" s="54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 spans="1:25" x14ac:dyDescent="0.25">
      <c r="A449" s="39"/>
      <c r="B449" s="39"/>
      <c r="C449" s="54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 spans="1:25" x14ac:dyDescent="0.25">
      <c r="A450" s="39"/>
      <c r="B450" s="39"/>
      <c r="C450" s="54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 spans="1:25" x14ac:dyDescent="0.25">
      <c r="A451" s="39"/>
      <c r="B451" s="39"/>
      <c r="C451" s="54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 spans="1:25" x14ac:dyDescent="0.25">
      <c r="A452" s="39"/>
      <c r="B452" s="39"/>
      <c r="C452" s="54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 spans="1:25" x14ac:dyDescent="0.25">
      <c r="A453" s="39"/>
      <c r="B453" s="39"/>
      <c r="C453" s="54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 spans="1:25" x14ac:dyDescent="0.25">
      <c r="A454" s="39"/>
      <c r="B454" s="39"/>
      <c r="C454" s="54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 spans="1:25" x14ac:dyDescent="0.25">
      <c r="A455" s="39"/>
      <c r="B455" s="39"/>
      <c r="C455" s="54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 spans="1:25" x14ac:dyDescent="0.25">
      <c r="A456" s="39"/>
      <c r="B456" s="39"/>
      <c r="C456" s="54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 spans="1:25" x14ac:dyDescent="0.25">
      <c r="A457" s="39"/>
      <c r="B457" s="39"/>
      <c r="C457" s="54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 spans="1:25" x14ac:dyDescent="0.25">
      <c r="A458" s="39"/>
      <c r="B458" s="39"/>
      <c r="C458" s="54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 spans="1:25" x14ac:dyDescent="0.25">
      <c r="A459" s="39"/>
      <c r="B459" s="39"/>
      <c r="C459" s="54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 spans="1:25" x14ac:dyDescent="0.25">
      <c r="A460" s="39"/>
      <c r="B460" s="39"/>
      <c r="C460" s="54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 spans="1:25" x14ac:dyDescent="0.25">
      <c r="A461" s="39"/>
      <c r="B461" s="39"/>
      <c r="C461" s="54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 spans="1:25" x14ac:dyDescent="0.25">
      <c r="A462" s="39"/>
      <c r="B462" s="39"/>
      <c r="C462" s="54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 spans="1:25" x14ac:dyDescent="0.25">
      <c r="A463" s="39"/>
      <c r="B463" s="39"/>
      <c r="C463" s="54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 spans="1:25" x14ac:dyDescent="0.25">
      <c r="A464" s="39"/>
      <c r="B464" s="39"/>
      <c r="C464" s="54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 spans="1:25" x14ac:dyDescent="0.25">
      <c r="A465" s="39"/>
      <c r="B465" s="39"/>
      <c r="C465" s="54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 spans="1:25" x14ac:dyDescent="0.25">
      <c r="A466" s="39"/>
      <c r="B466" s="39"/>
      <c r="C466" s="54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 spans="1:25" x14ac:dyDescent="0.25">
      <c r="A467" s="39"/>
      <c r="B467" s="39"/>
      <c r="C467" s="54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 spans="1:25" x14ac:dyDescent="0.25">
      <c r="A468" s="39"/>
      <c r="B468" s="39"/>
      <c r="C468" s="54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 spans="1:25" x14ac:dyDescent="0.25">
      <c r="A469" s="39"/>
      <c r="B469" s="39"/>
      <c r="C469" s="54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 spans="1:25" x14ac:dyDescent="0.25">
      <c r="A470" s="39"/>
      <c r="B470" s="39"/>
      <c r="C470" s="54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 spans="1:25" x14ac:dyDescent="0.25">
      <c r="A471" s="39"/>
      <c r="B471" s="39"/>
      <c r="C471" s="54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 spans="1:25" x14ac:dyDescent="0.25">
      <c r="A472" s="39"/>
      <c r="B472" s="39"/>
      <c r="C472" s="54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 spans="1:25" x14ac:dyDescent="0.25">
      <c r="A473" s="39"/>
      <c r="B473" s="39"/>
      <c r="C473" s="54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 spans="1:25" x14ac:dyDescent="0.25">
      <c r="A474" s="39"/>
      <c r="B474" s="39"/>
      <c r="C474" s="54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 spans="1:25" x14ac:dyDescent="0.25">
      <c r="A475" s="39"/>
      <c r="B475" s="39"/>
      <c r="C475" s="54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 spans="1:25" x14ac:dyDescent="0.25">
      <c r="A476" s="39"/>
      <c r="B476" s="39"/>
      <c r="C476" s="54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 spans="1:25" x14ac:dyDescent="0.25">
      <c r="A477" s="39"/>
      <c r="B477" s="39"/>
      <c r="C477" s="54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 spans="1:25" x14ac:dyDescent="0.25">
      <c r="A478" s="39"/>
      <c r="B478" s="39"/>
      <c r="C478" s="54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 spans="1:25" x14ac:dyDescent="0.25">
      <c r="A479" s="39"/>
      <c r="B479" s="39"/>
      <c r="C479" s="54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 spans="1:25" x14ac:dyDescent="0.25">
      <c r="A480" s="39"/>
      <c r="B480" s="39"/>
      <c r="C480" s="54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 spans="1:25" x14ac:dyDescent="0.25">
      <c r="A481" s="39"/>
      <c r="B481" s="39"/>
      <c r="C481" s="54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 spans="1:25" x14ac:dyDescent="0.25">
      <c r="A482" s="39"/>
      <c r="B482" s="39"/>
      <c r="C482" s="54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 spans="1:25" x14ac:dyDescent="0.25">
      <c r="A483" s="39"/>
      <c r="B483" s="39"/>
      <c r="C483" s="54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 spans="1:25" x14ac:dyDescent="0.25">
      <c r="A484" s="39"/>
      <c r="B484" s="39"/>
      <c r="C484" s="54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 spans="1:25" x14ac:dyDescent="0.25">
      <c r="A485" s="39"/>
      <c r="B485" s="39"/>
      <c r="C485" s="54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 spans="1:25" x14ac:dyDescent="0.25">
      <c r="A486" s="39"/>
      <c r="B486" s="39"/>
      <c r="C486" s="54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 spans="1:25" x14ac:dyDescent="0.25">
      <c r="A487" s="39"/>
      <c r="B487" s="39"/>
      <c r="C487" s="54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 spans="1:25" x14ac:dyDescent="0.25">
      <c r="A488" s="39"/>
      <c r="B488" s="39"/>
      <c r="C488" s="54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 spans="1:25" x14ac:dyDescent="0.25">
      <c r="A489" s="39"/>
      <c r="B489" s="39"/>
      <c r="C489" s="54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 spans="1:25" x14ac:dyDescent="0.25">
      <c r="A490" s="39"/>
      <c r="B490" s="39"/>
      <c r="C490" s="54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 spans="1:25" x14ac:dyDescent="0.25">
      <c r="A491" s="39"/>
      <c r="B491" s="39"/>
      <c r="C491" s="54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 spans="1:25" x14ac:dyDescent="0.25">
      <c r="A492" s="39"/>
      <c r="B492" s="39"/>
      <c r="C492" s="54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 spans="1:25" x14ac:dyDescent="0.25">
      <c r="A493" s="39"/>
      <c r="B493" s="39"/>
      <c r="C493" s="54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 spans="1:25" x14ac:dyDescent="0.25">
      <c r="A494" s="39"/>
      <c r="B494" s="39"/>
      <c r="C494" s="54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 spans="1:25" x14ac:dyDescent="0.25">
      <c r="A495" s="39"/>
      <c r="B495" s="39"/>
      <c r="C495" s="54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 spans="1:25" x14ac:dyDescent="0.25">
      <c r="A496" s="39"/>
      <c r="B496" s="39"/>
      <c r="C496" s="54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 spans="1:25" x14ac:dyDescent="0.25">
      <c r="A497" s="39"/>
      <c r="B497" s="39"/>
      <c r="C497" s="54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 spans="1:25" x14ac:dyDescent="0.25">
      <c r="A498" s="39"/>
      <c r="B498" s="39"/>
      <c r="C498" s="54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 spans="1:25" x14ac:dyDescent="0.25">
      <c r="A499" s="39"/>
      <c r="B499" s="39"/>
      <c r="C499" s="54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 spans="1:25" x14ac:dyDescent="0.25">
      <c r="A500" s="39"/>
      <c r="B500" s="39"/>
      <c r="C500" s="54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 spans="1:25" x14ac:dyDescent="0.25">
      <c r="A501" s="39"/>
      <c r="B501" s="39"/>
      <c r="C501" s="54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 spans="1:25" x14ac:dyDescent="0.25">
      <c r="A502" s="39"/>
      <c r="B502" s="39"/>
      <c r="C502" s="54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 spans="1:25" x14ac:dyDescent="0.25">
      <c r="A503" s="39"/>
      <c r="B503" s="39"/>
      <c r="C503" s="54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 spans="1:25" x14ac:dyDescent="0.25">
      <c r="A504" s="39"/>
      <c r="B504" s="39"/>
      <c r="C504" s="54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 spans="1:25" x14ac:dyDescent="0.25">
      <c r="A505" s="39"/>
      <c r="B505" s="39"/>
      <c r="C505" s="54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 spans="1:25" x14ac:dyDescent="0.25">
      <c r="A506" s="39"/>
      <c r="B506" s="39"/>
      <c r="C506" s="54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 spans="1:25" x14ac:dyDescent="0.25">
      <c r="A507" s="39"/>
      <c r="B507" s="39"/>
      <c r="C507" s="54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 spans="1:25" x14ac:dyDescent="0.25">
      <c r="A508" s="39"/>
      <c r="B508" s="39"/>
      <c r="C508" s="54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 spans="1:25" x14ac:dyDescent="0.25">
      <c r="A509" s="39"/>
      <c r="B509" s="39"/>
      <c r="C509" s="54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 spans="1:25" x14ac:dyDescent="0.25">
      <c r="A510" s="39"/>
      <c r="B510" s="39"/>
      <c r="C510" s="54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 spans="1:25" x14ac:dyDescent="0.25">
      <c r="A511" s="39"/>
      <c r="B511" s="39"/>
      <c r="C511" s="54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 spans="1:25" x14ac:dyDescent="0.25">
      <c r="A512" s="39"/>
      <c r="B512" s="39"/>
      <c r="C512" s="54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 spans="1:25" x14ac:dyDescent="0.25">
      <c r="A513" s="39"/>
      <c r="B513" s="39"/>
      <c r="C513" s="54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 spans="1:25" x14ac:dyDescent="0.25">
      <c r="A514" s="39"/>
      <c r="B514" s="39"/>
      <c r="C514" s="54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 spans="1:25" x14ac:dyDescent="0.25">
      <c r="A515" s="39"/>
      <c r="B515" s="39"/>
      <c r="C515" s="54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 spans="1:25" x14ac:dyDescent="0.25">
      <c r="A516" s="39"/>
      <c r="B516" s="39"/>
      <c r="C516" s="54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 spans="1:25" x14ac:dyDescent="0.25">
      <c r="A517" s="39"/>
      <c r="B517" s="39"/>
      <c r="C517" s="54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 spans="1:25" x14ac:dyDescent="0.25">
      <c r="A518" s="39"/>
      <c r="B518" s="39"/>
      <c r="C518" s="54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 spans="1:25" x14ac:dyDescent="0.25">
      <c r="A519" s="39"/>
      <c r="B519" s="39"/>
      <c r="C519" s="54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 spans="1:25" x14ac:dyDescent="0.25">
      <c r="A520" s="39"/>
      <c r="B520" s="39"/>
      <c r="C520" s="54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 spans="1:25" x14ac:dyDescent="0.25">
      <c r="A521" s="39"/>
      <c r="B521" s="39"/>
      <c r="C521" s="54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 spans="1:25" x14ac:dyDescent="0.25">
      <c r="A522" s="39"/>
      <c r="B522" s="39"/>
      <c r="C522" s="54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 spans="1:25" x14ac:dyDescent="0.25">
      <c r="A523" s="39"/>
      <c r="B523" s="39"/>
      <c r="C523" s="54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 spans="1:25" x14ac:dyDescent="0.25">
      <c r="A524" s="39"/>
      <c r="B524" s="39"/>
      <c r="C524" s="54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 spans="1:25" x14ac:dyDescent="0.25">
      <c r="A525" s="39"/>
      <c r="B525" s="39"/>
      <c r="C525" s="54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 spans="1:25" x14ac:dyDescent="0.25">
      <c r="A526" s="39"/>
      <c r="B526" s="39"/>
      <c r="C526" s="54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 spans="1:25" x14ac:dyDescent="0.25">
      <c r="A527" s="39"/>
      <c r="B527" s="39"/>
      <c r="C527" s="54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 spans="1:25" x14ac:dyDescent="0.25">
      <c r="A528" s="39"/>
      <c r="B528" s="39"/>
      <c r="C528" s="54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 spans="1:25" x14ac:dyDescent="0.25">
      <c r="A529" s="39"/>
      <c r="B529" s="39"/>
      <c r="C529" s="54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 spans="1:25" x14ac:dyDescent="0.25">
      <c r="A530" s="39"/>
      <c r="B530" s="39"/>
      <c r="C530" s="54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 spans="1:25" x14ac:dyDescent="0.25">
      <c r="A531" s="39"/>
      <c r="B531" s="39"/>
      <c r="C531" s="54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 spans="1:25" x14ac:dyDescent="0.25">
      <c r="A532" s="39"/>
      <c r="B532" s="39"/>
      <c r="C532" s="54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 spans="1:25" x14ac:dyDescent="0.25">
      <c r="A533" s="39"/>
      <c r="B533" s="39"/>
      <c r="C533" s="54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 spans="1:25" x14ac:dyDescent="0.25">
      <c r="A534" s="39"/>
      <c r="B534" s="39"/>
      <c r="C534" s="54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 spans="1:25" x14ac:dyDescent="0.25">
      <c r="A535" s="39"/>
      <c r="B535" s="39"/>
      <c r="C535" s="54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 spans="1:25" x14ac:dyDescent="0.25">
      <c r="A536" s="39"/>
      <c r="B536" s="39"/>
      <c r="C536" s="54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 spans="1:25" x14ac:dyDescent="0.25">
      <c r="A537" s="39"/>
      <c r="B537" s="39"/>
      <c r="C537" s="54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 spans="1:25" x14ac:dyDescent="0.25">
      <c r="A538" s="39"/>
      <c r="B538" s="39"/>
      <c r="C538" s="54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 spans="1:25" x14ac:dyDescent="0.25">
      <c r="A539" s="39"/>
      <c r="B539" s="39"/>
      <c r="C539" s="54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 spans="1:25" x14ac:dyDescent="0.25">
      <c r="A540" s="39"/>
      <c r="B540" s="39"/>
      <c r="C540" s="54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 spans="1:25" x14ac:dyDescent="0.25">
      <c r="A541" s="39"/>
      <c r="B541" s="39"/>
      <c r="C541" s="54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 spans="1:25" x14ac:dyDescent="0.25">
      <c r="A542" s="39"/>
      <c r="B542" s="39"/>
      <c r="C542" s="54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 spans="1:25" x14ac:dyDescent="0.25">
      <c r="A543" s="39"/>
      <c r="B543" s="39"/>
      <c r="C543" s="54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 spans="1:25" x14ac:dyDescent="0.25">
      <c r="A544" s="39"/>
      <c r="B544" s="39"/>
      <c r="C544" s="54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 spans="1:25" x14ac:dyDescent="0.25">
      <c r="A545" s="39"/>
      <c r="B545" s="39"/>
      <c r="C545" s="54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 spans="1:25" x14ac:dyDescent="0.25">
      <c r="A546" s="39"/>
      <c r="B546" s="39"/>
      <c r="C546" s="54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 spans="1:25" x14ac:dyDescent="0.25">
      <c r="A547" s="39"/>
      <c r="B547" s="39"/>
      <c r="C547" s="54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 spans="1:25" x14ac:dyDescent="0.25">
      <c r="A548" s="39"/>
      <c r="B548" s="39"/>
      <c r="C548" s="54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 spans="1:25" x14ac:dyDescent="0.25">
      <c r="A549" s="39"/>
      <c r="B549" s="39"/>
      <c r="C549" s="54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 spans="1:25" x14ac:dyDescent="0.25">
      <c r="A550" s="39"/>
      <c r="B550" s="39"/>
      <c r="C550" s="54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 spans="1:25" x14ac:dyDescent="0.25">
      <c r="A551" s="39"/>
      <c r="B551" s="39"/>
      <c r="C551" s="54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 spans="1:25" x14ac:dyDescent="0.25">
      <c r="A552" s="39"/>
      <c r="B552" s="39"/>
      <c r="C552" s="54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 spans="1:25" x14ac:dyDescent="0.25">
      <c r="A553" s="39"/>
      <c r="B553" s="39"/>
      <c r="C553" s="54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 spans="1:25" x14ac:dyDescent="0.25">
      <c r="A554" s="39"/>
      <c r="B554" s="39"/>
      <c r="C554" s="54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 spans="1:25" x14ac:dyDescent="0.25">
      <c r="A555" s="39"/>
      <c r="B555" s="39"/>
      <c r="C555" s="54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 spans="1:25" x14ac:dyDescent="0.25">
      <c r="A556" s="39"/>
      <c r="B556" s="39"/>
      <c r="C556" s="54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 spans="1:25" x14ac:dyDescent="0.25">
      <c r="A557" s="39"/>
      <c r="B557" s="39"/>
      <c r="C557" s="54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 spans="1:25" x14ac:dyDescent="0.25">
      <c r="A558" s="39"/>
      <c r="B558" s="39"/>
      <c r="C558" s="54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 spans="1:25" x14ac:dyDescent="0.25">
      <c r="A559" s="39"/>
      <c r="B559" s="39"/>
      <c r="C559" s="54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 spans="1:25" x14ac:dyDescent="0.25">
      <c r="A560" s="39"/>
      <c r="B560" s="39"/>
      <c r="C560" s="54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 spans="1:25" x14ac:dyDescent="0.25">
      <c r="A561" s="39"/>
      <c r="B561" s="39"/>
      <c r="C561" s="54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 spans="1:25" x14ac:dyDescent="0.25">
      <c r="A562" s="39"/>
      <c r="B562" s="39"/>
      <c r="C562" s="54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 spans="1:25" x14ac:dyDescent="0.25">
      <c r="A563" s="39"/>
      <c r="B563" s="39"/>
      <c r="C563" s="54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 spans="1:25" x14ac:dyDescent="0.25">
      <c r="A564" s="39"/>
      <c r="B564" s="39"/>
      <c r="C564" s="54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 spans="1:25" x14ac:dyDescent="0.25">
      <c r="A565" s="39"/>
      <c r="B565" s="39"/>
      <c r="C565" s="54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 spans="1:25" x14ac:dyDescent="0.25">
      <c r="A566" s="39"/>
      <c r="B566" s="39"/>
      <c r="C566" s="54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 spans="1:25" x14ac:dyDescent="0.25">
      <c r="A567" s="39"/>
      <c r="B567" s="39"/>
      <c r="C567" s="54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 spans="1:25" x14ac:dyDescent="0.25">
      <c r="A568" s="39"/>
      <c r="B568" s="39"/>
      <c r="C568" s="54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 spans="1:25" x14ac:dyDescent="0.25">
      <c r="A569" s="39"/>
      <c r="B569" s="39"/>
      <c r="C569" s="54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 spans="1:25" x14ac:dyDescent="0.25">
      <c r="A570" s="39"/>
      <c r="B570" s="39"/>
      <c r="C570" s="54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 spans="1:25" x14ac:dyDescent="0.25">
      <c r="A571" s="39"/>
      <c r="B571" s="39"/>
      <c r="C571" s="54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 spans="1:25" x14ac:dyDescent="0.25">
      <c r="A572" s="39"/>
      <c r="B572" s="39"/>
      <c r="C572" s="54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 spans="1:25" x14ac:dyDescent="0.25">
      <c r="A573" s="39"/>
      <c r="B573" s="39"/>
      <c r="C573" s="54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 spans="1:25" x14ac:dyDescent="0.25">
      <c r="A574" s="39"/>
      <c r="B574" s="39"/>
      <c r="C574" s="54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 spans="1:25" x14ac:dyDescent="0.25">
      <c r="A575" s="39"/>
      <c r="B575" s="39"/>
      <c r="C575" s="54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 spans="1:25" x14ac:dyDescent="0.25">
      <c r="A576" s="39"/>
      <c r="B576" s="39"/>
      <c r="C576" s="54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 spans="1:25" x14ac:dyDescent="0.25">
      <c r="A577" s="39"/>
      <c r="B577" s="39"/>
      <c r="C577" s="54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 spans="1:25" x14ac:dyDescent="0.25">
      <c r="A578" s="39"/>
      <c r="B578" s="39"/>
      <c r="C578" s="54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 spans="1:25" x14ac:dyDescent="0.25">
      <c r="A579" s="39"/>
      <c r="B579" s="39"/>
      <c r="C579" s="54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 spans="1:25" x14ac:dyDescent="0.25">
      <c r="A580" s="39"/>
      <c r="B580" s="39"/>
      <c r="C580" s="54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 spans="1:25" x14ac:dyDescent="0.25">
      <c r="A581" s="39"/>
      <c r="B581" s="39"/>
      <c r="C581" s="54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 spans="1:25" x14ac:dyDescent="0.25">
      <c r="A582" s="39"/>
      <c r="B582" s="39"/>
      <c r="C582" s="54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 spans="1:25" x14ac:dyDescent="0.25">
      <c r="A583" s="39"/>
      <c r="B583" s="39"/>
      <c r="C583" s="54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 spans="1:25" x14ac:dyDescent="0.25">
      <c r="A584" s="39"/>
      <c r="B584" s="39"/>
      <c r="C584" s="54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 spans="1:25" x14ac:dyDescent="0.25">
      <c r="A585" s="39"/>
      <c r="B585" s="39"/>
      <c r="C585" s="54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 spans="1:25" x14ac:dyDescent="0.25">
      <c r="A586" s="39"/>
      <c r="B586" s="39"/>
      <c r="C586" s="54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 spans="1:25" x14ac:dyDescent="0.25">
      <c r="A587" s="39"/>
      <c r="B587" s="39"/>
      <c r="C587" s="54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 spans="1:25" x14ac:dyDescent="0.25">
      <c r="A588" s="39"/>
      <c r="B588" s="39"/>
      <c r="C588" s="54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 spans="1:25" x14ac:dyDescent="0.25">
      <c r="A589" s="39"/>
      <c r="B589" s="39"/>
      <c r="C589" s="54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 spans="1:25" x14ac:dyDescent="0.25">
      <c r="A590" s="39"/>
      <c r="B590" s="39"/>
      <c r="C590" s="54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 spans="1:25" x14ac:dyDescent="0.25">
      <c r="A591" s="39"/>
      <c r="B591" s="39"/>
      <c r="C591" s="54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 spans="1:25" x14ac:dyDescent="0.25">
      <c r="A592" s="39"/>
      <c r="B592" s="39"/>
      <c r="C592" s="54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 spans="1:25" x14ac:dyDescent="0.25">
      <c r="A593" s="39"/>
      <c r="B593" s="39"/>
      <c r="C593" s="54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 spans="1:25" x14ac:dyDescent="0.25">
      <c r="A594" s="39"/>
      <c r="B594" s="39"/>
      <c r="C594" s="54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 spans="1:25" x14ac:dyDescent="0.25">
      <c r="A595" s="39"/>
      <c r="B595" s="39"/>
      <c r="C595" s="54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 spans="1:25" x14ac:dyDescent="0.25">
      <c r="A596" s="39"/>
      <c r="B596" s="39"/>
      <c r="C596" s="54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 spans="1:25" x14ac:dyDescent="0.25">
      <c r="A597" s="39"/>
      <c r="B597" s="39"/>
      <c r="C597" s="54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 spans="1:25" x14ac:dyDescent="0.25">
      <c r="A598" s="39"/>
      <c r="B598" s="39"/>
      <c r="C598" s="54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 spans="1:25" x14ac:dyDescent="0.25">
      <c r="A599" s="39"/>
      <c r="B599" s="39"/>
      <c r="C599" s="54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 spans="1:25" x14ac:dyDescent="0.25">
      <c r="A600" s="39"/>
      <c r="B600" s="39"/>
      <c r="C600" s="54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 spans="1:25" x14ac:dyDescent="0.25">
      <c r="A601" s="39"/>
      <c r="B601" s="39"/>
      <c r="C601" s="54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 spans="1:25" x14ac:dyDescent="0.25">
      <c r="A602" s="39"/>
      <c r="B602" s="39"/>
      <c r="C602" s="54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 spans="1:25" x14ac:dyDescent="0.25">
      <c r="A603" s="39"/>
      <c r="B603" s="39"/>
      <c r="C603" s="54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 spans="1:25" x14ac:dyDescent="0.25">
      <c r="A604" s="39"/>
      <c r="B604" s="39"/>
      <c r="C604" s="54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 spans="1:25" x14ac:dyDescent="0.25">
      <c r="A605" s="39"/>
      <c r="B605" s="39"/>
      <c r="C605" s="54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 spans="1:25" x14ac:dyDescent="0.25">
      <c r="A606" s="39"/>
      <c r="B606" s="39"/>
      <c r="C606" s="54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 spans="1:25" x14ac:dyDescent="0.25">
      <c r="A607" s="39"/>
      <c r="B607" s="39"/>
      <c r="C607" s="54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 spans="1:25" x14ac:dyDescent="0.25">
      <c r="A608" s="39"/>
      <c r="B608" s="39"/>
      <c r="C608" s="54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 spans="1:25" x14ac:dyDescent="0.25">
      <c r="A609" s="39"/>
      <c r="B609" s="39"/>
      <c r="C609" s="54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 spans="1:25" x14ac:dyDescent="0.25">
      <c r="A610" s="39"/>
      <c r="B610" s="39"/>
      <c r="C610" s="54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 spans="1:25" x14ac:dyDescent="0.25">
      <c r="A611" s="39"/>
      <c r="B611" s="39"/>
      <c r="C611" s="54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 spans="1:25" x14ac:dyDescent="0.25">
      <c r="A612" s="39"/>
      <c r="B612" s="39"/>
      <c r="C612" s="54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 spans="1:25" x14ac:dyDescent="0.25">
      <c r="A613" s="39"/>
      <c r="B613" s="39"/>
      <c r="C613" s="54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 spans="1:25" x14ac:dyDescent="0.25">
      <c r="A614" s="39"/>
      <c r="B614" s="39"/>
      <c r="C614" s="54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 spans="1:25" x14ac:dyDescent="0.25">
      <c r="A615" s="39"/>
      <c r="B615" s="39"/>
      <c r="C615" s="54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 spans="1:25" x14ac:dyDescent="0.25">
      <c r="A616" s="39"/>
      <c r="B616" s="39"/>
      <c r="C616" s="54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 spans="1:25" x14ac:dyDescent="0.25">
      <c r="A617" s="39"/>
      <c r="B617" s="39"/>
      <c r="C617" s="54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 spans="1:25" x14ac:dyDescent="0.25">
      <c r="A618" s="39"/>
      <c r="B618" s="39"/>
      <c r="C618" s="54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 spans="1:25" x14ac:dyDescent="0.25">
      <c r="A619" s="39"/>
      <c r="B619" s="39"/>
      <c r="C619" s="54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 spans="1:25" x14ac:dyDescent="0.25">
      <c r="A620" s="39"/>
      <c r="B620" s="39"/>
      <c r="C620" s="54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 spans="1:25" x14ac:dyDescent="0.25">
      <c r="A621" s="39"/>
      <c r="B621" s="39"/>
      <c r="C621" s="54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 spans="1:25" x14ac:dyDescent="0.25">
      <c r="A622" s="39"/>
      <c r="B622" s="39"/>
      <c r="C622" s="54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 spans="1:25" x14ac:dyDescent="0.25">
      <c r="A623" s="39"/>
      <c r="B623" s="39"/>
      <c r="C623" s="54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 spans="1:25" x14ac:dyDescent="0.25">
      <c r="A624" s="39"/>
      <c r="B624" s="39"/>
      <c r="C624" s="54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 spans="1:25" x14ac:dyDescent="0.25">
      <c r="A625" s="39"/>
      <c r="B625" s="39"/>
      <c r="C625" s="54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 spans="1:25" x14ac:dyDescent="0.25">
      <c r="A626" s="39"/>
      <c r="B626" s="39"/>
      <c r="C626" s="54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 spans="1:25" x14ac:dyDescent="0.25">
      <c r="A627" s="39"/>
      <c r="B627" s="39"/>
      <c r="C627" s="54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 spans="1:25" x14ac:dyDescent="0.25">
      <c r="A628" s="39"/>
      <c r="B628" s="39"/>
      <c r="C628" s="54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 spans="1:25" x14ac:dyDescent="0.25">
      <c r="A629" s="39"/>
      <c r="B629" s="39"/>
      <c r="C629" s="54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 spans="1:25" x14ac:dyDescent="0.25">
      <c r="A630" s="39"/>
      <c r="B630" s="39"/>
      <c r="C630" s="54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 spans="1:25" x14ac:dyDescent="0.25">
      <c r="A631" s="39"/>
      <c r="B631" s="39"/>
      <c r="C631" s="54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 spans="1:25" x14ac:dyDescent="0.25">
      <c r="A632" s="39"/>
      <c r="B632" s="39"/>
      <c r="C632" s="54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 spans="1:25" x14ac:dyDescent="0.25">
      <c r="A633" s="39"/>
      <c r="B633" s="39"/>
      <c r="C633" s="54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 spans="1:25" x14ac:dyDescent="0.25">
      <c r="A634" s="39"/>
      <c r="B634" s="39"/>
      <c r="C634" s="54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 spans="1:25" x14ac:dyDescent="0.25">
      <c r="A635" s="39"/>
      <c r="B635" s="39"/>
      <c r="C635" s="54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 spans="1:25" x14ac:dyDescent="0.25">
      <c r="A636" s="39"/>
      <c r="B636" s="39"/>
      <c r="C636" s="54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 spans="1:25" x14ac:dyDescent="0.25">
      <c r="A637" s="39"/>
      <c r="B637" s="39"/>
      <c r="C637" s="54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 spans="1:25" x14ac:dyDescent="0.25">
      <c r="A638" s="39"/>
      <c r="B638" s="39"/>
      <c r="C638" s="54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 spans="1:25" x14ac:dyDescent="0.25">
      <c r="A639" s="39"/>
      <c r="B639" s="39"/>
      <c r="C639" s="54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 spans="1:25" x14ac:dyDescent="0.25">
      <c r="A640" s="39"/>
      <c r="B640" s="39"/>
      <c r="C640" s="54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 spans="1:25" x14ac:dyDescent="0.25">
      <c r="A641" s="39"/>
      <c r="B641" s="39"/>
      <c r="C641" s="54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 spans="1:25" x14ac:dyDescent="0.25">
      <c r="A642" s="39"/>
      <c r="B642" s="39"/>
      <c r="C642" s="54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 spans="1:25" x14ac:dyDescent="0.25">
      <c r="A643" s="39"/>
      <c r="B643" s="39"/>
      <c r="C643" s="54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 spans="1:25" x14ac:dyDescent="0.25">
      <c r="A644" s="39"/>
      <c r="B644" s="39"/>
      <c r="C644" s="54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 spans="1:25" x14ac:dyDescent="0.25">
      <c r="A645" s="39"/>
      <c r="B645" s="39"/>
      <c r="C645" s="54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 spans="1:25" x14ac:dyDescent="0.25">
      <c r="A646" s="39"/>
      <c r="B646" s="39"/>
      <c r="C646" s="54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 spans="1:25" x14ac:dyDescent="0.25">
      <c r="A647" s="39"/>
      <c r="B647" s="39"/>
      <c r="C647" s="54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 spans="1:25" x14ac:dyDescent="0.25">
      <c r="A648" s="39"/>
      <c r="B648" s="39"/>
      <c r="C648" s="54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 spans="1:25" x14ac:dyDescent="0.25">
      <c r="A649" s="39"/>
      <c r="B649" s="39"/>
      <c r="C649" s="54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 spans="1:25" x14ac:dyDescent="0.25">
      <c r="A650" s="39"/>
      <c r="B650" s="39"/>
      <c r="C650" s="54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 spans="1:25" x14ac:dyDescent="0.25">
      <c r="A651" s="39"/>
      <c r="B651" s="39"/>
      <c r="C651" s="54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 spans="1:25" x14ac:dyDescent="0.25">
      <c r="A652" s="39"/>
      <c r="B652" s="39"/>
      <c r="C652" s="54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 spans="1:25" x14ac:dyDescent="0.25">
      <c r="A653" s="39"/>
      <c r="B653" s="39"/>
      <c r="C653" s="54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 spans="1:25" x14ac:dyDescent="0.25">
      <c r="A654" s="39"/>
      <c r="B654" s="39"/>
      <c r="C654" s="54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 spans="1:25" x14ac:dyDescent="0.25">
      <c r="A655" s="39"/>
      <c r="B655" s="39"/>
      <c r="C655" s="54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 spans="1:25" x14ac:dyDescent="0.25">
      <c r="A656" s="39"/>
      <c r="B656" s="39"/>
      <c r="C656" s="54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 spans="1:25" x14ac:dyDescent="0.25">
      <c r="A657" s="39"/>
      <c r="B657" s="39"/>
      <c r="C657" s="54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 spans="1:25" x14ac:dyDescent="0.25">
      <c r="A658" s="39"/>
      <c r="B658" s="39"/>
      <c r="C658" s="54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 spans="1:25" x14ac:dyDescent="0.25">
      <c r="A659" s="39"/>
      <c r="B659" s="39"/>
      <c r="C659" s="54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 spans="1:25" x14ac:dyDescent="0.25">
      <c r="A660" s="39"/>
      <c r="B660" s="39"/>
      <c r="C660" s="54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 spans="1:25" x14ac:dyDescent="0.25">
      <c r="A661" s="39"/>
      <c r="B661" s="39"/>
      <c r="C661" s="54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 spans="1:25" x14ac:dyDescent="0.25">
      <c r="A662" s="39"/>
      <c r="B662" s="39"/>
      <c r="C662" s="54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 spans="1:25" x14ac:dyDescent="0.25">
      <c r="A663" s="39"/>
      <c r="B663" s="39"/>
      <c r="C663" s="54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 spans="1:25" x14ac:dyDescent="0.25">
      <c r="A664" s="39"/>
      <c r="B664" s="39"/>
      <c r="C664" s="54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 spans="1:25" x14ac:dyDescent="0.25">
      <c r="A665" s="39"/>
      <c r="B665" s="39"/>
      <c r="C665" s="54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 spans="1:25" x14ac:dyDescent="0.25">
      <c r="A666" s="39"/>
      <c r="B666" s="39"/>
      <c r="C666" s="54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 spans="1:25" x14ac:dyDescent="0.25">
      <c r="A667" s="39"/>
      <c r="B667" s="39"/>
      <c r="C667" s="54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 spans="1:25" x14ac:dyDescent="0.25">
      <c r="A668" s="39"/>
      <c r="B668" s="39"/>
      <c r="C668" s="54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 spans="1:25" x14ac:dyDescent="0.25">
      <c r="A669" s="39"/>
      <c r="B669" s="39"/>
      <c r="C669" s="54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 spans="1:25" x14ac:dyDescent="0.25">
      <c r="A670" s="39"/>
      <c r="B670" s="39"/>
      <c r="C670" s="54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 spans="1:25" x14ac:dyDescent="0.25">
      <c r="A671" s="39"/>
      <c r="B671" s="39"/>
      <c r="C671" s="54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 spans="1:25" x14ac:dyDescent="0.25">
      <c r="A672" s="39"/>
      <c r="B672" s="39"/>
      <c r="C672" s="54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 spans="1:25" x14ac:dyDescent="0.25">
      <c r="A673" s="39"/>
      <c r="B673" s="39"/>
      <c r="C673" s="54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 spans="1:25" x14ac:dyDescent="0.25">
      <c r="A674" s="39"/>
      <c r="B674" s="39"/>
      <c r="C674" s="54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 spans="1:25" x14ac:dyDescent="0.25">
      <c r="A675" s="39"/>
      <c r="B675" s="39"/>
      <c r="C675" s="54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 spans="1:25" x14ac:dyDescent="0.25">
      <c r="A676" s="39"/>
      <c r="B676" s="39"/>
      <c r="C676" s="54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 spans="1:25" x14ac:dyDescent="0.25">
      <c r="A677" s="39"/>
      <c r="B677" s="39"/>
      <c r="C677" s="54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 spans="1:25" x14ac:dyDescent="0.25">
      <c r="A678" s="39"/>
      <c r="B678" s="39"/>
      <c r="C678" s="54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 spans="1:25" x14ac:dyDescent="0.25">
      <c r="A679" s="39"/>
      <c r="B679" s="39"/>
      <c r="C679" s="54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 spans="1:25" x14ac:dyDescent="0.25">
      <c r="A680" s="39"/>
      <c r="B680" s="39"/>
      <c r="C680" s="54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 spans="1:25" x14ac:dyDescent="0.25">
      <c r="A681" s="39"/>
      <c r="B681" s="39"/>
      <c r="C681" s="54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 spans="1:25" x14ac:dyDescent="0.25">
      <c r="A682" s="39"/>
      <c r="B682" s="39"/>
      <c r="C682" s="54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 spans="1:25" x14ac:dyDescent="0.25">
      <c r="A683" s="39"/>
      <c r="B683" s="39"/>
      <c r="C683" s="54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 spans="1:25" x14ac:dyDescent="0.25">
      <c r="A684" s="39"/>
      <c r="B684" s="39"/>
      <c r="C684" s="54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 spans="1:25" x14ac:dyDescent="0.25">
      <c r="A685" s="39"/>
      <c r="B685" s="39"/>
      <c r="C685" s="54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 spans="1:25" x14ac:dyDescent="0.25">
      <c r="A686" s="39"/>
      <c r="B686" s="39"/>
      <c r="C686" s="54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 spans="1:25" x14ac:dyDescent="0.25">
      <c r="A687" s="39"/>
      <c r="B687" s="39"/>
      <c r="C687" s="54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 spans="1:25" x14ac:dyDescent="0.25">
      <c r="A688" s="39"/>
      <c r="B688" s="39"/>
      <c r="C688" s="54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 spans="1:25" x14ac:dyDescent="0.25">
      <c r="A689" s="39"/>
      <c r="B689" s="39"/>
      <c r="C689" s="54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 spans="1:25" x14ac:dyDescent="0.25">
      <c r="A690" s="39"/>
      <c r="B690" s="39"/>
      <c r="C690" s="54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 spans="1:25" x14ac:dyDescent="0.25">
      <c r="A691" s="39"/>
      <c r="B691" s="39"/>
      <c r="C691" s="54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 spans="1:25" x14ac:dyDescent="0.25">
      <c r="A692" s="39"/>
      <c r="B692" s="39"/>
      <c r="C692" s="54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 spans="1:25" x14ac:dyDescent="0.25">
      <c r="A693" s="39"/>
      <c r="B693" s="39"/>
      <c r="C693" s="54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 spans="1:25" x14ac:dyDescent="0.25">
      <c r="A694" s="39"/>
      <c r="B694" s="39"/>
      <c r="C694" s="54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 spans="1:25" x14ac:dyDescent="0.25">
      <c r="A695" s="39"/>
      <c r="B695" s="39"/>
      <c r="C695" s="54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 spans="1:25" x14ac:dyDescent="0.25">
      <c r="A696" s="39"/>
      <c r="B696" s="39"/>
      <c r="C696" s="54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 spans="1:25" x14ac:dyDescent="0.25">
      <c r="A697" s="39"/>
      <c r="B697" s="39"/>
      <c r="C697" s="54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 spans="1:25" x14ac:dyDescent="0.25">
      <c r="A698" s="39"/>
      <c r="B698" s="39"/>
      <c r="C698" s="54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 spans="1:25" x14ac:dyDescent="0.25">
      <c r="A699" s="39"/>
      <c r="B699" s="39"/>
      <c r="C699" s="54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 spans="1:25" x14ac:dyDescent="0.25">
      <c r="A700" s="39"/>
      <c r="B700" s="39"/>
      <c r="C700" s="54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 spans="1:25" x14ac:dyDescent="0.25">
      <c r="A701" s="39"/>
      <c r="B701" s="39"/>
      <c r="C701" s="54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 spans="1:25" x14ac:dyDescent="0.25">
      <c r="A702" s="39"/>
      <c r="B702" s="39"/>
      <c r="C702" s="54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 spans="1:25" x14ac:dyDescent="0.25">
      <c r="A703" s="39"/>
      <c r="B703" s="39"/>
      <c r="C703" s="54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 spans="1:25" x14ac:dyDescent="0.25">
      <c r="A704" s="39"/>
      <c r="B704" s="39"/>
      <c r="C704" s="54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 spans="1:25" x14ac:dyDescent="0.25">
      <c r="A705" s="39"/>
      <c r="B705" s="39"/>
      <c r="C705" s="54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 spans="1:25" x14ac:dyDescent="0.25">
      <c r="A706" s="39"/>
      <c r="B706" s="39"/>
      <c r="C706" s="54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 spans="1:25" x14ac:dyDescent="0.25">
      <c r="A707" s="39"/>
      <c r="B707" s="39"/>
      <c r="C707" s="54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 spans="1:25" x14ac:dyDescent="0.25">
      <c r="A708" s="39"/>
      <c r="B708" s="39"/>
      <c r="C708" s="54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 spans="1:25" x14ac:dyDescent="0.25">
      <c r="A709" s="39"/>
      <c r="B709" s="39"/>
      <c r="C709" s="54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 spans="1:25" x14ac:dyDescent="0.25">
      <c r="A710" s="39"/>
      <c r="B710" s="39"/>
      <c r="C710" s="54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 spans="1:25" x14ac:dyDescent="0.25">
      <c r="A711" s="39"/>
      <c r="B711" s="39"/>
      <c r="C711" s="54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 spans="1:25" x14ac:dyDescent="0.25">
      <c r="A712" s="39"/>
      <c r="B712" s="39"/>
      <c r="C712" s="54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 spans="1:25" x14ac:dyDescent="0.25">
      <c r="A713" s="39"/>
      <c r="B713" s="39"/>
      <c r="C713" s="54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 spans="1:25" x14ac:dyDescent="0.25">
      <c r="A714" s="39"/>
      <c r="B714" s="39"/>
      <c r="C714" s="54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 spans="1:25" x14ac:dyDescent="0.25">
      <c r="A715" s="39"/>
      <c r="B715" s="39"/>
      <c r="C715" s="54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 spans="1:25" x14ac:dyDescent="0.25">
      <c r="A716" s="39"/>
      <c r="B716" s="39"/>
      <c r="C716" s="54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 spans="1:25" x14ac:dyDescent="0.25">
      <c r="A717" s="39"/>
      <c r="B717" s="39"/>
      <c r="C717" s="54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 spans="1:25" x14ac:dyDescent="0.25">
      <c r="A718" s="39"/>
      <c r="B718" s="39"/>
      <c r="C718" s="54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 spans="1:25" x14ac:dyDescent="0.25">
      <c r="A719" s="39"/>
      <c r="B719" s="39"/>
      <c r="C719" s="54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 spans="1:25" x14ac:dyDescent="0.25">
      <c r="A720" s="39"/>
      <c r="B720" s="39"/>
      <c r="C720" s="54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 spans="1:25" x14ac:dyDescent="0.25">
      <c r="A721" s="39"/>
      <c r="B721" s="39"/>
      <c r="C721" s="54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 spans="1:25" x14ac:dyDescent="0.25">
      <c r="A722" s="39"/>
      <c r="B722" s="39"/>
      <c r="C722" s="54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 spans="1:25" x14ac:dyDescent="0.25">
      <c r="A723" s="39"/>
      <c r="B723" s="39"/>
      <c r="C723" s="54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 spans="1:25" x14ac:dyDescent="0.25">
      <c r="A724" s="39"/>
      <c r="B724" s="39"/>
      <c r="C724" s="54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 spans="1:25" x14ac:dyDescent="0.25">
      <c r="A725" s="39"/>
      <c r="B725" s="39"/>
      <c r="C725" s="54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 spans="1:25" x14ac:dyDescent="0.25">
      <c r="A726" s="39"/>
      <c r="B726" s="39"/>
      <c r="C726" s="54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 spans="1:25" x14ac:dyDescent="0.25">
      <c r="A727" s="39"/>
      <c r="B727" s="39"/>
      <c r="C727" s="54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 spans="1:25" x14ac:dyDescent="0.25">
      <c r="A728" s="39"/>
      <c r="B728" s="39"/>
      <c r="C728" s="54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 spans="1:25" x14ac:dyDescent="0.25">
      <c r="A729" s="39"/>
      <c r="B729" s="39"/>
      <c r="C729" s="54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 spans="1:25" x14ac:dyDescent="0.25">
      <c r="A730" s="39"/>
      <c r="B730" s="39"/>
      <c r="C730" s="54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 spans="1:25" x14ac:dyDescent="0.25">
      <c r="A731" s="39"/>
      <c r="B731" s="39"/>
      <c r="C731" s="54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 spans="1:25" x14ac:dyDescent="0.25">
      <c r="A732" s="39"/>
      <c r="B732" s="39"/>
      <c r="C732" s="54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 spans="1:25" x14ac:dyDescent="0.25">
      <c r="A733" s="39"/>
      <c r="B733" s="39"/>
      <c r="C733" s="54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 spans="1:25" x14ac:dyDescent="0.25">
      <c r="A734" s="39"/>
      <c r="B734" s="39"/>
      <c r="C734" s="54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 spans="1:25" x14ac:dyDescent="0.25">
      <c r="A735" s="39"/>
      <c r="B735" s="39"/>
      <c r="C735" s="54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 spans="1:25" x14ac:dyDescent="0.25">
      <c r="A736" s="39"/>
      <c r="B736" s="39"/>
      <c r="C736" s="54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 spans="1:25" x14ac:dyDescent="0.25">
      <c r="A737" s="39"/>
      <c r="B737" s="39"/>
      <c r="C737" s="54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 spans="1:25" x14ac:dyDescent="0.25">
      <c r="A738" s="39"/>
      <c r="B738" s="39"/>
      <c r="C738" s="54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 spans="1:25" x14ac:dyDescent="0.25">
      <c r="A739" s="39"/>
      <c r="B739" s="39"/>
      <c r="C739" s="54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 spans="1:25" x14ac:dyDescent="0.25">
      <c r="A740" s="39"/>
      <c r="B740" s="39"/>
      <c r="C740" s="54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 spans="1:25" x14ac:dyDescent="0.25">
      <c r="A741" s="39"/>
      <c r="B741" s="39"/>
      <c r="C741" s="54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 spans="1:25" x14ac:dyDescent="0.25">
      <c r="A742" s="39"/>
      <c r="B742" s="39"/>
      <c r="C742" s="54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 spans="1:25" x14ac:dyDescent="0.25">
      <c r="A743" s="39"/>
      <c r="B743" s="39"/>
      <c r="C743" s="54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 spans="1:25" x14ac:dyDescent="0.25">
      <c r="A744" s="39"/>
      <c r="B744" s="39"/>
      <c r="C744" s="54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 spans="1:25" x14ac:dyDescent="0.25">
      <c r="A745" s="39"/>
      <c r="B745" s="39"/>
      <c r="C745" s="54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 spans="1:25" x14ac:dyDescent="0.25">
      <c r="A746" s="39"/>
      <c r="B746" s="39"/>
      <c r="C746" s="54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 spans="1:25" x14ac:dyDescent="0.25">
      <c r="A747" s="39"/>
      <c r="B747" s="39"/>
      <c r="C747" s="54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 spans="1:25" x14ac:dyDescent="0.25">
      <c r="A748" s="39"/>
      <c r="B748" s="39"/>
      <c r="C748" s="54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 spans="1:25" x14ac:dyDescent="0.25">
      <c r="A749" s="39"/>
      <c r="B749" s="39"/>
      <c r="C749" s="54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 spans="1:25" x14ac:dyDescent="0.25">
      <c r="A750" s="39"/>
      <c r="B750" s="39"/>
      <c r="C750" s="54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 spans="1:25" x14ac:dyDescent="0.25">
      <c r="A751" s="39"/>
      <c r="B751" s="39"/>
      <c r="C751" s="54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 spans="1:25" x14ac:dyDescent="0.25">
      <c r="A752" s="39"/>
      <c r="B752" s="39"/>
      <c r="C752" s="54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 spans="1:25" x14ac:dyDescent="0.25">
      <c r="A753" s="39"/>
      <c r="B753" s="39"/>
      <c r="C753" s="54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 spans="1:25" x14ac:dyDescent="0.25">
      <c r="A754" s="39"/>
      <c r="B754" s="39"/>
      <c r="C754" s="54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 spans="1:25" x14ac:dyDescent="0.25">
      <c r="A755" s="39"/>
      <c r="B755" s="39"/>
      <c r="C755" s="54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 spans="1:25" x14ac:dyDescent="0.25">
      <c r="A756" s="39"/>
      <c r="B756" s="39"/>
      <c r="C756" s="54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 spans="1:25" x14ac:dyDescent="0.25">
      <c r="A757" s="39"/>
      <c r="B757" s="39"/>
      <c r="C757" s="54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 spans="1:25" x14ac:dyDescent="0.25">
      <c r="A758" s="39"/>
      <c r="B758" s="39"/>
      <c r="C758" s="54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 spans="1:25" x14ac:dyDescent="0.25">
      <c r="A759" s="39"/>
      <c r="B759" s="39"/>
      <c r="C759" s="54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 spans="1:25" x14ac:dyDescent="0.25">
      <c r="A760" s="39"/>
      <c r="B760" s="39"/>
      <c r="C760" s="54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 spans="1:25" x14ac:dyDescent="0.25">
      <c r="A761" s="39"/>
      <c r="B761" s="39"/>
      <c r="C761" s="54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 spans="1:25" x14ac:dyDescent="0.25">
      <c r="A762" s="39"/>
      <c r="B762" s="39"/>
      <c r="C762" s="54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 spans="1:25" x14ac:dyDescent="0.25">
      <c r="A763" s="39"/>
      <c r="B763" s="39"/>
      <c r="C763" s="54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 spans="1:25" x14ac:dyDescent="0.25">
      <c r="A764" s="39"/>
      <c r="B764" s="39"/>
      <c r="C764" s="54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 spans="1:25" x14ac:dyDescent="0.25">
      <c r="A765" s="39"/>
      <c r="B765" s="39"/>
      <c r="C765" s="54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 spans="1:25" x14ac:dyDescent="0.25">
      <c r="A766" s="39"/>
      <c r="B766" s="39"/>
      <c r="C766" s="54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 spans="1:25" x14ac:dyDescent="0.25">
      <c r="A767" s="39"/>
      <c r="B767" s="39"/>
      <c r="C767" s="54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 spans="1:25" x14ac:dyDescent="0.25">
      <c r="A768" s="39"/>
      <c r="B768" s="39"/>
      <c r="C768" s="54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 spans="1:25" x14ac:dyDescent="0.25">
      <c r="A769" s="39"/>
      <c r="B769" s="39"/>
      <c r="C769" s="54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 spans="1:25" x14ac:dyDescent="0.25">
      <c r="A770" s="39"/>
      <c r="B770" s="39"/>
      <c r="C770" s="54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 spans="1:25" x14ac:dyDescent="0.25">
      <c r="A771" s="39"/>
      <c r="B771" s="39"/>
      <c r="C771" s="54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 spans="1:25" x14ac:dyDescent="0.25">
      <c r="A772" s="39"/>
      <c r="B772" s="39"/>
      <c r="C772" s="54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 spans="1:25" x14ac:dyDescent="0.25">
      <c r="A773" s="39"/>
      <c r="B773" s="39"/>
      <c r="C773" s="54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 spans="1:25" x14ac:dyDescent="0.25">
      <c r="A774" s="39"/>
      <c r="B774" s="39"/>
      <c r="C774" s="54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 spans="1:25" x14ac:dyDescent="0.25">
      <c r="A775" s="39"/>
      <c r="B775" s="39"/>
      <c r="C775" s="54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 spans="1:25" x14ac:dyDescent="0.25">
      <c r="A776" s="39"/>
      <c r="B776" s="39"/>
      <c r="C776" s="54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 spans="1:25" x14ac:dyDescent="0.25">
      <c r="A777" s="39"/>
      <c r="B777" s="39"/>
      <c r="C777" s="54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 spans="1:25" x14ac:dyDescent="0.25">
      <c r="A778" s="39"/>
      <c r="B778" s="39"/>
      <c r="C778" s="54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 spans="1:25" x14ac:dyDescent="0.25">
      <c r="A779" s="39"/>
      <c r="B779" s="39"/>
      <c r="C779" s="54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 spans="1:25" x14ac:dyDescent="0.25">
      <c r="A780" s="39"/>
      <c r="B780" s="39"/>
      <c r="C780" s="54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 spans="1:25" x14ac:dyDescent="0.25">
      <c r="A781" s="39"/>
      <c r="B781" s="39"/>
      <c r="C781" s="54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 spans="1:25" x14ac:dyDescent="0.25">
      <c r="A782" s="39"/>
      <c r="B782" s="39"/>
      <c r="C782" s="54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 spans="1:25" x14ac:dyDescent="0.25">
      <c r="A783" s="39"/>
      <c r="B783" s="39"/>
      <c r="C783" s="54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 spans="1:25" x14ac:dyDescent="0.25">
      <c r="A784" s="39"/>
      <c r="B784" s="39"/>
      <c r="C784" s="54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 spans="1:25" x14ac:dyDescent="0.25">
      <c r="A785" s="39"/>
      <c r="B785" s="39"/>
      <c r="C785" s="54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 spans="1:25" x14ac:dyDescent="0.25">
      <c r="A786" s="39"/>
      <c r="B786" s="39"/>
      <c r="C786" s="54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 spans="1:25" x14ac:dyDescent="0.25">
      <c r="A787" s="39"/>
      <c r="B787" s="39"/>
      <c r="C787" s="54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 spans="1:25" x14ac:dyDescent="0.25">
      <c r="A788" s="39"/>
      <c r="B788" s="39"/>
      <c r="C788" s="54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 spans="1:25" x14ac:dyDescent="0.25">
      <c r="A789" s="39"/>
      <c r="B789" s="39"/>
      <c r="C789" s="54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 spans="1:25" x14ac:dyDescent="0.25">
      <c r="A790" s="39"/>
      <c r="B790" s="39"/>
      <c r="C790" s="54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 spans="1:25" x14ac:dyDescent="0.25">
      <c r="A791" s="39"/>
      <c r="B791" s="39"/>
      <c r="C791" s="54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 spans="1:25" x14ac:dyDescent="0.25">
      <c r="A792" s="39"/>
      <c r="B792" s="39"/>
      <c r="C792" s="54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 spans="1:25" x14ac:dyDescent="0.25">
      <c r="A793" s="39"/>
      <c r="B793" s="39"/>
      <c r="C793" s="54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 spans="1:25" x14ac:dyDescent="0.25">
      <c r="A794" s="39"/>
      <c r="B794" s="39"/>
      <c r="C794" s="54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 spans="1:25" x14ac:dyDescent="0.25">
      <c r="A795" s="39"/>
      <c r="B795" s="39"/>
      <c r="C795" s="54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 spans="1:25" x14ac:dyDescent="0.25">
      <c r="A796" s="39"/>
      <c r="B796" s="39"/>
      <c r="C796" s="54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 spans="1:25" x14ac:dyDescent="0.25">
      <c r="A797" s="39"/>
      <c r="B797" s="39"/>
      <c r="C797" s="54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 spans="1:25" x14ac:dyDescent="0.25">
      <c r="A798" s="39"/>
      <c r="B798" s="39"/>
      <c r="C798" s="54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 spans="1:25" x14ac:dyDescent="0.25">
      <c r="A799" s="39"/>
      <c r="B799" s="39"/>
      <c r="C799" s="54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 spans="1:25" x14ac:dyDescent="0.25">
      <c r="A800" s="39"/>
      <c r="B800" s="39"/>
      <c r="C800" s="54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 spans="1:25" x14ac:dyDescent="0.25">
      <c r="A801" s="39"/>
      <c r="B801" s="39"/>
      <c r="C801" s="54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 spans="1:25" x14ac:dyDescent="0.25">
      <c r="A802" s="39"/>
      <c r="B802" s="39"/>
      <c r="C802" s="54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 spans="1:25" x14ac:dyDescent="0.25">
      <c r="A803" s="39"/>
      <c r="B803" s="39"/>
      <c r="C803" s="54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 spans="1:25" x14ac:dyDescent="0.25">
      <c r="A804" s="39"/>
      <c r="B804" s="39"/>
      <c r="C804" s="54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 spans="1:25" x14ac:dyDescent="0.25">
      <c r="A805" s="39"/>
      <c r="B805" s="39"/>
      <c r="C805" s="54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 spans="1:25" x14ac:dyDescent="0.25">
      <c r="A806" s="39"/>
      <c r="B806" s="39"/>
      <c r="C806" s="54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 spans="1:25" x14ac:dyDescent="0.25">
      <c r="A807" s="39"/>
      <c r="B807" s="39"/>
      <c r="C807" s="54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 spans="1:25" x14ac:dyDescent="0.25">
      <c r="A808" s="39"/>
      <c r="B808" s="39"/>
      <c r="C808" s="54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 spans="1:25" x14ac:dyDescent="0.25">
      <c r="A809" s="39"/>
      <c r="B809" s="39"/>
      <c r="C809" s="54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 spans="1:25" x14ac:dyDescent="0.25">
      <c r="A810" s="39"/>
      <c r="B810" s="39"/>
      <c r="C810" s="54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 spans="1:25" x14ac:dyDescent="0.25">
      <c r="A811" s="39"/>
      <c r="B811" s="39"/>
      <c r="C811" s="54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 spans="1:25" x14ac:dyDescent="0.25">
      <c r="A812" s="39"/>
      <c r="B812" s="39"/>
      <c r="C812" s="54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 spans="1:25" x14ac:dyDescent="0.25">
      <c r="A813" s="39"/>
      <c r="B813" s="39"/>
      <c r="C813" s="54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 spans="1:25" x14ac:dyDescent="0.25">
      <c r="A814" s="39"/>
      <c r="B814" s="39"/>
      <c r="C814" s="54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 spans="1:25" x14ac:dyDescent="0.25">
      <c r="A815" s="39"/>
      <c r="B815" s="39"/>
      <c r="C815" s="54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 spans="1:25" x14ac:dyDescent="0.25">
      <c r="A816" s="39"/>
      <c r="B816" s="39"/>
      <c r="C816" s="54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 spans="1:25" x14ac:dyDescent="0.25">
      <c r="A817" s="39"/>
      <c r="B817" s="39"/>
      <c r="C817" s="54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 spans="1:25" x14ac:dyDescent="0.25">
      <c r="A818" s="39"/>
      <c r="B818" s="39"/>
      <c r="C818" s="54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 spans="1:25" x14ac:dyDescent="0.25">
      <c r="A819" s="39"/>
      <c r="B819" s="39"/>
      <c r="C819" s="54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 spans="1:25" x14ac:dyDescent="0.25">
      <c r="A820" s="39"/>
      <c r="B820" s="39"/>
      <c r="C820" s="54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 spans="1:25" x14ac:dyDescent="0.25">
      <c r="A821" s="39"/>
      <c r="B821" s="39"/>
      <c r="C821" s="54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 spans="1:25" x14ac:dyDescent="0.25">
      <c r="A822" s="39"/>
      <c r="B822" s="39"/>
      <c r="C822" s="54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 spans="1:25" x14ac:dyDescent="0.25">
      <c r="A823" s="39"/>
      <c r="B823" s="39"/>
      <c r="C823" s="54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 spans="1:25" x14ac:dyDescent="0.25">
      <c r="A824" s="39"/>
      <c r="B824" s="39"/>
      <c r="C824" s="54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 spans="1:25" x14ac:dyDescent="0.25">
      <c r="A825" s="39"/>
      <c r="B825" s="39"/>
      <c r="C825" s="54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 spans="1:25" x14ac:dyDescent="0.25">
      <c r="A826" s="39"/>
      <c r="B826" s="39"/>
      <c r="C826" s="54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 spans="1:25" x14ac:dyDescent="0.25">
      <c r="A827" s="39"/>
      <c r="B827" s="39"/>
      <c r="C827" s="54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 spans="1:25" x14ac:dyDescent="0.25">
      <c r="A828" s="39"/>
      <c r="B828" s="39"/>
      <c r="C828" s="54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 spans="1:25" x14ac:dyDescent="0.25">
      <c r="A829" s="39"/>
      <c r="B829" s="39"/>
      <c r="C829" s="54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 spans="1:25" x14ac:dyDescent="0.25">
      <c r="A830" s="39"/>
      <c r="B830" s="39"/>
      <c r="C830" s="54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 spans="1:25" x14ac:dyDescent="0.25">
      <c r="A831" s="39"/>
      <c r="B831" s="39"/>
      <c r="C831" s="54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 spans="1:25" x14ac:dyDescent="0.25">
      <c r="A832" s="39"/>
      <c r="B832" s="39"/>
      <c r="C832" s="54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 spans="1:25" x14ac:dyDescent="0.25">
      <c r="A833" s="39"/>
      <c r="B833" s="39"/>
      <c r="C833" s="54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 spans="1:25" x14ac:dyDescent="0.25">
      <c r="A834" s="39"/>
      <c r="B834" s="39"/>
      <c r="C834" s="54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 spans="1:25" x14ac:dyDescent="0.25">
      <c r="A835" s="39"/>
      <c r="B835" s="39"/>
      <c r="C835" s="54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 spans="1:25" x14ac:dyDescent="0.25">
      <c r="A836" s="39"/>
      <c r="B836" s="39"/>
      <c r="C836" s="54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 spans="1:25" x14ac:dyDescent="0.25">
      <c r="A837" s="39"/>
      <c r="B837" s="39"/>
      <c r="C837" s="54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 spans="1:25" x14ac:dyDescent="0.25">
      <c r="A838" s="39"/>
      <c r="B838" s="39"/>
      <c r="C838" s="54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 spans="1:25" x14ac:dyDescent="0.25">
      <c r="A839" s="39"/>
      <c r="B839" s="39"/>
      <c r="C839" s="54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 spans="1:25" x14ac:dyDescent="0.25">
      <c r="A840" s="39"/>
      <c r="B840" s="39"/>
      <c r="C840" s="54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 spans="1:25" x14ac:dyDescent="0.25">
      <c r="A841" s="39"/>
      <c r="B841" s="39"/>
      <c r="C841" s="54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 spans="1:25" x14ac:dyDescent="0.25">
      <c r="A842" s="39"/>
      <c r="B842" s="39"/>
      <c r="C842" s="54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 spans="1:25" x14ac:dyDescent="0.25">
      <c r="A843" s="39"/>
      <c r="B843" s="39"/>
      <c r="C843" s="54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 spans="1:25" x14ac:dyDescent="0.25">
      <c r="A844" s="39"/>
      <c r="B844" s="39"/>
      <c r="C844" s="54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 spans="1:25" x14ac:dyDescent="0.25">
      <c r="A845" s="39"/>
      <c r="B845" s="39"/>
      <c r="C845" s="54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 spans="1:25" x14ac:dyDescent="0.25">
      <c r="A846" s="39"/>
      <c r="B846" s="39"/>
      <c r="C846" s="54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 spans="1:25" x14ac:dyDescent="0.25">
      <c r="A847" s="39"/>
      <c r="B847" s="39"/>
      <c r="C847" s="54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 spans="1:25" x14ac:dyDescent="0.25">
      <c r="A848" s="39"/>
      <c r="B848" s="39"/>
      <c r="C848" s="54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 spans="1:25" x14ac:dyDescent="0.25">
      <c r="A849" s="39"/>
      <c r="B849" s="39"/>
      <c r="C849" s="54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 spans="1:25" x14ac:dyDescent="0.25">
      <c r="A850" s="39"/>
      <c r="B850" s="39"/>
      <c r="C850" s="54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 spans="1:25" x14ac:dyDescent="0.25">
      <c r="A851" s="39"/>
      <c r="B851" s="39"/>
      <c r="C851" s="54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 spans="1:25" x14ac:dyDescent="0.25">
      <c r="A852" s="39"/>
      <c r="B852" s="39"/>
      <c r="C852" s="54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 spans="1:25" x14ac:dyDescent="0.25">
      <c r="A853" s="39"/>
      <c r="B853" s="39"/>
      <c r="C853" s="54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 spans="1:25" x14ac:dyDescent="0.25">
      <c r="A854" s="39"/>
      <c r="B854" s="39"/>
      <c r="C854" s="54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 spans="1:25" x14ac:dyDescent="0.25">
      <c r="A855" s="39"/>
      <c r="B855" s="39"/>
      <c r="C855" s="54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 spans="1:25" x14ac:dyDescent="0.25">
      <c r="A856" s="39"/>
      <c r="B856" s="39"/>
      <c r="C856" s="54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 spans="1:25" x14ac:dyDescent="0.25">
      <c r="A857" s="39"/>
      <c r="B857" s="39"/>
      <c r="C857" s="54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 spans="1:25" x14ac:dyDescent="0.25">
      <c r="A858" s="39"/>
      <c r="B858" s="39"/>
      <c r="C858" s="54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 spans="1:25" x14ac:dyDescent="0.25">
      <c r="A859" s="39"/>
      <c r="B859" s="39"/>
      <c r="C859" s="54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 spans="1:25" x14ac:dyDescent="0.25">
      <c r="A860" s="39"/>
      <c r="B860" s="39"/>
      <c r="C860" s="54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 spans="1:25" x14ac:dyDescent="0.25">
      <c r="A861" s="39"/>
      <c r="B861" s="39"/>
      <c r="C861" s="54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 spans="1:25" x14ac:dyDescent="0.25">
      <c r="A862" s="39"/>
      <c r="B862" s="39"/>
      <c r="C862" s="54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 spans="1:25" x14ac:dyDescent="0.25">
      <c r="A863" s="39"/>
      <c r="B863" s="39"/>
      <c r="C863" s="54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 spans="1:25" x14ac:dyDescent="0.25">
      <c r="A864" s="39"/>
      <c r="B864" s="39"/>
      <c r="C864" s="54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 spans="1:25" x14ac:dyDescent="0.25">
      <c r="A865" s="39"/>
      <c r="B865" s="39"/>
      <c r="C865" s="54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 spans="1:25" x14ac:dyDescent="0.25">
      <c r="A866" s="39"/>
      <c r="B866" s="39"/>
      <c r="C866" s="54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 spans="1:25" x14ac:dyDescent="0.25">
      <c r="A867" s="39"/>
      <c r="B867" s="39"/>
      <c r="C867" s="54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 spans="1:25" x14ac:dyDescent="0.25">
      <c r="A868" s="39"/>
      <c r="B868" s="39"/>
      <c r="C868" s="54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 spans="1:25" x14ac:dyDescent="0.25">
      <c r="A869" s="39"/>
      <c r="B869" s="39"/>
      <c r="C869" s="54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 spans="1:25" x14ac:dyDescent="0.25">
      <c r="A870" s="39"/>
      <c r="B870" s="39"/>
      <c r="C870" s="54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 spans="1:25" x14ac:dyDescent="0.25">
      <c r="A871" s="39"/>
      <c r="B871" s="39"/>
      <c r="C871" s="54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 spans="1:25" x14ac:dyDescent="0.25">
      <c r="A872" s="39"/>
      <c r="B872" s="39"/>
      <c r="C872" s="54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 spans="1:25" x14ac:dyDescent="0.25">
      <c r="A873" s="39"/>
      <c r="B873" s="39"/>
      <c r="C873" s="54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 spans="1:25" x14ac:dyDescent="0.25">
      <c r="A874" s="39"/>
      <c r="B874" s="39"/>
      <c r="C874" s="54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 spans="1:25" x14ac:dyDescent="0.25">
      <c r="A875" s="39"/>
      <c r="B875" s="39"/>
      <c r="C875" s="54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 spans="1:25" x14ac:dyDescent="0.25">
      <c r="A876" s="39"/>
      <c r="B876" s="39"/>
      <c r="C876" s="54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 spans="1:25" x14ac:dyDescent="0.25">
      <c r="A877" s="39"/>
      <c r="B877" s="39"/>
      <c r="C877" s="54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 spans="1:25" x14ac:dyDescent="0.25">
      <c r="A878" s="39"/>
      <c r="B878" s="39"/>
      <c r="C878" s="54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 spans="1:25" x14ac:dyDescent="0.25">
      <c r="A879" s="39"/>
      <c r="B879" s="39"/>
      <c r="C879" s="54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 spans="1:25" x14ac:dyDescent="0.25">
      <c r="A880" s="39"/>
      <c r="B880" s="39"/>
      <c r="C880" s="54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 spans="1:25" x14ac:dyDescent="0.25">
      <c r="A881" s="39"/>
      <c r="B881" s="39"/>
      <c r="C881" s="54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 spans="1:25" x14ac:dyDescent="0.25">
      <c r="A882" s="39"/>
      <c r="B882" s="39"/>
      <c r="C882" s="54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 spans="1:25" x14ac:dyDescent="0.25">
      <c r="A883" s="39"/>
      <c r="B883" s="39"/>
      <c r="C883" s="54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 spans="1:25" x14ac:dyDescent="0.25">
      <c r="A884" s="39"/>
      <c r="B884" s="39"/>
      <c r="C884" s="54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 spans="1:25" x14ac:dyDescent="0.25">
      <c r="A885" s="39"/>
      <c r="B885" s="39"/>
      <c r="C885" s="54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 spans="1:25" x14ac:dyDescent="0.25">
      <c r="A886" s="39"/>
      <c r="B886" s="39"/>
      <c r="C886" s="54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 spans="1:25" x14ac:dyDescent="0.25">
      <c r="A887" s="39"/>
      <c r="B887" s="39"/>
      <c r="C887" s="54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 spans="1:25" x14ac:dyDescent="0.25">
      <c r="A888" s="39"/>
      <c r="B888" s="39"/>
      <c r="C888" s="54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 spans="1:25" x14ac:dyDescent="0.25">
      <c r="A889" s="39"/>
      <c r="B889" s="39"/>
      <c r="C889" s="54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 spans="1:25" x14ac:dyDescent="0.25">
      <c r="A890" s="39"/>
      <c r="B890" s="39"/>
      <c r="C890" s="54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 spans="1:25" x14ac:dyDescent="0.25">
      <c r="A891" s="39"/>
      <c r="B891" s="39"/>
      <c r="C891" s="54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 spans="1:25" x14ac:dyDescent="0.25">
      <c r="A892" s="39"/>
      <c r="B892" s="39"/>
      <c r="C892" s="54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 spans="1:25" x14ac:dyDescent="0.25">
      <c r="A893" s="39"/>
      <c r="B893" s="39"/>
      <c r="C893" s="54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 spans="1:25" x14ac:dyDescent="0.25">
      <c r="A894" s="39"/>
      <c r="B894" s="39"/>
      <c r="C894" s="54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 spans="1:25" x14ac:dyDescent="0.25">
      <c r="A895" s="39"/>
      <c r="B895" s="39"/>
      <c r="C895" s="54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 spans="1:25" x14ac:dyDescent="0.25">
      <c r="A896" s="39"/>
      <c r="B896" s="39"/>
      <c r="C896" s="54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 spans="1:25" x14ac:dyDescent="0.25">
      <c r="A897" s="39"/>
      <c r="B897" s="39"/>
      <c r="C897" s="54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 spans="1:25" x14ac:dyDescent="0.25">
      <c r="A898" s="39"/>
      <c r="B898" s="39"/>
      <c r="C898" s="54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 spans="1:25" x14ac:dyDescent="0.25">
      <c r="A899" s="39"/>
      <c r="B899" s="39"/>
      <c r="C899" s="54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 spans="1:25" x14ac:dyDescent="0.25">
      <c r="A900" s="39"/>
      <c r="B900" s="39"/>
      <c r="C900" s="54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 spans="1:25" x14ac:dyDescent="0.25">
      <c r="A901" s="39"/>
      <c r="B901" s="39"/>
      <c r="C901" s="54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 spans="1:25" x14ac:dyDescent="0.25">
      <c r="A902" s="39"/>
      <c r="B902" s="39"/>
      <c r="C902" s="54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 spans="1:25" x14ac:dyDescent="0.25">
      <c r="A903" s="39"/>
      <c r="B903" s="39"/>
      <c r="C903" s="54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 spans="1:25" x14ac:dyDescent="0.25">
      <c r="A904" s="39"/>
      <c r="B904" s="39"/>
      <c r="C904" s="54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 spans="1:25" x14ac:dyDescent="0.25">
      <c r="A905" s="39"/>
      <c r="B905" s="39"/>
      <c r="C905" s="54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 spans="1:25" x14ac:dyDescent="0.25">
      <c r="A906" s="39"/>
      <c r="B906" s="39"/>
      <c r="C906" s="54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 spans="1:25" x14ac:dyDescent="0.25">
      <c r="A907" s="39"/>
      <c r="B907" s="39"/>
      <c r="C907" s="54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 spans="1:25" x14ac:dyDescent="0.25">
      <c r="A908" s="39"/>
      <c r="B908" s="39"/>
      <c r="C908" s="54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 spans="1:25" x14ac:dyDescent="0.25">
      <c r="A909" s="39"/>
      <c r="B909" s="39"/>
      <c r="C909" s="54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 spans="1:25" x14ac:dyDescent="0.25">
      <c r="A910" s="39"/>
      <c r="B910" s="39"/>
      <c r="C910" s="54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 spans="1:25" x14ac:dyDescent="0.25">
      <c r="A911" s="39"/>
      <c r="B911" s="39"/>
      <c r="C911" s="54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 spans="1:25" x14ac:dyDescent="0.25">
      <c r="A912" s="39"/>
      <c r="B912" s="39"/>
      <c r="C912" s="54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 spans="1:25" x14ac:dyDescent="0.25">
      <c r="A913" s="39"/>
      <c r="B913" s="39"/>
      <c r="C913" s="54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 spans="1:25" x14ac:dyDescent="0.25">
      <c r="A914" s="39"/>
      <c r="B914" s="39"/>
      <c r="C914" s="54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 spans="1:25" x14ac:dyDescent="0.25">
      <c r="A915" s="39"/>
      <c r="B915" s="39"/>
      <c r="C915" s="54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 spans="1:25" x14ac:dyDescent="0.25">
      <c r="A916" s="39"/>
      <c r="B916" s="39"/>
      <c r="C916" s="54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 spans="1:25" x14ac:dyDescent="0.25">
      <c r="A917" s="39"/>
      <c r="B917" s="39"/>
      <c r="C917" s="54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 spans="1:25" x14ac:dyDescent="0.25">
      <c r="A918" s="39"/>
      <c r="B918" s="39"/>
      <c r="C918" s="54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 spans="1:25" x14ac:dyDescent="0.25">
      <c r="A919" s="39"/>
      <c r="B919" s="39"/>
      <c r="C919" s="54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 spans="1:25" x14ac:dyDescent="0.25">
      <c r="A920" s="39"/>
      <c r="B920" s="39"/>
      <c r="C920" s="54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 spans="1:25" x14ac:dyDescent="0.25">
      <c r="A921" s="39"/>
      <c r="B921" s="39"/>
      <c r="C921" s="54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 spans="1:25" x14ac:dyDescent="0.25">
      <c r="A922" s="39"/>
      <c r="B922" s="39"/>
      <c r="C922" s="54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 spans="1:25" x14ac:dyDescent="0.25">
      <c r="A923" s="39"/>
      <c r="B923" s="39"/>
      <c r="C923" s="54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 spans="1:25" x14ac:dyDescent="0.25">
      <c r="A924" s="39"/>
      <c r="B924" s="39"/>
      <c r="C924" s="54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 spans="1:25" x14ac:dyDescent="0.25">
      <c r="A925" s="39"/>
      <c r="B925" s="39"/>
      <c r="C925" s="54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 spans="1:25" x14ac:dyDescent="0.25">
      <c r="A926" s="39"/>
      <c r="B926" s="39"/>
      <c r="C926" s="54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 spans="1:25" x14ac:dyDescent="0.25">
      <c r="A927" s="39"/>
      <c r="B927" s="39"/>
      <c r="C927" s="54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 spans="1:25" x14ac:dyDescent="0.25">
      <c r="A928" s="39"/>
      <c r="B928" s="39"/>
      <c r="C928" s="54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 spans="1:25" x14ac:dyDescent="0.25">
      <c r="A929" s="39"/>
      <c r="B929" s="39"/>
      <c r="C929" s="54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 spans="1:25" x14ac:dyDescent="0.25">
      <c r="A930" s="39"/>
      <c r="B930" s="39"/>
      <c r="C930" s="54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 spans="1:25" x14ac:dyDescent="0.25">
      <c r="A931" s="39"/>
      <c r="B931" s="39"/>
      <c r="C931" s="54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 spans="1:25" x14ac:dyDescent="0.25">
      <c r="A932" s="39"/>
      <c r="B932" s="39"/>
      <c r="C932" s="54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 spans="1:25" x14ac:dyDescent="0.25">
      <c r="A933" s="39"/>
      <c r="B933" s="39"/>
      <c r="C933" s="54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 spans="1:25" x14ac:dyDescent="0.25">
      <c r="A934" s="39"/>
      <c r="B934" s="39"/>
      <c r="C934" s="54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 spans="1:25" x14ac:dyDescent="0.25">
      <c r="A935" s="39"/>
      <c r="B935" s="39"/>
      <c r="C935" s="54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 spans="1:25" x14ac:dyDescent="0.25">
      <c r="A936" s="39"/>
      <c r="B936" s="39"/>
      <c r="C936" s="54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 spans="1:25" x14ac:dyDescent="0.25">
      <c r="A937" s="39"/>
      <c r="B937" s="39"/>
      <c r="C937" s="54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 spans="1:25" x14ac:dyDescent="0.25">
      <c r="A938" s="39"/>
      <c r="B938" s="39"/>
      <c r="C938" s="54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 spans="1:25" x14ac:dyDescent="0.25">
      <c r="A939" s="39"/>
      <c r="B939" s="39"/>
      <c r="C939" s="54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 spans="1:25" x14ac:dyDescent="0.25">
      <c r="A940" s="39"/>
      <c r="B940" s="39"/>
      <c r="C940" s="54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 spans="1:25" x14ac:dyDescent="0.25">
      <c r="A941" s="39"/>
      <c r="B941" s="39"/>
      <c r="C941" s="54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 spans="1:25" x14ac:dyDescent="0.25">
      <c r="A942" s="39"/>
      <c r="B942" s="39"/>
      <c r="C942" s="54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 spans="1:25" x14ac:dyDescent="0.25">
      <c r="A943" s="39"/>
      <c r="B943" s="39"/>
      <c r="C943" s="54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 spans="1:25" x14ac:dyDescent="0.25">
      <c r="A944" s="39"/>
      <c r="B944" s="39"/>
      <c r="C944" s="54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 spans="1:25" x14ac:dyDescent="0.25">
      <c r="A945" s="39"/>
      <c r="B945" s="39"/>
      <c r="C945" s="54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 spans="1:25" x14ac:dyDescent="0.25">
      <c r="A946" s="39"/>
      <c r="B946" s="39"/>
      <c r="C946" s="54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 spans="1:25" x14ac:dyDescent="0.25">
      <c r="A947" s="39"/>
      <c r="B947" s="39"/>
      <c r="C947" s="54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 spans="1:25" x14ac:dyDescent="0.25">
      <c r="A948" s="39"/>
      <c r="B948" s="39"/>
      <c r="C948" s="54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 spans="1:25" x14ac:dyDescent="0.25">
      <c r="A949" s="39"/>
      <c r="B949" s="39"/>
      <c r="C949" s="54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 spans="1:25" x14ac:dyDescent="0.25">
      <c r="A950" s="39"/>
      <c r="B950" s="39"/>
      <c r="C950" s="54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 spans="1:25" x14ac:dyDescent="0.25">
      <c r="A951" s="39"/>
      <c r="B951" s="39"/>
      <c r="C951" s="54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 spans="1:25" x14ac:dyDescent="0.25">
      <c r="A952" s="39"/>
      <c r="B952" s="39"/>
      <c r="C952" s="54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 spans="1:25" x14ac:dyDescent="0.25">
      <c r="A953" s="39"/>
      <c r="B953" s="39"/>
      <c r="C953" s="54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 spans="1:25" x14ac:dyDescent="0.25">
      <c r="A954" s="39"/>
      <c r="B954" s="39"/>
      <c r="C954" s="54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 spans="1:25" x14ac:dyDescent="0.25">
      <c r="A955" s="39"/>
      <c r="B955" s="39"/>
      <c r="C955" s="54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 spans="1:25" x14ac:dyDescent="0.25">
      <c r="A956" s="39"/>
      <c r="B956" s="39"/>
      <c r="C956" s="54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 spans="1:25" x14ac:dyDescent="0.25">
      <c r="A957" s="39"/>
      <c r="B957" s="39"/>
      <c r="C957" s="54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 spans="1:25" x14ac:dyDescent="0.25">
      <c r="A958" s="39"/>
      <c r="B958" s="39"/>
      <c r="C958" s="54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 spans="1:25" x14ac:dyDescent="0.25">
      <c r="A959" s="39"/>
      <c r="B959" s="39"/>
      <c r="C959" s="54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 spans="1:25" x14ac:dyDescent="0.25">
      <c r="A960" s="39"/>
      <c r="B960" s="39"/>
      <c r="C960" s="54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 spans="1:25" x14ac:dyDescent="0.25">
      <c r="A961" s="39"/>
      <c r="B961" s="39"/>
      <c r="C961" s="54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 spans="1:25" x14ac:dyDescent="0.25">
      <c r="A962" s="39"/>
      <c r="B962" s="39"/>
      <c r="C962" s="54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 spans="1:25" x14ac:dyDescent="0.25">
      <c r="A963" s="39"/>
      <c r="B963" s="39"/>
      <c r="C963" s="54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 spans="1:25" x14ac:dyDescent="0.25">
      <c r="A964" s="39"/>
      <c r="B964" s="39"/>
      <c r="C964" s="54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 spans="1:25" x14ac:dyDescent="0.25">
      <c r="A965" s="39"/>
      <c r="B965" s="39"/>
      <c r="C965" s="54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 spans="1:25" x14ac:dyDescent="0.25">
      <c r="A966" s="39"/>
      <c r="B966" s="39"/>
      <c r="C966" s="54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 spans="1:25" x14ac:dyDescent="0.25">
      <c r="A967" s="39"/>
      <c r="B967" s="39"/>
      <c r="C967" s="54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 spans="1:25" x14ac:dyDescent="0.25">
      <c r="A968" s="39"/>
      <c r="B968" s="39"/>
      <c r="C968" s="54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 spans="1:25" x14ac:dyDescent="0.25">
      <c r="A969" s="39"/>
      <c r="B969" s="39"/>
      <c r="C969" s="54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 spans="1:25" x14ac:dyDescent="0.25">
      <c r="A970" s="39"/>
      <c r="B970" s="39"/>
      <c r="C970" s="54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 spans="1:25" x14ac:dyDescent="0.25">
      <c r="A971" s="39"/>
      <c r="B971" s="39"/>
      <c r="C971" s="54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 spans="1:25" x14ac:dyDescent="0.25">
      <c r="A972" s="39"/>
      <c r="B972" s="39"/>
      <c r="C972" s="54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 spans="1:25" x14ac:dyDescent="0.25">
      <c r="A973" s="39"/>
      <c r="B973" s="39"/>
      <c r="C973" s="54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 spans="1:25" x14ac:dyDescent="0.25">
      <c r="A974" s="39"/>
      <c r="B974" s="39"/>
      <c r="C974" s="54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 spans="1:25" x14ac:dyDescent="0.25">
      <c r="A975" s="39"/>
      <c r="B975" s="39"/>
      <c r="C975" s="54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 spans="1:25" x14ac:dyDescent="0.25">
      <c r="A976" s="39"/>
      <c r="B976" s="39"/>
      <c r="C976" s="54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 spans="3:3" x14ac:dyDescent="0.25">
      <c r="C977" s="57"/>
    </row>
    <row r="978" spans="3:3" x14ac:dyDescent="0.25">
      <c r="C978" s="57"/>
    </row>
    <row r="979" spans="3:3" x14ac:dyDescent="0.25">
      <c r="C979" s="57"/>
    </row>
    <row r="980" spans="3:3" x14ac:dyDescent="0.25">
      <c r="C980" s="57"/>
    </row>
    <row r="981" spans="3:3" x14ac:dyDescent="0.25">
      <c r="C981" s="57"/>
    </row>
    <row r="982" spans="3:3" x14ac:dyDescent="0.25">
      <c r="C982" s="57"/>
    </row>
    <row r="983" spans="3:3" x14ac:dyDescent="0.25">
      <c r="C983" s="57"/>
    </row>
    <row r="984" spans="3:3" x14ac:dyDescent="0.25">
      <c r="C984" s="57"/>
    </row>
    <row r="985" spans="3:3" x14ac:dyDescent="0.25">
      <c r="C985" s="57"/>
    </row>
    <row r="986" spans="3:3" x14ac:dyDescent="0.25">
      <c r="C986" s="5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33.140625" customWidth="1"/>
    <col min="2" max="2" width="11.140625" customWidth="1"/>
    <col min="3" max="3" width="18.85546875" customWidth="1"/>
    <col min="4" max="4" width="14.7109375" customWidth="1"/>
    <col min="5" max="5" width="20.85546875" customWidth="1"/>
    <col min="6" max="6" width="14.7109375" customWidth="1"/>
    <col min="7" max="7" width="19" customWidth="1"/>
    <col min="8" max="9" width="14.7109375" customWidth="1"/>
    <col min="10" max="27" width="33.42578125" customWidth="1"/>
  </cols>
  <sheetData>
    <row r="1" spans="1:11" ht="14.2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0" t="s">
        <v>11</v>
      </c>
      <c r="H1" s="31" t="s">
        <v>255</v>
      </c>
      <c r="I1" s="30" t="s">
        <v>256</v>
      </c>
      <c r="J1" s="38"/>
      <c r="K1" s="39"/>
    </row>
    <row r="2" spans="1:11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39"/>
      <c r="K2" s="39"/>
    </row>
    <row r="3" spans="1:11" ht="14.25" customHeight="1" x14ac:dyDescent="0.25">
      <c r="A3" s="41" t="s">
        <v>236</v>
      </c>
      <c r="B3" s="41" t="s">
        <v>162</v>
      </c>
      <c r="C3" s="42" t="s">
        <v>207</v>
      </c>
      <c r="D3" s="46">
        <v>45000</v>
      </c>
      <c r="E3" s="46">
        <f t="shared" ref="E3:E10" si="0">D3*0.01</f>
        <v>450</v>
      </c>
      <c r="F3" s="46">
        <v>0</v>
      </c>
      <c r="G3" s="46">
        <f t="shared" ref="G3:G10" si="1">SUM(D3,F3)-E3</f>
        <v>44550</v>
      </c>
      <c r="H3" s="46">
        <v>44550</v>
      </c>
      <c r="I3" s="46">
        <f t="shared" ref="I3:I10" si="2">G3-H3</f>
        <v>0</v>
      </c>
      <c r="J3" s="39"/>
      <c r="K3" s="39"/>
    </row>
    <row r="4" spans="1:11" ht="14.25" customHeight="1" x14ac:dyDescent="0.25">
      <c r="A4" s="41" t="s">
        <v>237</v>
      </c>
      <c r="B4" s="41" t="s">
        <v>162</v>
      </c>
      <c r="C4" s="42" t="s">
        <v>191</v>
      </c>
      <c r="D4" s="46">
        <v>40000</v>
      </c>
      <c r="E4" s="46">
        <f t="shared" si="0"/>
        <v>400</v>
      </c>
      <c r="F4" s="46">
        <v>0</v>
      </c>
      <c r="G4" s="46">
        <f t="shared" si="1"/>
        <v>39600</v>
      </c>
      <c r="H4" s="46">
        <v>39600</v>
      </c>
      <c r="I4" s="46">
        <f t="shared" si="2"/>
        <v>0</v>
      </c>
      <c r="J4" s="39"/>
      <c r="K4" s="39"/>
    </row>
    <row r="5" spans="1:11" ht="14.25" customHeight="1" x14ac:dyDescent="0.25">
      <c r="A5" s="41" t="s">
        <v>226</v>
      </c>
      <c r="B5" s="41" t="s">
        <v>53</v>
      </c>
      <c r="C5" s="42" t="s">
        <v>227</v>
      </c>
      <c r="D5" s="46">
        <v>38500</v>
      </c>
      <c r="E5" s="46">
        <f t="shared" si="0"/>
        <v>385</v>
      </c>
      <c r="F5" s="46">
        <v>0</v>
      </c>
      <c r="G5" s="46">
        <f t="shared" si="1"/>
        <v>38115</v>
      </c>
      <c r="H5" s="46">
        <v>38115</v>
      </c>
      <c r="I5" s="46">
        <f t="shared" si="2"/>
        <v>0</v>
      </c>
      <c r="J5" s="39"/>
      <c r="K5" s="39"/>
    </row>
    <row r="6" spans="1:11" ht="14.25" customHeight="1" x14ac:dyDescent="0.25">
      <c r="A6" s="41" t="s">
        <v>228</v>
      </c>
      <c r="B6" s="41" t="s">
        <v>162</v>
      </c>
      <c r="C6" s="42" t="s">
        <v>257</v>
      </c>
      <c r="D6" s="46">
        <v>35000</v>
      </c>
      <c r="E6" s="46">
        <f t="shared" si="0"/>
        <v>350</v>
      </c>
      <c r="F6" s="46">
        <v>0</v>
      </c>
      <c r="G6" s="46">
        <f t="shared" si="1"/>
        <v>34650</v>
      </c>
      <c r="H6" s="46">
        <v>34650</v>
      </c>
      <c r="I6" s="46">
        <f t="shared" si="2"/>
        <v>0</v>
      </c>
      <c r="J6" s="39"/>
      <c r="K6" s="39"/>
    </row>
    <row r="7" spans="1:11" ht="14.25" customHeight="1" x14ac:dyDescent="0.25">
      <c r="A7" s="41" t="s">
        <v>234</v>
      </c>
      <c r="B7" s="41" t="s">
        <v>95</v>
      </c>
      <c r="C7" s="42" t="s">
        <v>235</v>
      </c>
      <c r="D7" s="46">
        <v>15000</v>
      </c>
      <c r="E7" s="46">
        <f t="shared" si="0"/>
        <v>150</v>
      </c>
      <c r="F7" s="46">
        <v>0</v>
      </c>
      <c r="G7" s="46">
        <f t="shared" si="1"/>
        <v>14850</v>
      </c>
      <c r="H7" s="46">
        <v>14850</v>
      </c>
      <c r="I7" s="46">
        <f t="shared" si="2"/>
        <v>0</v>
      </c>
      <c r="J7" s="39"/>
      <c r="K7" s="39"/>
    </row>
    <row r="8" spans="1:11" ht="14.25" customHeight="1" x14ac:dyDescent="0.25">
      <c r="A8" s="41" t="s">
        <v>251</v>
      </c>
      <c r="B8" s="41" t="s">
        <v>162</v>
      </c>
      <c r="C8" s="42" t="s">
        <v>252</v>
      </c>
      <c r="D8" s="46">
        <v>35000</v>
      </c>
      <c r="E8" s="46">
        <f t="shared" si="0"/>
        <v>350</v>
      </c>
      <c r="F8" s="46">
        <v>0</v>
      </c>
      <c r="G8" s="46">
        <f t="shared" si="1"/>
        <v>34650</v>
      </c>
      <c r="H8" s="46">
        <v>35000</v>
      </c>
      <c r="I8" s="46">
        <f t="shared" si="2"/>
        <v>-350</v>
      </c>
      <c r="J8" s="39"/>
      <c r="K8" s="39"/>
    </row>
    <row r="9" spans="1:11" ht="14.25" customHeight="1" x14ac:dyDescent="0.25">
      <c r="A9" s="41" t="s">
        <v>258</v>
      </c>
      <c r="B9" s="41" t="s">
        <v>162</v>
      </c>
      <c r="C9" s="42" t="s">
        <v>171</v>
      </c>
      <c r="D9" s="46">
        <v>35000</v>
      </c>
      <c r="E9" s="46">
        <f t="shared" si="0"/>
        <v>350</v>
      </c>
      <c r="F9" s="46">
        <v>0</v>
      </c>
      <c r="G9" s="46">
        <f t="shared" si="1"/>
        <v>34650</v>
      </c>
      <c r="H9" s="46">
        <v>34650</v>
      </c>
      <c r="I9" s="46">
        <f t="shared" si="2"/>
        <v>0</v>
      </c>
      <c r="J9" s="39"/>
      <c r="K9" s="39"/>
    </row>
    <row r="10" spans="1:11" ht="14.25" customHeight="1" x14ac:dyDescent="0.25">
      <c r="A10" s="41" t="s">
        <v>259</v>
      </c>
      <c r="B10" s="41" t="s">
        <v>162</v>
      </c>
      <c r="C10" s="42" t="s">
        <v>260</v>
      </c>
      <c r="D10" s="46">
        <v>22000</v>
      </c>
      <c r="E10" s="46">
        <f t="shared" si="0"/>
        <v>220</v>
      </c>
      <c r="F10" s="46">
        <v>0</v>
      </c>
      <c r="G10" s="46">
        <f t="shared" si="1"/>
        <v>21780</v>
      </c>
      <c r="H10" s="46">
        <v>21780</v>
      </c>
      <c r="I10" s="46">
        <f t="shared" si="2"/>
        <v>0</v>
      </c>
      <c r="J10" s="39"/>
      <c r="K10" s="39"/>
    </row>
    <row r="11" spans="1:11" ht="14.25" customHeight="1" x14ac:dyDescent="0.25">
      <c r="A11" s="40"/>
      <c r="B11" s="40"/>
      <c r="C11" s="48"/>
      <c r="D11" s="49">
        <f t="shared" ref="D11:I11" si="3">SUM(D3:D10)</f>
        <v>265500</v>
      </c>
      <c r="E11" s="49">
        <f t="shared" si="3"/>
        <v>2655</v>
      </c>
      <c r="F11" s="49">
        <f t="shared" si="3"/>
        <v>0</v>
      </c>
      <c r="G11" s="49">
        <f t="shared" si="3"/>
        <v>262845</v>
      </c>
      <c r="H11" s="49">
        <f t="shared" si="3"/>
        <v>263195</v>
      </c>
      <c r="I11" s="49">
        <f t="shared" si="3"/>
        <v>-350</v>
      </c>
      <c r="J11" s="39"/>
      <c r="K11" s="39"/>
    </row>
    <row r="12" spans="1:11" ht="14.25" customHeight="1" x14ac:dyDescent="0.25">
      <c r="A12" s="41"/>
      <c r="B12" s="41"/>
      <c r="C12" s="42"/>
      <c r="D12" s="41"/>
      <c r="E12" s="41"/>
      <c r="F12" s="41"/>
      <c r="G12" s="46"/>
      <c r="H12" s="41"/>
      <c r="I12" s="46"/>
      <c r="J12" s="39"/>
      <c r="K12" s="39"/>
    </row>
    <row r="13" spans="1:11" ht="14.25" customHeight="1" x14ac:dyDescent="0.25">
      <c r="A13" s="40" t="s">
        <v>72</v>
      </c>
      <c r="B13" s="41"/>
      <c r="C13" s="42"/>
      <c r="D13" s="41"/>
      <c r="E13" s="41"/>
      <c r="F13" s="41"/>
      <c r="G13" s="46">
        <f t="shared" ref="G13:G21" si="4">SUM(D13,F13)-E13</f>
        <v>0</v>
      </c>
      <c r="H13" s="41"/>
      <c r="I13" s="46">
        <f t="shared" ref="I13:I21" si="5">G13-H13</f>
        <v>0</v>
      </c>
      <c r="J13" s="39"/>
      <c r="K13" s="39"/>
    </row>
    <row r="14" spans="1:11" ht="14.25" customHeight="1" x14ac:dyDescent="0.25">
      <c r="A14" s="41" t="s">
        <v>236</v>
      </c>
      <c r="B14" s="41" t="s">
        <v>162</v>
      </c>
      <c r="C14" s="42" t="s">
        <v>207</v>
      </c>
      <c r="D14" s="46">
        <v>45000</v>
      </c>
      <c r="E14" s="46">
        <f t="shared" ref="E14:E21" si="6">D14*0.01</f>
        <v>450</v>
      </c>
      <c r="F14" s="46">
        <v>0</v>
      </c>
      <c r="G14" s="46">
        <f t="shared" si="4"/>
        <v>44550</v>
      </c>
      <c r="H14" s="46">
        <v>44550</v>
      </c>
      <c r="I14" s="46">
        <f t="shared" si="5"/>
        <v>0</v>
      </c>
      <c r="J14" s="39"/>
      <c r="K14" s="39"/>
    </row>
    <row r="15" spans="1:11" ht="14.25" customHeight="1" x14ac:dyDescent="0.25">
      <c r="A15" s="41" t="s">
        <v>237</v>
      </c>
      <c r="B15" s="41" t="s">
        <v>162</v>
      </c>
      <c r="C15" s="42" t="s">
        <v>191</v>
      </c>
      <c r="D15" s="46">
        <v>40000</v>
      </c>
      <c r="E15" s="46">
        <f t="shared" si="6"/>
        <v>400</v>
      </c>
      <c r="F15" s="46">
        <v>0</v>
      </c>
      <c r="G15" s="46">
        <f t="shared" si="4"/>
        <v>39600</v>
      </c>
      <c r="H15" s="46">
        <v>39600</v>
      </c>
      <c r="I15" s="46">
        <f t="shared" si="5"/>
        <v>0</v>
      </c>
      <c r="J15" s="39"/>
      <c r="K15" s="39"/>
    </row>
    <row r="16" spans="1:11" ht="14.25" customHeight="1" x14ac:dyDescent="0.25">
      <c r="A16" s="41" t="s">
        <v>226</v>
      </c>
      <c r="B16" s="41" t="s">
        <v>53</v>
      </c>
      <c r="C16" s="42" t="s">
        <v>227</v>
      </c>
      <c r="D16" s="46">
        <v>38500</v>
      </c>
      <c r="E16" s="46">
        <f t="shared" si="6"/>
        <v>385</v>
      </c>
      <c r="F16" s="46">
        <v>0</v>
      </c>
      <c r="G16" s="46">
        <f t="shared" si="4"/>
        <v>38115</v>
      </c>
      <c r="H16" s="46">
        <v>38115</v>
      </c>
      <c r="I16" s="46">
        <f t="shared" si="5"/>
        <v>0</v>
      </c>
      <c r="J16" s="39"/>
      <c r="K16" s="39"/>
    </row>
    <row r="17" spans="1:11" ht="14.25" customHeight="1" x14ac:dyDescent="0.25">
      <c r="A17" s="41" t="s">
        <v>228</v>
      </c>
      <c r="B17" s="41" t="s">
        <v>162</v>
      </c>
      <c r="C17" s="42" t="s">
        <v>257</v>
      </c>
      <c r="D17" s="46">
        <v>35000</v>
      </c>
      <c r="E17" s="46">
        <f t="shared" si="6"/>
        <v>350</v>
      </c>
      <c r="F17" s="46">
        <v>0</v>
      </c>
      <c r="G17" s="46">
        <f t="shared" si="4"/>
        <v>34650</v>
      </c>
      <c r="H17" s="46">
        <v>34650</v>
      </c>
      <c r="I17" s="46">
        <f t="shared" si="5"/>
        <v>0</v>
      </c>
      <c r="J17" s="39"/>
      <c r="K17" s="39"/>
    </row>
    <row r="18" spans="1:11" ht="14.25" customHeight="1" x14ac:dyDescent="0.25">
      <c r="A18" s="41" t="s">
        <v>234</v>
      </c>
      <c r="B18" s="41" t="s">
        <v>95</v>
      </c>
      <c r="C18" s="42" t="s">
        <v>235</v>
      </c>
      <c r="D18" s="46">
        <v>15000</v>
      </c>
      <c r="E18" s="46">
        <f t="shared" si="6"/>
        <v>150</v>
      </c>
      <c r="F18" s="46">
        <v>0</v>
      </c>
      <c r="G18" s="46">
        <f t="shared" si="4"/>
        <v>14850</v>
      </c>
      <c r="H18" s="46">
        <v>14850</v>
      </c>
      <c r="I18" s="46">
        <f t="shared" si="5"/>
        <v>0</v>
      </c>
      <c r="J18" s="39"/>
      <c r="K18" s="39"/>
    </row>
    <row r="19" spans="1:11" ht="14.25" customHeight="1" x14ac:dyDescent="0.25">
      <c r="A19" s="41" t="s">
        <v>251</v>
      </c>
      <c r="B19" s="41" t="s">
        <v>162</v>
      </c>
      <c r="C19" s="42" t="s">
        <v>252</v>
      </c>
      <c r="D19" s="46">
        <v>35000</v>
      </c>
      <c r="E19" s="46">
        <f t="shared" si="6"/>
        <v>350</v>
      </c>
      <c r="F19" s="46">
        <v>0</v>
      </c>
      <c r="G19" s="46">
        <f t="shared" si="4"/>
        <v>34650</v>
      </c>
      <c r="H19" s="46">
        <v>34650</v>
      </c>
      <c r="I19" s="46">
        <f t="shared" si="5"/>
        <v>0</v>
      </c>
      <c r="J19" s="39"/>
      <c r="K19" s="39"/>
    </row>
    <row r="20" spans="1:11" ht="14.25" customHeight="1" x14ac:dyDescent="0.25">
      <c r="A20" s="41" t="s">
        <v>258</v>
      </c>
      <c r="B20" s="41" t="s">
        <v>162</v>
      </c>
      <c r="C20" s="42" t="s">
        <v>171</v>
      </c>
      <c r="D20" s="46">
        <v>35000</v>
      </c>
      <c r="E20" s="46">
        <f t="shared" si="6"/>
        <v>350</v>
      </c>
      <c r="F20" s="46">
        <v>0</v>
      </c>
      <c r="G20" s="46">
        <f t="shared" si="4"/>
        <v>34650</v>
      </c>
      <c r="H20" s="46">
        <v>34650</v>
      </c>
      <c r="I20" s="46">
        <f t="shared" si="5"/>
        <v>0</v>
      </c>
      <c r="J20" s="39"/>
      <c r="K20" s="39"/>
    </row>
    <row r="21" spans="1:11" ht="14.25" customHeight="1" x14ac:dyDescent="0.25">
      <c r="A21" s="41" t="s">
        <v>259</v>
      </c>
      <c r="B21" s="41" t="s">
        <v>162</v>
      </c>
      <c r="C21" s="42" t="s">
        <v>260</v>
      </c>
      <c r="D21" s="46">
        <v>22000</v>
      </c>
      <c r="E21" s="46">
        <f t="shared" si="6"/>
        <v>220</v>
      </c>
      <c r="F21" s="46">
        <v>0</v>
      </c>
      <c r="G21" s="46">
        <f t="shared" si="4"/>
        <v>21780</v>
      </c>
      <c r="H21" s="46">
        <v>21780</v>
      </c>
      <c r="I21" s="46">
        <f t="shared" si="5"/>
        <v>0</v>
      </c>
      <c r="J21" s="39"/>
      <c r="K21" s="39"/>
    </row>
    <row r="22" spans="1:11" ht="14.25" customHeight="1" x14ac:dyDescent="0.25">
      <c r="A22" s="40"/>
      <c r="B22" s="40"/>
      <c r="C22" s="48"/>
      <c r="D22" s="49">
        <f t="shared" ref="D22:I22" si="7">SUM(D14:D21)</f>
        <v>265500</v>
      </c>
      <c r="E22" s="49">
        <f t="shared" si="7"/>
        <v>2655</v>
      </c>
      <c r="F22" s="49">
        <f t="shared" si="7"/>
        <v>0</v>
      </c>
      <c r="G22" s="49">
        <f t="shared" si="7"/>
        <v>262845</v>
      </c>
      <c r="H22" s="49">
        <f t="shared" si="7"/>
        <v>262845</v>
      </c>
      <c r="I22" s="49">
        <f t="shared" si="7"/>
        <v>0</v>
      </c>
      <c r="J22" s="39"/>
      <c r="K22" s="39"/>
    </row>
    <row r="23" spans="1:11" ht="14.25" customHeight="1" x14ac:dyDescent="0.25">
      <c r="A23" s="41"/>
      <c r="B23" s="41"/>
      <c r="C23" s="42"/>
      <c r="D23" s="41"/>
      <c r="E23" s="41"/>
      <c r="F23" s="41"/>
      <c r="G23" s="46"/>
      <c r="H23" s="41"/>
      <c r="I23" s="46"/>
      <c r="J23" s="39"/>
      <c r="K23" s="39"/>
    </row>
    <row r="24" spans="1:11" ht="14.25" customHeight="1" x14ac:dyDescent="0.25">
      <c r="A24" s="40" t="s">
        <v>73</v>
      </c>
      <c r="B24" s="41"/>
      <c r="C24" s="42"/>
      <c r="D24" s="41"/>
      <c r="E24" s="41"/>
      <c r="F24" s="41"/>
      <c r="G24" s="46">
        <f t="shared" ref="G24:G32" si="8">SUM(D24,F24)-E24</f>
        <v>0</v>
      </c>
      <c r="H24" s="41"/>
      <c r="I24" s="46">
        <f t="shared" ref="I24:I32" si="9">G24-H24</f>
        <v>0</v>
      </c>
      <c r="J24" s="39"/>
      <c r="K24" s="39"/>
    </row>
    <row r="25" spans="1:11" ht="14.25" customHeight="1" x14ac:dyDescent="0.25">
      <c r="A25" s="41" t="s">
        <v>236</v>
      </c>
      <c r="B25" s="41" t="s">
        <v>162</v>
      </c>
      <c r="C25" s="42" t="s">
        <v>207</v>
      </c>
      <c r="D25" s="46">
        <v>45000</v>
      </c>
      <c r="E25" s="46">
        <f t="shared" ref="E25:E32" si="10">D25*0.01</f>
        <v>450</v>
      </c>
      <c r="F25" s="46">
        <v>0</v>
      </c>
      <c r="G25" s="46">
        <f t="shared" si="8"/>
        <v>44550</v>
      </c>
      <c r="H25" s="46">
        <v>44550</v>
      </c>
      <c r="I25" s="46">
        <f t="shared" si="9"/>
        <v>0</v>
      </c>
      <c r="J25" s="39"/>
      <c r="K25" s="39"/>
    </row>
    <row r="26" spans="1:11" ht="14.25" customHeight="1" x14ac:dyDescent="0.25">
      <c r="A26" s="41" t="s">
        <v>237</v>
      </c>
      <c r="B26" s="41" t="s">
        <v>162</v>
      </c>
      <c r="C26" s="42" t="s">
        <v>191</v>
      </c>
      <c r="D26" s="46">
        <v>40000</v>
      </c>
      <c r="E26" s="46">
        <f t="shared" si="10"/>
        <v>400</v>
      </c>
      <c r="F26" s="46">
        <v>31062</v>
      </c>
      <c r="G26" s="46">
        <f t="shared" si="8"/>
        <v>70662</v>
      </c>
      <c r="H26" s="46">
        <v>70662</v>
      </c>
      <c r="I26" s="46">
        <f t="shared" si="9"/>
        <v>0</v>
      </c>
      <c r="J26" s="39"/>
      <c r="K26" s="39"/>
    </row>
    <row r="27" spans="1:11" ht="14.25" customHeight="1" x14ac:dyDescent="0.25">
      <c r="A27" s="41" t="s">
        <v>226</v>
      </c>
      <c r="B27" s="41" t="s">
        <v>53</v>
      </c>
      <c r="C27" s="42" t="s">
        <v>227</v>
      </c>
      <c r="D27" s="46">
        <v>38500</v>
      </c>
      <c r="E27" s="46">
        <f t="shared" si="10"/>
        <v>385</v>
      </c>
      <c r="F27" s="46">
        <v>0</v>
      </c>
      <c r="G27" s="46">
        <f t="shared" si="8"/>
        <v>38115</v>
      </c>
      <c r="H27" s="46">
        <v>38115</v>
      </c>
      <c r="I27" s="46">
        <f t="shared" si="9"/>
        <v>0</v>
      </c>
      <c r="J27" s="39"/>
      <c r="K27" s="39"/>
    </row>
    <row r="28" spans="1:11" ht="14.25" customHeight="1" x14ac:dyDescent="0.25">
      <c r="A28" s="41" t="s">
        <v>228</v>
      </c>
      <c r="B28" s="41" t="s">
        <v>162</v>
      </c>
      <c r="C28" s="42" t="s">
        <v>257</v>
      </c>
      <c r="D28" s="46">
        <v>35000</v>
      </c>
      <c r="E28" s="46">
        <f t="shared" si="10"/>
        <v>350</v>
      </c>
      <c r="F28" s="46">
        <v>31062</v>
      </c>
      <c r="G28" s="46">
        <f t="shared" si="8"/>
        <v>65712</v>
      </c>
      <c r="H28" s="46">
        <v>65712</v>
      </c>
      <c r="I28" s="46">
        <f t="shared" si="9"/>
        <v>0</v>
      </c>
      <c r="J28" s="39"/>
      <c r="K28" s="39"/>
    </row>
    <row r="29" spans="1:11" ht="14.25" customHeight="1" x14ac:dyDescent="0.25">
      <c r="A29" s="41" t="s">
        <v>234</v>
      </c>
      <c r="B29" s="41" t="s">
        <v>95</v>
      </c>
      <c r="C29" s="42" t="s">
        <v>235</v>
      </c>
      <c r="D29" s="46">
        <v>15000</v>
      </c>
      <c r="E29" s="46">
        <f t="shared" si="10"/>
        <v>150</v>
      </c>
      <c r="F29" s="46">
        <v>0</v>
      </c>
      <c r="G29" s="46">
        <f t="shared" si="8"/>
        <v>14850</v>
      </c>
      <c r="H29" s="46">
        <v>14850</v>
      </c>
      <c r="I29" s="46">
        <f t="shared" si="9"/>
        <v>0</v>
      </c>
      <c r="J29" s="39"/>
      <c r="K29" s="39"/>
    </row>
    <row r="30" spans="1:11" ht="14.25" customHeight="1" x14ac:dyDescent="0.25">
      <c r="A30" s="41" t="s">
        <v>251</v>
      </c>
      <c r="B30" s="41" t="s">
        <v>162</v>
      </c>
      <c r="C30" s="42" t="s">
        <v>252</v>
      </c>
      <c r="D30" s="46">
        <v>35000</v>
      </c>
      <c r="E30" s="46">
        <f t="shared" si="10"/>
        <v>350</v>
      </c>
      <c r="F30" s="46">
        <v>-5000</v>
      </c>
      <c r="G30" s="46">
        <f t="shared" si="8"/>
        <v>29650</v>
      </c>
      <c r="H30" s="46">
        <v>29650</v>
      </c>
      <c r="I30" s="46">
        <f t="shared" si="9"/>
        <v>0</v>
      </c>
      <c r="J30" s="39"/>
      <c r="K30" s="39"/>
    </row>
    <row r="31" spans="1:11" ht="14.25" customHeight="1" x14ac:dyDescent="0.25">
      <c r="A31" s="41" t="s">
        <v>258</v>
      </c>
      <c r="B31" s="41" t="s">
        <v>162</v>
      </c>
      <c r="C31" s="42" t="s">
        <v>171</v>
      </c>
      <c r="D31" s="46">
        <v>35000</v>
      </c>
      <c r="E31" s="46">
        <f t="shared" si="10"/>
        <v>350</v>
      </c>
      <c r="F31" s="46">
        <v>31062</v>
      </c>
      <c r="G31" s="46">
        <f t="shared" si="8"/>
        <v>65712</v>
      </c>
      <c r="H31" s="46">
        <v>65712</v>
      </c>
      <c r="I31" s="46">
        <f t="shared" si="9"/>
        <v>0</v>
      </c>
      <c r="J31" s="39"/>
      <c r="K31" s="39"/>
    </row>
    <row r="32" spans="1:11" ht="14.25" customHeight="1" x14ac:dyDescent="0.25">
      <c r="A32" s="41" t="s">
        <v>259</v>
      </c>
      <c r="B32" s="41" t="s">
        <v>162</v>
      </c>
      <c r="C32" s="42" t="s">
        <v>260</v>
      </c>
      <c r="D32" s="46">
        <v>22000</v>
      </c>
      <c r="E32" s="46">
        <f t="shared" si="10"/>
        <v>220</v>
      </c>
      <c r="F32" s="46">
        <v>0</v>
      </c>
      <c r="G32" s="46">
        <f t="shared" si="8"/>
        <v>21780</v>
      </c>
      <c r="H32" s="46">
        <v>21780</v>
      </c>
      <c r="I32" s="46">
        <f t="shared" si="9"/>
        <v>0</v>
      </c>
      <c r="J32" s="39"/>
      <c r="K32" s="39"/>
    </row>
    <row r="33" spans="1:11" ht="14.25" customHeight="1" x14ac:dyDescent="0.25">
      <c r="A33" s="40"/>
      <c r="B33" s="40"/>
      <c r="C33" s="48"/>
      <c r="D33" s="49">
        <f t="shared" ref="D33:I33" si="11">SUM(D25:D32)</f>
        <v>265500</v>
      </c>
      <c r="E33" s="49">
        <f t="shared" si="11"/>
        <v>2655</v>
      </c>
      <c r="F33" s="49">
        <f t="shared" si="11"/>
        <v>88186</v>
      </c>
      <c r="G33" s="49">
        <f t="shared" si="11"/>
        <v>351031</v>
      </c>
      <c r="H33" s="49">
        <f t="shared" si="11"/>
        <v>351031</v>
      </c>
      <c r="I33" s="49">
        <f t="shared" si="11"/>
        <v>0</v>
      </c>
      <c r="J33" s="39"/>
      <c r="K33" s="39"/>
    </row>
    <row r="34" spans="1:11" ht="14.25" customHeight="1" x14ac:dyDescent="0.25">
      <c r="A34" s="41"/>
      <c r="B34" s="41"/>
      <c r="C34" s="42"/>
      <c r="D34" s="41"/>
      <c r="E34" s="41"/>
      <c r="F34" s="41"/>
      <c r="G34" s="46"/>
      <c r="H34" s="41"/>
      <c r="I34" s="46"/>
      <c r="J34" s="39"/>
      <c r="K34" s="39"/>
    </row>
    <row r="35" spans="1:11" ht="14.25" customHeight="1" x14ac:dyDescent="0.25">
      <c r="A35" s="40" t="s">
        <v>78</v>
      </c>
      <c r="B35" s="41"/>
      <c r="C35" s="42"/>
      <c r="D35" s="41"/>
      <c r="E35" s="41"/>
      <c r="F35" s="41"/>
      <c r="G35" s="46">
        <f t="shared" ref="G35:G43" si="12">SUM(D35,F35)-E35</f>
        <v>0</v>
      </c>
      <c r="H35" s="41"/>
      <c r="I35" s="46">
        <f t="shared" ref="I35:I43" si="13">G35-H35</f>
        <v>0</v>
      </c>
      <c r="J35" s="39"/>
      <c r="K35" s="39"/>
    </row>
    <row r="36" spans="1:11" ht="14.25" customHeight="1" x14ac:dyDescent="0.25">
      <c r="A36" s="41" t="s">
        <v>236</v>
      </c>
      <c r="B36" s="41" t="s">
        <v>162</v>
      </c>
      <c r="C36" s="42" t="s">
        <v>207</v>
      </c>
      <c r="D36" s="46">
        <v>12272.727272727272</v>
      </c>
      <c r="E36" s="46">
        <f t="shared" ref="E36:E43" si="14">D36*0.01</f>
        <v>122.72727272727272</v>
      </c>
      <c r="F36" s="46">
        <v>3000</v>
      </c>
      <c r="G36" s="46">
        <f t="shared" si="12"/>
        <v>15150</v>
      </c>
      <c r="H36" s="46">
        <v>15150</v>
      </c>
      <c r="I36" s="46">
        <f t="shared" si="13"/>
        <v>0</v>
      </c>
      <c r="J36" s="39"/>
      <c r="K36" s="39"/>
    </row>
    <row r="37" spans="1:11" ht="14.25" customHeight="1" x14ac:dyDescent="0.25">
      <c r="A37" s="41" t="s">
        <v>237</v>
      </c>
      <c r="B37" s="41" t="s">
        <v>162</v>
      </c>
      <c r="C37" s="42" t="s">
        <v>191</v>
      </c>
      <c r="D37" s="46">
        <v>10909.090909090908</v>
      </c>
      <c r="E37" s="46">
        <f t="shared" si="14"/>
        <v>109.09090909090908</v>
      </c>
      <c r="F37" s="46">
        <v>3000</v>
      </c>
      <c r="G37" s="46">
        <f t="shared" si="12"/>
        <v>13799.999999999998</v>
      </c>
      <c r="H37" s="46">
        <v>13800</v>
      </c>
      <c r="I37" s="46">
        <f t="shared" si="13"/>
        <v>0</v>
      </c>
      <c r="J37" s="39"/>
      <c r="K37" s="39"/>
    </row>
    <row r="38" spans="1:11" ht="14.25" customHeight="1" x14ac:dyDescent="0.25">
      <c r="A38" s="41" t="s">
        <v>226</v>
      </c>
      <c r="B38" s="41" t="s">
        <v>53</v>
      </c>
      <c r="C38" s="42" t="s">
        <v>227</v>
      </c>
      <c r="D38" s="46">
        <v>10500</v>
      </c>
      <c r="E38" s="46">
        <f t="shared" si="14"/>
        <v>105</v>
      </c>
      <c r="F38" s="46">
        <v>3000</v>
      </c>
      <c r="G38" s="46">
        <f t="shared" si="12"/>
        <v>13395</v>
      </c>
      <c r="H38" s="46">
        <v>13395</v>
      </c>
      <c r="I38" s="46">
        <f t="shared" si="13"/>
        <v>0</v>
      </c>
      <c r="J38" s="39"/>
      <c r="K38" s="39"/>
    </row>
    <row r="39" spans="1:11" ht="14.25" customHeight="1" x14ac:dyDescent="0.25">
      <c r="A39" s="41" t="s">
        <v>228</v>
      </c>
      <c r="B39" s="41" t="s">
        <v>162</v>
      </c>
      <c r="C39" s="42" t="s">
        <v>257</v>
      </c>
      <c r="D39" s="46">
        <v>9545.4545454545441</v>
      </c>
      <c r="E39" s="46">
        <f t="shared" si="14"/>
        <v>95.454545454545439</v>
      </c>
      <c r="F39" s="46">
        <v>3000</v>
      </c>
      <c r="G39" s="46">
        <f t="shared" si="12"/>
        <v>12449.999999999998</v>
      </c>
      <c r="H39" s="46">
        <v>12450</v>
      </c>
      <c r="I39" s="46">
        <f t="shared" si="13"/>
        <v>0</v>
      </c>
      <c r="J39" s="39"/>
      <c r="K39" s="39"/>
    </row>
    <row r="40" spans="1:11" ht="14.25" customHeight="1" x14ac:dyDescent="0.25">
      <c r="A40" s="41" t="s">
        <v>234</v>
      </c>
      <c r="B40" s="41" t="s">
        <v>95</v>
      </c>
      <c r="C40" s="42" t="s">
        <v>235</v>
      </c>
      <c r="D40" s="46">
        <v>10363.636363636362</v>
      </c>
      <c r="E40" s="46">
        <f t="shared" si="14"/>
        <v>103.63636363636363</v>
      </c>
      <c r="F40" s="46">
        <v>3000</v>
      </c>
      <c r="G40" s="46">
        <f t="shared" si="12"/>
        <v>13259.999999999998</v>
      </c>
      <c r="H40" s="46">
        <v>13260</v>
      </c>
      <c r="I40" s="46">
        <f t="shared" si="13"/>
        <v>0</v>
      </c>
      <c r="J40" s="39"/>
      <c r="K40" s="39"/>
    </row>
    <row r="41" spans="1:11" ht="14.25" customHeight="1" x14ac:dyDescent="0.25">
      <c r="A41" s="41" t="s">
        <v>251</v>
      </c>
      <c r="B41" s="41" t="s">
        <v>162</v>
      </c>
      <c r="C41" s="42" t="s">
        <v>252</v>
      </c>
      <c r="D41" s="46">
        <v>0</v>
      </c>
      <c r="E41" s="46">
        <f t="shared" si="14"/>
        <v>0</v>
      </c>
      <c r="F41" s="46">
        <v>0</v>
      </c>
      <c r="G41" s="46">
        <f t="shared" si="12"/>
        <v>0</v>
      </c>
      <c r="H41" s="46">
        <v>0</v>
      </c>
      <c r="I41" s="46">
        <f t="shared" si="13"/>
        <v>0</v>
      </c>
      <c r="J41" s="39"/>
      <c r="K41" s="39"/>
    </row>
    <row r="42" spans="1:11" ht="14.25" customHeight="1" x14ac:dyDescent="0.25">
      <c r="A42" s="41" t="s">
        <v>258</v>
      </c>
      <c r="B42" s="41" t="s">
        <v>162</v>
      </c>
      <c r="C42" s="42" t="s">
        <v>171</v>
      </c>
      <c r="D42" s="46">
        <v>6363.636363636364</v>
      </c>
      <c r="E42" s="46">
        <f t="shared" si="14"/>
        <v>63.63636363636364</v>
      </c>
      <c r="F42" s="46">
        <v>3000</v>
      </c>
      <c r="G42" s="46">
        <f t="shared" si="12"/>
        <v>9300</v>
      </c>
      <c r="H42" s="46">
        <v>9300</v>
      </c>
      <c r="I42" s="46">
        <f t="shared" si="13"/>
        <v>0</v>
      </c>
      <c r="J42" s="39"/>
      <c r="K42" s="39"/>
    </row>
    <row r="43" spans="1:11" ht="14.25" customHeight="1" x14ac:dyDescent="0.25">
      <c r="A43" s="41" t="s">
        <v>259</v>
      </c>
      <c r="B43" s="41" t="s">
        <v>162</v>
      </c>
      <c r="C43" s="42" t="s">
        <v>260</v>
      </c>
      <c r="D43" s="46">
        <v>6000</v>
      </c>
      <c r="E43" s="46">
        <f t="shared" si="14"/>
        <v>60</v>
      </c>
      <c r="F43" s="46">
        <v>3000</v>
      </c>
      <c r="G43" s="46">
        <f t="shared" si="12"/>
        <v>8940</v>
      </c>
      <c r="H43" s="46">
        <v>8940</v>
      </c>
      <c r="I43" s="46">
        <f t="shared" si="13"/>
        <v>0</v>
      </c>
      <c r="J43" s="39"/>
      <c r="K43" s="39"/>
    </row>
    <row r="44" spans="1:11" ht="14.25" customHeight="1" x14ac:dyDescent="0.25">
      <c r="A44" s="40"/>
      <c r="B44" s="40"/>
      <c r="C44" s="48"/>
      <c r="D44" s="49">
        <f t="shared" ref="D44:I44" si="15">SUM(D36:D43)</f>
        <v>65954.545454545441</v>
      </c>
      <c r="E44" s="49">
        <f t="shared" si="15"/>
        <v>659.5454545454545</v>
      </c>
      <c r="F44" s="49">
        <f t="shared" si="15"/>
        <v>21000</v>
      </c>
      <c r="G44" s="49">
        <f t="shared" si="15"/>
        <v>86295</v>
      </c>
      <c r="H44" s="49">
        <f t="shared" si="15"/>
        <v>86295</v>
      </c>
      <c r="I44" s="49">
        <f t="shared" si="15"/>
        <v>0</v>
      </c>
      <c r="J44" s="39"/>
      <c r="K44" s="39"/>
    </row>
    <row r="45" spans="1:11" ht="14.25" customHeight="1" x14ac:dyDescent="0.25">
      <c r="A45" s="41"/>
      <c r="B45" s="41"/>
      <c r="C45" s="42"/>
      <c r="D45" s="41"/>
      <c r="E45" s="41"/>
      <c r="F45" s="41"/>
      <c r="G45" s="46"/>
      <c r="H45" s="41"/>
      <c r="I45" s="46"/>
      <c r="J45" s="39"/>
      <c r="K45" s="39"/>
    </row>
    <row r="46" spans="1:11" ht="14.25" customHeight="1" x14ac:dyDescent="0.25">
      <c r="A46" s="40" t="s">
        <v>79</v>
      </c>
      <c r="B46" s="41"/>
      <c r="C46" s="42"/>
      <c r="D46" s="41"/>
      <c r="E46" s="41"/>
      <c r="F46" s="41"/>
      <c r="G46" s="46">
        <f t="shared" ref="G46:G54" si="16">SUM(D46,F46)-E46</f>
        <v>0</v>
      </c>
      <c r="H46" s="41"/>
      <c r="I46" s="46">
        <f t="shared" ref="I46:I54" si="17">G46-H46</f>
        <v>0</v>
      </c>
      <c r="J46" s="39"/>
      <c r="K46" s="39"/>
    </row>
    <row r="47" spans="1:11" ht="14.25" customHeight="1" x14ac:dyDescent="0.25">
      <c r="A47" s="41" t="s">
        <v>236</v>
      </c>
      <c r="B47" s="41" t="s">
        <v>162</v>
      </c>
      <c r="C47" s="42" t="s">
        <v>207</v>
      </c>
      <c r="D47" s="46">
        <v>45000</v>
      </c>
      <c r="E47" s="46">
        <f t="shared" ref="E47:E54" si="18">D47*0.01</f>
        <v>450</v>
      </c>
      <c r="F47" s="46">
        <v>0</v>
      </c>
      <c r="G47" s="46">
        <f t="shared" si="16"/>
        <v>44550</v>
      </c>
      <c r="H47" s="46">
        <v>44550</v>
      </c>
      <c r="I47" s="46">
        <f t="shared" si="17"/>
        <v>0</v>
      </c>
      <c r="J47" s="39"/>
      <c r="K47" s="39"/>
    </row>
    <row r="48" spans="1:11" ht="14.25" customHeight="1" x14ac:dyDescent="0.25">
      <c r="A48" s="41" t="s">
        <v>237</v>
      </c>
      <c r="B48" s="41" t="s">
        <v>162</v>
      </c>
      <c r="C48" s="42" t="s">
        <v>191</v>
      </c>
      <c r="D48" s="46">
        <v>40000</v>
      </c>
      <c r="E48" s="46">
        <f t="shared" si="18"/>
        <v>400</v>
      </c>
      <c r="F48" s="46">
        <v>0</v>
      </c>
      <c r="G48" s="46">
        <f t="shared" si="16"/>
        <v>39600</v>
      </c>
      <c r="H48" s="46">
        <v>39600</v>
      </c>
      <c r="I48" s="46">
        <f t="shared" si="17"/>
        <v>0</v>
      </c>
      <c r="J48" s="39"/>
      <c r="K48" s="39"/>
    </row>
    <row r="49" spans="1:11" ht="14.25" customHeight="1" x14ac:dyDescent="0.25">
      <c r="A49" s="41" t="s">
        <v>226</v>
      </c>
      <c r="B49" s="41" t="s">
        <v>53</v>
      </c>
      <c r="C49" s="42" t="s">
        <v>227</v>
      </c>
      <c r="D49" s="46">
        <v>38500</v>
      </c>
      <c r="E49" s="46">
        <f t="shared" si="18"/>
        <v>385</v>
      </c>
      <c r="F49" s="46">
        <v>0</v>
      </c>
      <c r="G49" s="46">
        <f t="shared" si="16"/>
        <v>38115</v>
      </c>
      <c r="H49" s="46">
        <v>38115</v>
      </c>
      <c r="I49" s="46">
        <f t="shared" si="17"/>
        <v>0</v>
      </c>
      <c r="J49" s="39"/>
      <c r="K49" s="39"/>
    </row>
    <row r="50" spans="1:11" ht="14.25" customHeight="1" x14ac:dyDescent="0.25">
      <c r="A50" s="41" t="s">
        <v>228</v>
      </c>
      <c r="B50" s="41" t="s">
        <v>162</v>
      </c>
      <c r="C50" s="42" t="s">
        <v>257</v>
      </c>
      <c r="D50" s="46">
        <v>35000</v>
      </c>
      <c r="E50" s="46">
        <f t="shared" si="18"/>
        <v>350</v>
      </c>
      <c r="F50" s="46">
        <v>0</v>
      </c>
      <c r="G50" s="46">
        <f t="shared" si="16"/>
        <v>34650</v>
      </c>
      <c r="H50" s="46">
        <v>34650</v>
      </c>
      <c r="I50" s="46">
        <f t="shared" si="17"/>
        <v>0</v>
      </c>
      <c r="J50" s="39"/>
      <c r="K50" s="39"/>
    </row>
    <row r="51" spans="1:11" ht="14.25" customHeight="1" x14ac:dyDescent="0.25">
      <c r="A51" s="41" t="s">
        <v>234</v>
      </c>
      <c r="B51" s="41" t="s">
        <v>162</v>
      </c>
      <c r="C51" s="42" t="s">
        <v>261</v>
      </c>
      <c r="D51" s="46">
        <v>38500</v>
      </c>
      <c r="E51" s="46">
        <f t="shared" si="18"/>
        <v>385</v>
      </c>
      <c r="F51" s="46">
        <v>0</v>
      </c>
      <c r="G51" s="46">
        <f t="shared" si="16"/>
        <v>38115</v>
      </c>
      <c r="H51" s="46">
        <v>38115</v>
      </c>
      <c r="I51" s="46">
        <f t="shared" si="17"/>
        <v>0</v>
      </c>
      <c r="J51" s="39"/>
      <c r="K51" s="39"/>
    </row>
    <row r="52" spans="1:11" ht="14.25" customHeight="1" x14ac:dyDescent="0.25">
      <c r="A52" s="41" t="s">
        <v>251</v>
      </c>
      <c r="B52" s="41" t="s">
        <v>162</v>
      </c>
      <c r="C52" s="42" t="s">
        <v>252</v>
      </c>
      <c r="D52" s="46">
        <v>18000</v>
      </c>
      <c r="E52" s="46">
        <f t="shared" si="18"/>
        <v>180</v>
      </c>
      <c r="F52" s="46">
        <v>0</v>
      </c>
      <c r="G52" s="46">
        <f t="shared" si="16"/>
        <v>17820</v>
      </c>
      <c r="H52" s="46">
        <v>17820</v>
      </c>
      <c r="I52" s="46">
        <f t="shared" si="17"/>
        <v>0</v>
      </c>
      <c r="J52" s="39"/>
      <c r="K52" s="39"/>
    </row>
    <row r="53" spans="1:11" ht="14.25" customHeight="1" x14ac:dyDescent="0.25">
      <c r="A53" s="41" t="s">
        <v>258</v>
      </c>
      <c r="B53" s="41" t="s">
        <v>162</v>
      </c>
      <c r="C53" s="42" t="s">
        <v>171</v>
      </c>
      <c r="D53" s="46">
        <v>35000</v>
      </c>
      <c r="E53" s="46">
        <f t="shared" si="18"/>
        <v>350</v>
      </c>
      <c r="F53" s="46">
        <v>0</v>
      </c>
      <c r="G53" s="46">
        <f t="shared" si="16"/>
        <v>34650</v>
      </c>
      <c r="H53" s="46">
        <v>34650</v>
      </c>
      <c r="I53" s="46">
        <f t="shared" si="17"/>
        <v>0</v>
      </c>
      <c r="J53" s="39"/>
      <c r="K53" s="39"/>
    </row>
    <row r="54" spans="1:11" ht="14.25" customHeight="1" x14ac:dyDescent="0.25">
      <c r="A54" s="41" t="s">
        <v>259</v>
      </c>
      <c r="B54" s="41" t="s">
        <v>162</v>
      </c>
      <c r="C54" s="42" t="s">
        <v>260</v>
      </c>
      <c r="D54" s="46">
        <v>22000</v>
      </c>
      <c r="E54" s="46">
        <f t="shared" si="18"/>
        <v>220</v>
      </c>
      <c r="F54" s="46">
        <v>0</v>
      </c>
      <c r="G54" s="46">
        <f t="shared" si="16"/>
        <v>21780</v>
      </c>
      <c r="H54" s="46">
        <v>21780</v>
      </c>
      <c r="I54" s="46">
        <f t="shared" si="17"/>
        <v>0</v>
      </c>
      <c r="J54" s="39"/>
      <c r="K54" s="39"/>
    </row>
    <row r="55" spans="1:11" ht="14.25" customHeight="1" x14ac:dyDescent="0.25">
      <c r="A55" s="40"/>
      <c r="B55" s="40"/>
      <c r="C55" s="48"/>
      <c r="D55" s="49">
        <f t="shared" ref="D55:I55" si="19">SUM(D47:D54)</f>
        <v>272000</v>
      </c>
      <c r="E55" s="49">
        <f t="shared" si="19"/>
        <v>2720</v>
      </c>
      <c r="F55" s="49">
        <f t="shared" si="19"/>
        <v>0</v>
      </c>
      <c r="G55" s="49">
        <f t="shared" si="19"/>
        <v>269280</v>
      </c>
      <c r="H55" s="49">
        <f t="shared" si="19"/>
        <v>269280</v>
      </c>
      <c r="I55" s="49">
        <f t="shared" si="19"/>
        <v>0</v>
      </c>
      <c r="J55" s="39"/>
      <c r="K55" s="39"/>
    </row>
    <row r="56" spans="1:11" ht="14.25" customHeight="1" x14ac:dyDescent="0.25">
      <c r="A56" s="41"/>
      <c r="B56" s="41"/>
      <c r="C56" s="42"/>
      <c r="D56" s="41"/>
      <c r="E56" s="41"/>
      <c r="F56" s="41"/>
      <c r="G56" s="46"/>
      <c r="H56" s="41"/>
      <c r="I56" s="46"/>
      <c r="J56" s="39"/>
      <c r="K56" s="39"/>
    </row>
    <row r="57" spans="1:11" ht="14.25" customHeight="1" x14ac:dyDescent="0.25">
      <c r="A57" s="40" t="s">
        <v>97</v>
      </c>
      <c r="B57" s="41"/>
      <c r="C57" s="42"/>
      <c r="D57" s="41"/>
      <c r="E57" s="41"/>
      <c r="F57" s="41"/>
      <c r="G57" s="46">
        <f t="shared" ref="G57:G65" si="20">SUM(D57,F57)-E57</f>
        <v>0</v>
      </c>
      <c r="H57" s="41"/>
      <c r="I57" s="46">
        <f t="shared" ref="I57:I65" si="21">G57-H57</f>
        <v>0</v>
      </c>
      <c r="J57" s="39"/>
      <c r="K57" s="39"/>
    </row>
    <row r="58" spans="1:11" ht="14.25" customHeight="1" x14ac:dyDescent="0.25">
      <c r="A58" s="41" t="s">
        <v>236</v>
      </c>
      <c r="B58" s="41" t="s">
        <v>162</v>
      </c>
      <c r="C58" s="42" t="s">
        <v>207</v>
      </c>
      <c r="D58" s="46">
        <v>50000</v>
      </c>
      <c r="E58" s="46">
        <f t="shared" ref="E58:E65" si="22">D58*0.01</f>
        <v>500</v>
      </c>
      <c r="F58" s="46">
        <v>0</v>
      </c>
      <c r="G58" s="46">
        <f t="shared" si="20"/>
        <v>49500</v>
      </c>
      <c r="H58" s="46">
        <v>49500</v>
      </c>
      <c r="I58" s="46">
        <f t="shared" si="21"/>
        <v>0</v>
      </c>
      <c r="J58" s="39"/>
      <c r="K58" s="39"/>
    </row>
    <row r="59" spans="1:11" ht="14.25" customHeight="1" x14ac:dyDescent="0.25">
      <c r="A59" s="41" t="s">
        <v>237</v>
      </c>
      <c r="B59" s="41" t="s">
        <v>162</v>
      </c>
      <c r="C59" s="42" t="s">
        <v>191</v>
      </c>
      <c r="D59" s="46">
        <v>45000</v>
      </c>
      <c r="E59" s="46">
        <f t="shared" si="22"/>
        <v>450</v>
      </c>
      <c r="F59" s="46">
        <v>0</v>
      </c>
      <c r="G59" s="46">
        <f t="shared" si="20"/>
        <v>44550</v>
      </c>
      <c r="H59" s="46">
        <v>44550</v>
      </c>
      <c r="I59" s="46">
        <f t="shared" si="21"/>
        <v>0</v>
      </c>
      <c r="J59" s="39"/>
      <c r="K59" s="39"/>
    </row>
    <row r="60" spans="1:11" ht="14.25" customHeight="1" x14ac:dyDescent="0.25">
      <c r="A60" s="41" t="s">
        <v>226</v>
      </c>
      <c r="B60" s="41" t="s">
        <v>53</v>
      </c>
      <c r="C60" s="42" t="s">
        <v>227</v>
      </c>
      <c r="D60" s="46">
        <v>42000</v>
      </c>
      <c r="E60" s="46">
        <f t="shared" si="22"/>
        <v>420</v>
      </c>
      <c r="F60" s="46">
        <v>0</v>
      </c>
      <c r="G60" s="46">
        <f t="shared" si="20"/>
        <v>41580</v>
      </c>
      <c r="H60" s="46">
        <v>41580</v>
      </c>
      <c r="I60" s="46">
        <f t="shared" si="21"/>
        <v>0</v>
      </c>
      <c r="J60" s="39"/>
      <c r="K60" s="39"/>
    </row>
    <row r="61" spans="1:11" ht="14.25" customHeight="1" x14ac:dyDescent="0.25">
      <c r="A61" s="41" t="s">
        <v>228</v>
      </c>
      <c r="B61" s="41" t="s">
        <v>162</v>
      </c>
      <c r="C61" s="42" t="s">
        <v>257</v>
      </c>
      <c r="D61" s="46">
        <v>40000</v>
      </c>
      <c r="E61" s="46">
        <f t="shared" si="22"/>
        <v>400</v>
      </c>
      <c r="F61" s="46">
        <v>0</v>
      </c>
      <c r="G61" s="46">
        <f t="shared" si="20"/>
        <v>39600</v>
      </c>
      <c r="H61" s="46">
        <v>39600</v>
      </c>
      <c r="I61" s="46">
        <f t="shared" si="21"/>
        <v>0</v>
      </c>
      <c r="J61" s="39"/>
      <c r="K61" s="39"/>
    </row>
    <row r="62" spans="1:11" ht="14.25" customHeight="1" x14ac:dyDescent="0.25">
      <c r="A62" s="41" t="s">
        <v>234</v>
      </c>
      <c r="B62" s="41" t="s">
        <v>162</v>
      </c>
      <c r="C62" s="42" t="s">
        <v>261</v>
      </c>
      <c r="D62" s="46">
        <v>42000</v>
      </c>
      <c r="E62" s="46">
        <f t="shared" si="22"/>
        <v>420</v>
      </c>
      <c r="F62" s="46">
        <v>0</v>
      </c>
      <c r="G62" s="46">
        <f t="shared" si="20"/>
        <v>41580</v>
      </c>
      <c r="H62" s="46">
        <v>41580</v>
      </c>
      <c r="I62" s="46">
        <f t="shared" si="21"/>
        <v>0</v>
      </c>
      <c r="J62" s="39"/>
      <c r="K62" s="39"/>
    </row>
    <row r="63" spans="1:11" ht="14.25" customHeight="1" x14ac:dyDescent="0.25">
      <c r="A63" s="41" t="s">
        <v>251</v>
      </c>
      <c r="B63" s="41" t="s">
        <v>162</v>
      </c>
      <c r="C63" s="42" t="s">
        <v>252</v>
      </c>
      <c r="D63" s="46">
        <v>18000</v>
      </c>
      <c r="E63" s="46">
        <f t="shared" si="22"/>
        <v>180</v>
      </c>
      <c r="F63" s="46">
        <v>0</v>
      </c>
      <c r="G63" s="46">
        <f t="shared" si="20"/>
        <v>17820</v>
      </c>
      <c r="H63" s="46">
        <v>17820</v>
      </c>
      <c r="I63" s="46">
        <f t="shared" si="21"/>
        <v>0</v>
      </c>
      <c r="J63" s="39"/>
      <c r="K63" s="39"/>
    </row>
    <row r="64" spans="1:11" ht="14.25" customHeight="1" x14ac:dyDescent="0.25">
      <c r="A64" s="41" t="s">
        <v>258</v>
      </c>
      <c r="B64" s="41" t="s">
        <v>162</v>
      </c>
      <c r="C64" s="42" t="s">
        <v>171</v>
      </c>
      <c r="D64" s="46">
        <v>35000</v>
      </c>
      <c r="E64" s="46">
        <f t="shared" si="22"/>
        <v>350</v>
      </c>
      <c r="F64" s="46">
        <v>0</v>
      </c>
      <c r="G64" s="46">
        <f t="shared" si="20"/>
        <v>34650</v>
      </c>
      <c r="H64" s="46">
        <v>34650</v>
      </c>
      <c r="I64" s="46">
        <f t="shared" si="21"/>
        <v>0</v>
      </c>
      <c r="J64" s="39"/>
      <c r="K64" s="39"/>
    </row>
    <row r="65" spans="1:11" ht="14.25" customHeight="1" x14ac:dyDescent="0.25">
      <c r="A65" s="41" t="s">
        <v>259</v>
      </c>
      <c r="B65" s="41" t="s">
        <v>162</v>
      </c>
      <c r="C65" s="42" t="s">
        <v>260</v>
      </c>
      <c r="D65" s="46">
        <v>25000</v>
      </c>
      <c r="E65" s="46">
        <f t="shared" si="22"/>
        <v>250</v>
      </c>
      <c r="F65" s="46">
        <v>0</v>
      </c>
      <c r="G65" s="46">
        <f t="shared" si="20"/>
        <v>24750</v>
      </c>
      <c r="H65" s="46">
        <v>24750</v>
      </c>
      <c r="I65" s="46">
        <f t="shared" si="21"/>
        <v>0</v>
      </c>
      <c r="J65" s="39"/>
      <c r="K65" s="39"/>
    </row>
    <row r="66" spans="1:11" ht="14.25" customHeight="1" x14ac:dyDescent="0.25">
      <c r="A66" s="40"/>
      <c r="B66" s="40"/>
      <c r="C66" s="48"/>
      <c r="D66" s="49">
        <f t="shared" ref="D66:I66" si="23">SUM(D58:D65)</f>
        <v>297000</v>
      </c>
      <c r="E66" s="49">
        <f t="shared" si="23"/>
        <v>2970</v>
      </c>
      <c r="F66" s="49">
        <f t="shared" si="23"/>
        <v>0</v>
      </c>
      <c r="G66" s="49">
        <f t="shared" si="23"/>
        <v>294030</v>
      </c>
      <c r="H66" s="49">
        <f t="shared" si="23"/>
        <v>294030</v>
      </c>
      <c r="I66" s="49">
        <f t="shared" si="23"/>
        <v>0</v>
      </c>
      <c r="J66" s="39"/>
      <c r="K66" s="39"/>
    </row>
    <row r="67" spans="1:11" ht="14.25" customHeight="1" x14ac:dyDescent="0.25">
      <c r="A67" s="41"/>
      <c r="B67" s="41"/>
      <c r="C67" s="42"/>
      <c r="D67" s="41"/>
      <c r="E67" s="41"/>
      <c r="F67" s="41"/>
      <c r="G67" s="46"/>
      <c r="H67" s="41"/>
      <c r="I67" s="46"/>
      <c r="J67" s="39"/>
      <c r="K67" s="39"/>
    </row>
    <row r="68" spans="1:11" ht="14.25" customHeight="1" x14ac:dyDescent="0.25">
      <c r="A68" s="40" t="s">
        <v>101</v>
      </c>
      <c r="B68" s="41"/>
      <c r="C68" s="42"/>
      <c r="D68" s="41"/>
      <c r="E68" s="41"/>
      <c r="F68" s="41"/>
      <c r="G68" s="46">
        <f t="shared" ref="G68:G76" si="24">SUM(D68,F68)-E68</f>
        <v>0</v>
      </c>
      <c r="H68" s="41"/>
      <c r="I68" s="46">
        <f t="shared" ref="I68:I76" si="25">G68-H68</f>
        <v>0</v>
      </c>
      <c r="J68" s="39"/>
      <c r="K68" s="39"/>
    </row>
    <row r="69" spans="1:11" ht="14.25" customHeight="1" x14ac:dyDescent="0.25">
      <c r="A69" s="41" t="s">
        <v>236</v>
      </c>
      <c r="B69" s="41" t="s">
        <v>162</v>
      </c>
      <c r="C69" s="42" t="s">
        <v>207</v>
      </c>
      <c r="D69" s="46">
        <v>50000</v>
      </c>
      <c r="E69" s="46">
        <f t="shared" ref="E69:E76" si="26">D69*0.01</f>
        <v>500</v>
      </c>
      <c r="F69" s="46">
        <v>0</v>
      </c>
      <c r="G69" s="46">
        <f t="shared" si="24"/>
        <v>49500</v>
      </c>
      <c r="H69" s="46">
        <v>49500</v>
      </c>
      <c r="I69" s="46">
        <f t="shared" si="25"/>
        <v>0</v>
      </c>
      <c r="J69" s="39"/>
      <c r="K69" s="39"/>
    </row>
    <row r="70" spans="1:11" ht="14.25" customHeight="1" x14ac:dyDescent="0.25">
      <c r="A70" s="41" t="s">
        <v>237</v>
      </c>
      <c r="B70" s="41" t="s">
        <v>162</v>
      </c>
      <c r="C70" s="42" t="s">
        <v>191</v>
      </c>
      <c r="D70" s="46">
        <v>45000</v>
      </c>
      <c r="E70" s="46">
        <f t="shared" si="26"/>
        <v>450</v>
      </c>
      <c r="F70" s="46">
        <v>0</v>
      </c>
      <c r="G70" s="46">
        <f t="shared" si="24"/>
        <v>44550</v>
      </c>
      <c r="H70" s="46">
        <v>44550</v>
      </c>
      <c r="I70" s="46">
        <f t="shared" si="25"/>
        <v>0</v>
      </c>
      <c r="J70" s="39"/>
      <c r="K70" s="39"/>
    </row>
    <row r="71" spans="1:11" ht="14.25" customHeight="1" x14ac:dyDescent="0.25">
      <c r="A71" s="41" t="s">
        <v>226</v>
      </c>
      <c r="B71" s="41" t="s">
        <v>53</v>
      </c>
      <c r="C71" s="42" t="s">
        <v>227</v>
      </c>
      <c r="D71" s="46">
        <v>42000</v>
      </c>
      <c r="E71" s="46">
        <f t="shared" si="26"/>
        <v>420</v>
      </c>
      <c r="F71" s="46">
        <v>0</v>
      </c>
      <c r="G71" s="46">
        <f t="shared" si="24"/>
        <v>41580</v>
      </c>
      <c r="H71" s="46">
        <v>41580</v>
      </c>
      <c r="I71" s="46">
        <f t="shared" si="25"/>
        <v>0</v>
      </c>
      <c r="J71" s="39"/>
      <c r="K71" s="39"/>
    </row>
    <row r="72" spans="1:11" ht="14.25" customHeight="1" x14ac:dyDescent="0.25">
      <c r="A72" s="41" t="s">
        <v>228</v>
      </c>
      <c r="B72" s="41" t="s">
        <v>162</v>
      </c>
      <c r="C72" s="42" t="s">
        <v>257</v>
      </c>
      <c r="D72" s="46">
        <v>40000</v>
      </c>
      <c r="E72" s="46">
        <f t="shared" si="26"/>
        <v>400</v>
      </c>
      <c r="F72" s="46">
        <v>0</v>
      </c>
      <c r="G72" s="46">
        <f t="shared" si="24"/>
        <v>39600</v>
      </c>
      <c r="H72" s="46">
        <v>39600</v>
      </c>
      <c r="I72" s="46">
        <f t="shared" si="25"/>
        <v>0</v>
      </c>
      <c r="J72" s="39"/>
      <c r="K72" s="39"/>
    </row>
    <row r="73" spans="1:11" ht="14.25" customHeight="1" x14ac:dyDescent="0.25">
      <c r="A73" s="41" t="s">
        <v>234</v>
      </c>
      <c r="B73" s="41" t="s">
        <v>162</v>
      </c>
      <c r="C73" s="42" t="s">
        <v>261</v>
      </c>
      <c r="D73" s="46">
        <v>42000</v>
      </c>
      <c r="E73" s="46">
        <f t="shared" si="26"/>
        <v>420</v>
      </c>
      <c r="F73" s="46">
        <v>0</v>
      </c>
      <c r="G73" s="46">
        <f t="shared" si="24"/>
        <v>41580</v>
      </c>
      <c r="H73" s="46">
        <v>41580</v>
      </c>
      <c r="I73" s="46">
        <f t="shared" si="25"/>
        <v>0</v>
      </c>
      <c r="J73" s="39"/>
      <c r="K73" s="39"/>
    </row>
    <row r="74" spans="1:11" ht="14.25" customHeight="1" x14ac:dyDescent="0.25">
      <c r="A74" s="41" t="s">
        <v>251</v>
      </c>
      <c r="B74" s="41" t="s">
        <v>162</v>
      </c>
      <c r="C74" s="42" t="s">
        <v>252</v>
      </c>
      <c r="D74" s="46">
        <v>18000</v>
      </c>
      <c r="E74" s="46">
        <f t="shared" si="26"/>
        <v>180</v>
      </c>
      <c r="F74" s="46">
        <v>0</v>
      </c>
      <c r="G74" s="46">
        <f t="shared" si="24"/>
        <v>17820</v>
      </c>
      <c r="H74" s="46">
        <v>17820</v>
      </c>
      <c r="I74" s="46">
        <f t="shared" si="25"/>
        <v>0</v>
      </c>
      <c r="J74" s="39"/>
      <c r="K74" s="39"/>
    </row>
    <row r="75" spans="1:11" ht="14.25" customHeight="1" x14ac:dyDescent="0.25">
      <c r="A75" s="41" t="s">
        <v>258</v>
      </c>
      <c r="B75" s="41" t="s">
        <v>162</v>
      </c>
      <c r="C75" s="42" t="s">
        <v>171</v>
      </c>
      <c r="D75" s="46">
        <v>35000</v>
      </c>
      <c r="E75" s="46">
        <f t="shared" si="26"/>
        <v>350</v>
      </c>
      <c r="F75" s="46">
        <v>0</v>
      </c>
      <c r="G75" s="46">
        <f t="shared" si="24"/>
        <v>34650</v>
      </c>
      <c r="H75" s="46">
        <v>34650</v>
      </c>
      <c r="I75" s="46">
        <f t="shared" si="25"/>
        <v>0</v>
      </c>
      <c r="J75" s="39"/>
      <c r="K75" s="39"/>
    </row>
    <row r="76" spans="1:11" ht="14.25" customHeight="1" x14ac:dyDescent="0.25">
      <c r="A76" s="41" t="s">
        <v>259</v>
      </c>
      <c r="B76" s="41" t="s">
        <v>162</v>
      </c>
      <c r="C76" s="42" t="s">
        <v>260</v>
      </c>
      <c r="D76" s="46">
        <v>25000</v>
      </c>
      <c r="E76" s="46">
        <f t="shared" si="26"/>
        <v>250</v>
      </c>
      <c r="F76" s="46">
        <v>0</v>
      </c>
      <c r="G76" s="46">
        <f t="shared" si="24"/>
        <v>24750</v>
      </c>
      <c r="H76" s="46">
        <v>24750</v>
      </c>
      <c r="I76" s="46">
        <f t="shared" si="25"/>
        <v>0</v>
      </c>
      <c r="J76" s="39"/>
      <c r="K76" s="39"/>
    </row>
    <row r="77" spans="1:11" ht="14.25" customHeight="1" x14ac:dyDescent="0.25">
      <c r="A77" s="40"/>
      <c r="B77" s="40"/>
      <c r="C77" s="48"/>
      <c r="D77" s="49">
        <f t="shared" ref="D77:I77" si="27">SUM(D69:D76)</f>
        <v>297000</v>
      </c>
      <c r="E77" s="49">
        <f t="shared" si="27"/>
        <v>2970</v>
      </c>
      <c r="F77" s="49">
        <f t="shared" si="27"/>
        <v>0</v>
      </c>
      <c r="G77" s="49">
        <f t="shared" si="27"/>
        <v>294030</v>
      </c>
      <c r="H77" s="49">
        <f t="shared" si="27"/>
        <v>294030</v>
      </c>
      <c r="I77" s="49">
        <f t="shared" si="27"/>
        <v>0</v>
      </c>
      <c r="J77" s="39"/>
      <c r="K77" s="39"/>
    </row>
    <row r="78" spans="1:11" ht="14.25" customHeight="1" x14ac:dyDescent="0.25">
      <c r="A78" s="41"/>
      <c r="B78" s="41"/>
      <c r="C78" s="42"/>
      <c r="D78" s="41"/>
      <c r="E78" s="41"/>
      <c r="F78" s="41"/>
      <c r="G78" s="46"/>
      <c r="H78" s="41"/>
      <c r="I78" s="46"/>
      <c r="J78" s="39"/>
      <c r="K78" s="39"/>
    </row>
    <row r="79" spans="1:11" ht="14.25" customHeight="1" x14ac:dyDescent="0.25">
      <c r="A79" s="40" t="s">
        <v>104</v>
      </c>
      <c r="B79" s="41"/>
      <c r="C79" s="42"/>
      <c r="D79" s="41"/>
      <c r="E79" s="41"/>
      <c r="F79" s="41"/>
      <c r="G79" s="46">
        <f t="shared" ref="G79:G84" si="28">SUM(D79,F79)-E79</f>
        <v>0</v>
      </c>
      <c r="H79" s="41"/>
      <c r="I79" s="46">
        <f t="shared" ref="I79:I84" si="29">G79-H79</f>
        <v>0</v>
      </c>
      <c r="J79" s="39"/>
      <c r="K79" s="39"/>
    </row>
    <row r="80" spans="1:11" ht="14.25" customHeight="1" x14ac:dyDescent="0.25">
      <c r="A80" s="41" t="s">
        <v>236</v>
      </c>
      <c r="B80" s="41" t="s">
        <v>162</v>
      </c>
      <c r="C80" s="42" t="s">
        <v>207</v>
      </c>
      <c r="D80" s="46">
        <v>50000</v>
      </c>
      <c r="E80" s="46">
        <f t="shared" ref="E80:E84" si="30">D80*0.01</f>
        <v>500</v>
      </c>
      <c r="F80" s="46">
        <v>0</v>
      </c>
      <c r="G80" s="46">
        <f t="shared" si="28"/>
        <v>49500</v>
      </c>
      <c r="H80" s="46">
        <v>49500</v>
      </c>
      <c r="I80" s="46">
        <f t="shared" si="29"/>
        <v>0</v>
      </c>
      <c r="J80" s="39"/>
      <c r="K80" s="39"/>
    </row>
    <row r="81" spans="1:11" ht="14.25" customHeight="1" x14ac:dyDescent="0.25">
      <c r="A81" s="41" t="s">
        <v>237</v>
      </c>
      <c r="B81" s="41" t="s">
        <v>162</v>
      </c>
      <c r="C81" s="42" t="s">
        <v>191</v>
      </c>
      <c r="D81" s="46">
        <v>45000</v>
      </c>
      <c r="E81" s="46">
        <f t="shared" si="30"/>
        <v>450</v>
      </c>
      <c r="F81" s="46">
        <v>0</v>
      </c>
      <c r="G81" s="46">
        <f t="shared" si="28"/>
        <v>44550</v>
      </c>
      <c r="H81" s="46">
        <v>44550</v>
      </c>
      <c r="I81" s="46">
        <f t="shared" si="29"/>
        <v>0</v>
      </c>
      <c r="J81" s="39"/>
      <c r="K81" s="39"/>
    </row>
    <row r="82" spans="1:11" ht="14.25" customHeight="1" x14ac:dyDescent="0.25">
      <c r="A82" s="41" t="s">
        <v>228</v>
      </c>
      <c r="B82" s="41" t="s">
        <v>162</v>
      </c>
      <c r="C82" s="42" t="s">
        <v>257</v>
      </c>
      <c r="D82" s="46">
        <v>40000</v>
      </c>
      <c r="E82" s="46">
        <f t="shared" si="30"/>
        <v>400</v>
      </c>
      <c r="F82" s="46">
        <v>0</v>
      </c>
      <c r="G82" s="46">
        <f t="shared" si="28"/>
        <v>39600</v>
      </c>
      <c r="H82" s="46">
        <v>39600</v>
      </c>
      <c r="I82" s="46">
        <f t="shared" si="29"/>
        <v>0</v>
      </c>
      <c r="J82" s="39"/>
      <c r="K82" s="39"/>
    </row>
    <row r="83" spans="1:11" ht="14.25" customHeight="1" x14ac:dyDescent="0.25">
      <c r="A83" s="41" t="s">
        <v>226</v>
      </c>
      <c r="B83" s="41" t="s">
        <v>53</v>
      </c>
      <c r="C83" s="42" t="s">
        <v>227</v>
      </c>
      <c r="D83" s="46">
        <v>42000</v>
      </c>
      <c r="E83" s="46">
        <f t="shared" si="30"/>
        <v>420</v>
      </c>
      <c r="F83" s="46">
        <v>0</v>
      </c>
      <c r="G83" s="46">
        <f t="shared" si="28"/>
        <v>41580</v>
      </c>
      <c r="H83" s="46">
        <v>41580</v>
      </c>
      <c r="I83" s="46">
        <f t="shared" si="29"/>
        <v>0</v>
      </c>
      <c r="J83" s="39"/>
      <c r="K83" s="39"/>
    </row>
    <row r="84" spans="1:11" ht="14.25" customHeight="1" x14ac:dyDescent="0.25">
      <c r="A84" s="41" t="s">
        <v>258</v>
      </c>
      <c r="B84" s="41" t="s">
        <v>162</v>
      </c>
      <c r="C84" s="42" t="s">
        <v>171</v>
      </c>
      <c r="D84" s="46">
        <v>35000</v>
      </c>
      <c r="E84" s="46">
        <f t="shared" si="30"/>
        <v>350</v>
      </c>
      <c r="F84" s="46">
        <v>0</v>
      </c>
      <c r="G84" s="46">
        <f t="shared" si="28"/>
        <v>34650</v>
      </c>
      <c r="H84" s="46">
        <v>34650</v>
      </c>
      <c r="I84" s="46">
        <f t="shared" si="29"/>
        <v>0</v>
      </c>
      <c r="J84" s="39"/>
      <c r="K84" s="39"/>
    </row>
    <row r="85" spans="1:11" ht="14.25" customHeight="1" x14ac:dyDescent="0.25">
      <c r="A85" s="40"/>
      <c r="B85" s="40"/>
      <c r="C85" s="48"/>
      <c r="D85" s="49">
        <f t="shared" ref="D85:I85" si="31">SUM(D80:D84)</f>
        <v>212000</v>
      </c>
      <c r="E85" s="49">
        <f t="shared" si="31"/>
        <v>2120</v>
      </c>
      <c r="F85" s="49">
        <f t="shared" si="31"/>
        <v>0</v>
      </c>
      <c r="G85" s="49">
        <f t="shared" si="31"/>
        <v>209880</v>
      </c>
      <c r="H85" s="49">
        <f t="shared" si="31"/>
        <v>209880</v>
      </c>
      <c r="I85" s="49">
        <f t="shared" si="31"/>
        <v>0</v>
      </c>
      <c r="J85" s="39"/>
      <c r="K85" s="39"/>
    </row>
    <row r="86" spans="1:11" ht="14.25" customHeight="1" x14ac:dyDescent="0.25">
      <c r="A86" s="41"/>
      <c r="B86" s="41"/>
      <c r="C86" s="42"/>
      <c r="D86" s="41"/>
      <c r="E86" s="41"/>
      <c r="F86" s="41"/>
      <c r="G86" s="46"/>
      <c r="H86" s="41"/>
      <c r="I86" s="46"/>
      <c r="J86" s="39"/>
      <c r="K86" s="39"/>
    </row>
    <row r="87" spans="1:11" ht="14.25" customHeight="1" x14ac:dyDescent="0.25">
      <c r="A87" s="40" t="s">
        <v>105</v>
      </c>
      <c r="B87" s="41"/>
      <c r="C87" s="42"/>
      <c r="D87" s="41"/>
      <c r="E87" s="41"/>
      <c r="F87" s="41"/>
      <c r="G87" s="46">
        <f t="shared" ref="G87:G96" si="32">SUM(D87,F87)-E87</f>
        <v>0</v>
      </c>
      <c r="H87" s="41"/>
      <c r="I87" s="46">
        <f t="shared" ref="I87:I96" si="33">G87-H87</f>
        <v>0</v>
      </c>
      <c r="J87" s="39"/>
      <c r="K87" s="39"/>
    </row>
    <row r="88" spans="1:11" ht="14.25" customHeight="1" x14ac:dyDescent="0.25">
      <c r="A88" s="41" t="s">
        <v>236</v>
      </c>
      <c r="B88" s="41" t="s">
        <v>162</v>
      </c>
      <c r="C88" s="42" t="s">
        <v>207</v>
      </c>
      <c r="D88" s="46">
        <v>36666.666666666664</v>
      </c>
      <c r="E88" s="46">
        <f t="shared" ref="E88:E96" si="34">D88*0.01</f>
        <v>366.66666666666663</v>
      </c>
      <c r="F88" s="46">
        <v>0</v>
      </c>
      <c r="G88" s="46">
        <f t="shared" si="32"/>
        <v>36300</v>
      </c>
      <c r="H88" s="46">
        <v>36300</v>
      </c>
      <c r="I88" s="46">
        <f t="shared" si="33"/>
        <v>0</v>
      </c>
      <c r="J88" s="39"/>
      <c r="K88" s="39"/>
    </row>
    <row r="89" spans="1:11" ht="14.25" customHeight="1" x14ac:dyDescent="0.25">
      <c r="A89" s="41" t="s">
        <v>237</v>
      </c>
      <c r="B89" s="41" t="s">
        <v>162</v>
      </c>
      <c r="C89" s="42" t="s">
        <v>191</v>
      </c>
      <c r="D89" s="46">
        <v>33000</v>
      </c>
      <c r="E89" s="46">
        <f t="shared" si="34"/>
        <v>330</v>
      </c>
      <c r="F89" s="46">
        <v>0</v>
      </c>
      <c r="G89" s="46">
        <f t="shared" si="32"/>
        <v>32670</v>
      </c>
      <c r="H89" s="46">
        <v>32670</v>
      </c>
      <c r="I89" s="46">
        <f t="shared" si="33"/>
        <v>0</v>
      </c>
      <c r="J89" s="39"/>
      <c r="K89" s="39"/>
    </row>
    <row r="90" spans="1:11" ht="14.25" customHeight="1" x14ac:dyDescent="0.25">
      <c r="A90" s="41" t="s">
        <v>226</v>
      </c>
      <c r="B90" s="41" t="s">
        <v>53</v>
      </c>
      <c r="C90" s="42" t="s">
        <v>227</v>
      </c>
      <c r="D90" s="46">
        <v>33000</v>
      </c>
      <c r="E90" s="46">
        <f t="shared" si="34"/>
        <v>330</v>
      </c>
      <c r="F90" s="46">
        <v>0</v>
      </c>
      <c r="G90" s="46">
        <f t="shared" si="32"/>
        <v>32670</v>
      </c>
      <c r="H90" s="46">
        <v>32670</v>
      </c>
      <c r="I90" s="46">
        <f t="shared" si="33"/>
        <v>0</v>
      </c>
      <c r="J90" s="39"/>
      <c r="K90" s="39"/>
    </row>
    <row r="91" spans="1:11" ht="14.25" customHeight="1" x14ac:dyDescent="0.25">
      <c r="A91" s="41" t="s">
        <v>228</v>
      </c>
      <c r="B91" s="41" t="s">
        <v>162</v>
      </c>
      <c r="C91" s="42" t="s">
        <v>257</v>
      </c>
      <c r="D91" s="46">
        <v>29333.333333333332</v>
      </c>
      <c r="E91" s="46">
        <f t="shared" si="34"/>
        <v>293.33333333333331</v>
      </c>
      <c r="F91" s="46">
        <v>0</v>
      </c>
      <c r="G91" s="46">
        <f t="shared" si="32"/>
        <v>29040</v>
      </c>
      <c r="H91" s="46">
        <v>29040</v>
      </c>
      <c r="I91" s="46">
        <f t="shared" si="33"/>
        <v>0</v>
      </c>
      <c r="J91" s="39"/>
      <c r="K91" s="39"/>
    </row>
    <row r="92" spans="1:11" ht="14.25" customHeight="1" x14ac:dyDescent="0.25">
      <c r="A92" s="41" t="s">
        <v>234</v>
      </c>
      <c r="B92" s="41" t="s">
        <v>162</v>
      </c>
      <c r="C92" s="42" t="s">
        <v>261</v>
      </c>
      <c r="D92" s="46">
        <v>33000</v>
      </c>
      <c r="E92" s="46">
        <f t="shared" si="34"/>
        <v>330</v>
      </c>
      <c r="F92" s="46">
        <v>0</v>
      </c>
      <c r="G92" s="46">
        <f t="shared" si="32"/>
        <v>32670</v>
      </c>
      <c r="H92" s="46">
        <v>32670</v>
      </c>
      <c r="I92" s="46">
        <f t="shared" si="33"/>
        <v>0</v>
      </c>
      <c r="J92" s="39"/>
      <c r="K92" s="39"/>
    </row>
    <row r="93" spans="1:11" ht="14.25" customHeight="1" x14ac:dyDescent="0.25">
      <c r="A93" s="41" t="s">
        <v>249</v>
      </c>
      <c r="B93" s="41" t="s">
        <v>162</v>
      </c>
      <c r="C93" s="42" t="s">
        <v>262</v>
      </c>
      <c r="D93" s="46">
        <v>22500</v>
      </c>
      <c r="E93" s="46">
        <f t="shared" si="34"/>
        <v>225</v>
      </c>
      <c r="F93" s="46">
        <v>0</v>
      </c>
      <c r="G93" s="46">
        <f t="shared" si="32"/>
        <v>22275</v>
      </c>
      <c r="H93" s="46">
        <v>22275</v>
      </c>
      <c r="I93" s="46">
        <f t="shared" si="33"/>
        <v>0</v>
      </c>
      <c r="J93" s="39"/>
      <c r="K93" s="39"/>
    </row>
    <row r="94" spans="1:11" ht="14.25" customHeight="1" x14ac:dyDescent="0.25">
      <c r="A94" s="41" t="s">
        <v>258</v>
      </c>
      <c r="B94" s="41" t="s">
        <v>162</v>
      </c>
      <c r="C94" s="42" t="s">
        <v>171</v>
      </c>
      <c r="D94" s="46">
        <v>25666.666666666668</v>
      </c>
      <c r="E94" s="46">
        <f t="shared" si="34"/>
        <v>256.66666666666669</v>
      </c>
      <c r="F94" s="46">
        <v>0</v>
      </c>
      <c r="G94" s="46">
        <f t="shared" si="32"/>
        <v>25410</v>
      </c>
      <c r="H94" s="46">
        <v>25410</v>
      </c>
      <c r="I94" s="46">
        <f t="shared" si="33"/>
        <v>0</v>
      </c>
      <c r="J94" s="39"/>
      <c r="K94" s="39"/>
    </row>
    <row r="95" spans="1:11" ht="14.25" customHeight="1" x14ac:dyDescent="0.25">
      <c r="A95" s="41" t="s">
        <v>259</v>
      </c>
      <c r="B95" s="41" t="s">
        <v>162</v>
      </c>
      <c r="C95" s="42" t="s">
        <v>260</v>
      </c>
      <c r="D95" s="46">
        <v>18333.333333333332</v>
      </c>
      <c r="E95" s="46">
        <f t="shared" si="34"/>
        <v>183.33333333333331</v>
      </c>
      <c r="F95" s="46">
        <v>0</v>
      </c>
      <c r="G95" s="46">
        <f t="shared" si="32"/>
        <v>18150</v>
      </c>
      <c r="H95" s="46">
        <v>18150</v>
      </c>
      <c r="I95" s="46">
        <f t="shared" si="33"/>
        <v>0</v>
      </c>
      <c r="J95" s="39"/>
      <c r="K95" s="39"/>
    </row>
    <row r="96" spans="1:11" ht="14.25" customHeight="1" x14ac:dyDescent="0.25">
      <c r="A96" s="41" t="s">
        <v>263</v>
      </c>
      <c r="B96" s="41" t="s">
        <v>165</v>
      </c>
      <c r="C96" s="42" t="s">
        <v>264</v>
      </c>
      <c r="D96" s="46">
        <v>10000</v>
      </c>
      <c r="E96" s="46">
        <f t="shared" si="34"/>
        <v>100</v>
      </c>
      <c r="F96" s="46">
        <v>0</v>
      </c>
      <c r="G96" s="46">
        <f t="shared" si="32"/>
        <v>9900</v>
      </c>
      <c r="H96" s="46">
        <v>9900</v>
      </c>
      <c r="I96" s="46">
        <f t="shared" si="33"/>
        <v>0</v>
      </c>
      <c r="J96" s="39"/>
      <c r="K96" s="39"/>
    </row>
    <row r="97" spans="1:27" ht="14.25" customHeight="1" x14ac:dyDescent="0.25">
      <c r="A97" s="40"/>
      <c r="B97" s="40"/>
      <c r="C97" s="48"/>
      <c r="D97" s="49">
        <f t="shared" ref="D97:I97" si="35">SUM(D88:D96)</f>
        <v>241500</v>
      </c>
      <c r="E97" s="49">
        <f t="shared" si="35"/>
        <v>2415</v>
      </c>
      <c r="F97" s="49">
        <f t="shared" si="35"/>
        <v>0</v>
      </c>
      <c r="G97" s="49">
        <f t="shared" si="35"/>
        <v>239085</v>
      </c>
      <c r="H97" s="49">
        <f t="shared" si="35"/>
        <v>239085</v>
      </c>
      <c r="I97" s="49">
        <f t="shared" si="35"/>
        <v>0</v>
      </c>
      <c r="J97" s="39"/>
      <c r="K97" s="39"/>
    </row>
    <row r="98" spans="1:27" ht="14.25" customHeight="1" x14ac:dyDescent="0.25">
      <c r="A98" s="41"/>
      <c r="B98" s="41"/>
      <c r="C98" s="42"/>
      <c r="D98" s="58"/>
      <c r="E98" s="58"/>
      <c r="F98" s="58"/>
      <c r="G98" s="46"/>
      <c r="H98" s="58"/>
      <c r="I98" s="46"/>
    </row>
    <row r="99" spans="1:27" ht="14.25" customHeight="1" x14ac:dyDescent="0.25">
      <c r="A99" s="40" t="s">
        <v>122</v>
      </c>
      <c r="B99" s="41"/>
      <c r="C99" s="42"/>
      <c r="D99" s="41"/>
      <c r="E99" s="41"/>
      <c r="F99" s="41"/>
      <c r="G99" s="46">
        <f t="shared" ref="G99:G108" si="36">SUM(D99,F99)-E99</f>
        <v>0</v>
      </c>
      <c r="H99" s="41"/>
      <c r="I99" s="46">
        <f t="shared" ref="I99:I108" si="37">G99-H99</f>
        <v>0</v>
      </c>
    </row>
    <row r="100" spans="1:27" ht="14.25" customHeight="1" x14ac:dyDescent="0.25">
      <c r="A100" s="41" t="s">
        <v>236</v>
      </c>
      <c r="B100" s="41" t="s">
        <v>162</v>
      </c>
      <c r="C100" s="42" t="s">
        <v>207</v>
      </c>
      <c r="D100" s="46">
        <v>50000</v>
      </c>
      <c r="E100" s="46">
        <f t="shared" ref="E100:E108" si="38">D100*0.01</f>
        <v>500</v>
      </c>
      <c r="F100" s="46">
        <v>0</v>
      </c>
      <c r="G100" s="46">
        <f t="shared" si="36"/>
        <v>49500</v>
      </c>
      <c r="H100" s="46">
        <v>49500</v>
      </c>
      <c r="I100" s="46">
        <f t="shared" si="37"/>
        <v>0</v>
      </c>
    </row>
    <row r="101" spans="1:27" ht="14.25" customHeight="1" x14ac:dyDescent="0.25">
      <c r="A101" s="41" t="s">
        <v>237</v>
      </c>
      <c r="B101" s="41" t="s">
        <v>162</v>
      </c>
      <c r="C101" s="42" t="s">
        <v>191</v>
      </c>
      <c r="D101" s="46">
        <v>45000</v>
      </c>
      <c r="E101" s="46">
        <f t="shared" si="38"/>
        <v>450</v>
      </c>
      <c r="F101" s="46">
        <v>0</v>
      </c>
      <c r="G101" s="46">
        <f t="shared" si="36"/>
        <v>44550</v>
      </c>
      <c r="H101" s="46">
        <v>44550</v>
      </c>
      <c r="I101" s="46">
        <f t="shared" si="37"/>
        <v>0</v>
      </c>
    </row>
    <row r="102" spans="1:27" ht="14.25" customHeight="1" x14ac:dyDescent="0.25">
      <c r="A102" s="41" t="s">
        <v>226</v>
      </c>
      <c r="B102" s="41" t="s">
        <v>53</v>
      </c>
      <c r="C102" s="42" t="s">
        <v>227</v>
      </c>
      <c r="D102" s="46">
        <v>45000</v>
      </c>
      <c r="E102" s="46">
        <f t="shared" si="38"/>
        <v>450</v>
      </c>
      <c r="F102" s="46">
        <v>0</v>
      </c>
      <c r="G102" s="46">
        <f t="shared" si="36"/>
        <v>44550</v>
      </c>
      <c r="H102" s="46">
        <v>44550</v>
      </c>
      <c r="I102" s="46">
        <f t="shared" si="37"/>
        <v>0</v>
      </c>
    </row>
    <row r="103" spans="1:27" ht="14.25" customHeight="1" x14ac:dyDescent="0.25">
      <c r="A103" s="41" t="s">
        <v>228</v>
      </c>
      <c r="B103" s="41" t="s">
        <v>162</v>
      </c>
      <c r="C103" s="42" t="s">
        <v>257</v>
      </c>
      <c r="D103" s="46">
        <v>40000</v>
      </c>
      <c r="E103" s="46">
        <f t="shared" si="38"/>
        <v>400</v>
      </c>
      <c r="F103" s="46">
        <v>0</v>
      </c>
      <c r="G103" s="46">
        <f t="shared" si="36"/>
        <v>39600</v>
      </c>
      <c r="H103" s="46">
        <v>39600</v>
      </c>
      <c r="I103" s="46">
        <f t="shared" si="37"/>
        <v>0</v>
      </c>
    </row>
    <row r="104" spans="1:27" ht="14.25" customHeight="1" x14ac:dyDescent="0.25">
      <c r="A104" s="41" t="s">
        <v>234</v>
      </c>
      <c r="B104" s="41" t="s">
        <v>162</v>
      </c>
      <c r="C104" s="42" t="s">
        <v>261</v>
      </c>
      <c r="D104" s="46">
        <v>45000</v>
      </c>
      <c r="E104" s="46">
        <f t="shared" si="38"/>
        <v>450</v>
      </c>
      <c r="F104" s="46">
        <v>0</v>
      </c>
      <c r="G104" s="46">
        <f t="shared" si="36"/>
        <v>44550</v>
      </c>
      <c r="H104" s="46">
        <v>44550</v>
      </c>
      <c r="I104" s="46">
        <f t="shared" si="37"/>
        <v>0</v>
      </c>
    </row>
    <row r="105" spans="1:27" ht="14.25" customHeight="1" x14ac:dyDescent="0.25">
      <c r="A105" s="41" t="s">
        <v>249</v>
      </c>
      <c r="B105" s="41" t="s">
        <v>162</v>
      </c>
      <c r="C105" s="42" t="s">
        <v>262</v>
      </c>
      <c r="D105" s="46">
        <v>45000</v>
      </c>
      <c r="E105" s="46">
        <f t="shared" si="38"/>
        <v>450</v>
      </c>
      <c r="F105" s="46">
        <v>0</v>
      </c>
      <c r="G105" s="46">
        <f t="shared" si="36"/>
        <v>44550</v>
      </c>
      <c r="H105" s="46">
        <v>44550</v>
      </c>
      <c r="I105" s="46">
        <f t="shared" si="37"/>
        <v>0</v>
      </c>
    </row>
    <row r="106" spans="1:27" ht="14.25" customHeight="1" x14ac:dyDescent="0.25">
      <c r="A106" s="41" t="s">
        <v>258</v>
      </c>
      <c r="B106" s="41" t="s">
        <v>162</v>
      </c>
      <c r="C106" s="42" t="s">
        <v>171</v>
      </c>
      <c r="D106" s="46">
        <v>35000</v>
      </c>
      <c r="E106" s="46">
        <f t="shared" si="38"/>
        <v>350</v>
      </c>
      <c r="F106" s="46">
        <v>0</v>
      </c>
      <c r="G106" s="46">
        <f t="shared" si="36"/>
        <v>34650</v>
      </c>
      <c r="H106" s="46">
        <v>34650</v>
      </c>
      <c r="I106" s="46">
        <f t="shared" si="37"/>
        <v>0</v>
      </c>
    </row>
    <row r="107" spans="1:27" ht="14.25" customHeight="1" x14ac:dyDescent="0.25">
      <c r="A107" s="41" t="s">
        <v>259</v>
      </c>
      <c r="B107" s="41" t="s">
        <v>162</v>
      </c>
      <c r="C107" s="42" t="s">
        <v>260</v>
      </c>
      <c r="D107" s="46">
        <v>25000</v>
      </c>
      <c r="E107" s="46">
        <f t="shared" si="38"/>
        <v>250</v>
      </c>
      <c r="F107" s="46">
        <v>0</v>
      </c>
      <c r="G107" s="46">
        <f t="shared" si="36"/>
        <v>24750</v>
      </c>
      <c r="H107" s="46">
        <v>24750</v>
      </c>
      <c r="I107" s="46">
        <f t="shared" si="37"/>
        <v>0</v>
      </c>
    </row>
    <row r="108" spans="1:27" ht="14.25" customHeight="1" x14ac:dyDescent="0.25">
      <c r="A108" s="41" t="s">
        <v>263</v>
      </c>
      <c r="B108" s="41" t="s">
        <v>95</v>
      </c>
      <c r="C108" s="42" t="s">
        <v>265</v>
      </c>
      <c r="D108" s="46">
        <v>20000</v>
      </c>
      <c r="E108" s="46">
        <f t="shared" si="38"/>
        <v>200</v>
      </c>
      <c r="F108" s="46">
        <v>0</v>
      </c>
      <c r="G108" s="46">
        <f t="shared" si="36"/>
        <v>19800</v>
      </c>
      <c r="H108" s="46">
        <v>19800</v>
      </c>
      <c r="I108" s="46">
        <f t="shared" si="37"/>
        <v>0</v>
      </c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 spans="1:27" ht="14.25" customHeight="1" x14ac:dyDescent="0.25">
      <c r="A109" s="40"/>
      <c r="B109" s="40"/>
      <c r="C109" s="48"/>
      <c r="D109" s="49">
        <f t="shared" ref="D109:I109" si="39">SUM(D100:D108)</f>
        <v>350000</v>
      </c>
      <c r="E109" s="49">
        <f t="shared" si="39"/>
        <v>3500</v>
      </c>
      <c r="F109" s="49">
        <f t="shared" si="39"/>
        <v>0</v>
      </c>
      <c r="G109" s="49">
        <f t="shared" si="39"/>
        <v>346500</v>
      </c>
      <c r="H109" s="49">
        <f t="shared" si="39"/>
        <v>346500</v>
      </c>
      <c r="I109" s="49">
        <f t="shared" si="39"/>
        <v>0</v>
      </c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 spans="1:27" ht="14.25" customHeight="1" x14ac:dyDescent="0.25">
      <c r="A110" s="58"/>
      <c r="B110" s="58"/>
      <c r="C110" s="60"/>
      <c r="D110" s="58"/>
      <c r="E110" s="58"/>
      <c r="F110" s="58"/>
      <c r="G110" s="46"/>
      <c r="H110" s="58"/>
      <c r="I110" s="46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 spans="1:27" ht="14.25" customHeight="1" x14ac:dyDescent="0.25">
      <c r="A111" s="40" t="s">
        <v>125</v>
      </c>
      <c r="B111" s="41"/>
      <c r="C111" s="42"/>
      <c r="D111" s="41"/>
      <c r="E111" s="41"/>
      <c r="F111" s="41"/>
      <c r="G111" s="46">
        <f t="shared" ref="G111:G120" si="40">SUM(D111,F111)-E111</f>
        <v>0</v>
      </c>
      <c r="H111" s="41"/>
      <c r="I111" s="46">
        <f t="shared" ref="I111:I120" si="41">G111-H111</f>
        <v>0</v>
      </c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 spans="1:27" ht="14.25" customHeight="1" x14ac:dyDescent="0.25">
      <c r="A112" s="41" t="s">
        <v>236</v>
      </c>
      <c r="B112" s="41" t="s">
        <v>162</v>
      </c>
      <c r="C112" s="42" t="s">
        <v>207</v>
      </c>
      <c r="D112" s="46">
        <v>50000</v>
      </c>
      <c r="E112" s="46">
        <f t="shared" ref="E112:E120" si="42">D112*0.01</f>
        <v>500</v>
      </c>
      <c r="F112" s="46">
        <v>0</v>
      </c>
      <c r="G112" s="46">
        <f t="shared" si="40"/>
        <v>49500</v>
      </c>
      <c r="H112" s="46">
        <v>49500</v>
      </c>
      <c r="I112" s="46">
        <f t="shared" si="41"/>
        <v>0</v>
      </c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 spans="1:27" ht="14.25" customHeight="1" x14ac:dyDescent="0.25">
      <c r="A113" s="41" t="s">
        <v>237</v>
      </c>
      <c r="B113" s="41" t="s">
        <v>162</v>
      </c>
      <c r="C113" s="42" t="s">
        <v>191</v>
      </c>
      <c r="D113" s="46">
        <v>45000</v>
      </c>
      <c r="E113" s="46">
        <f t="shared" si="42"/>
        <v>450</v>
      </c>
      <c r="F113" s="46">
        <v>0</v>
      </c>
      <c r="G113" s="46">
        <f t="shared" si="40"/>
        <v>44550</v>
      </c>
      <c r="H113" s="46">
        <v>44550</v>
      </c>
      <c r="I113" s="46">
        <f t="shared" si="41"/>
        <v>0</v>
      </c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 spans="1:27" ht="14.25" customHeight="1" x14ac:dyDescent="0.25">
      <c r="A114" s="41" t="s">
        <v>226</v>
      </c>
      <c r="B114" s="41" t="s">
        <v>53</v>
      </c>
      <c r="C114" s="42" t="s">
        <v>227</v>
      </c>
      <c r="D114" s="46">
        <v>45000</v>
      </c>
      <c r="E114" s="46">
        <f t="shared" si="42"/>
        <v>450</v>
      </c>
      <c r="F114" s="46">
        <v>0</v>
      </c>
      <c r="G114" s="46">
        <f t="shared" si="40"/>
        <v>44550</v>
      </c>
      <c r="H114" s="46">
        <v>44550</v>
      </c>
      <c r="I114" s="46">
        <f t="shared" si="41"/>
        <v>0</v>
      </c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 spans="1:27" ht="14.25" customHeight="1" x14ac:dyDescent="0.25">
      <c r="A115" s="41" t="s">
        <v>228</v>
      </c>
      <c r="B115" s="41" t="s">
        <v>162</v>
      </c>
      <c r="C115" s="42" t="s">
        <v>257</v>
      </c>
      <c r="D115" s="46">
        <v>40000</v>
      </c>
      <c r="E115" s="46">
        <f t="shared" si="42"/>
        <v>400</v>
      </c>
      <c r="F115" s="46">
        <v>0</v>
      </c>
      <c r="G115" s="46">
        <f t="shared" si="40"/>
        <v>39600</v>
      </c>
      <c r="H115" s="46">
        <v>39600</v>
      </c>
      <c r="I115" s="46">
        <f t="shared" si="41"/>
        <v>0</v>
      </c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 spans="1:27" ht="14.25" customHeight="1" x14ac:dyDescent="0.25">
      <c r="A116" s="41" t="s">
        <v>234</v>
      </c>
      <c r="B116" s="41" t="s">
        <v>162</v>
      </c>
      <c r="C116" s="42" t="s">
        <v>261</v>
      </c>
      <c r="D116" s="46">
        <v>45000</v>
      </c>
      <c r="E116" s="46">
        <f t="shared" si="42"/>
        <v>450</v>
      </c>
      <c r="F116" s="46">
        <v>0</v>
      </c>
      <c r="G116" s="46">
        <f t="shared" si="40"/>
        <v>44550</v>
      </c>
      <c r="H116" s="46">
        <v>44550</v>
      </c>
      <c r="I116" s="46">
        <f t="shared" si="41"/>
        <v>0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ht="14.25" customHeight="1" x14ac:dyDescent="0.25">
      <c r="A117" s="41" t="s">
        <v>266</v>
      </c>
      <c r="B117" s="41" t="s">
        <v>162</v>
      </c>
      <c r="C117" s="42" t="s">
        <v>267</v>
      </c>
      <c r="D117" s="46">
        <v>40000</v>
      </c>
      <c r="E117" s="46">
        <f t="shared" si="42"/>
        <v>400</v>
      </c>
      <c r="F117" s="46">
        <v>0</v>
      </c>
      <c r="G117" s="46">
        <f t="shared" si="40"/>
        <v>39600</v>
      </c>
      <c r="H117" s="46">
        <v>39600</v>
      </c>
      <c r="I117" s="46">
        <f t="shared" si="41"/>
        <v>0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 spans="1:27" ht="14.25" customHeight="1" x14ac:dyDescent="0.25">
      <c r="A118" s="41" t="s">
        <v>258</v>
      </c>
      <c r="B118" s="41" t="s">
        <v>162</v>
      </c>
      <c r="C118" s="42" t="s">
        <v>171</v>
      </c>
      <c r="D118" s="46">
        <v>35000</v>
      </c>
      <c r="E118" s="46">
        <f t="shared" si="42"/>
        <v>350</v>
      </c>
      <c r="F118" s="46">
        <v>0</v>
      </c>
      <c r="G118" s="46">
        <f t="shared" si="40"/>
        <v>34650</v>
      </c>
      <c r="H118" s="46">
        <v>34650</v>
      </c>
      <c r="I118" s="46">
        <f t="shared" si="41"/>
        <v>0</v>
      </c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 spans="1:27" ht="14.25" customHeight="1" x14ac:dyDescent="0.25">
      <c r="A119" s="41" t="s">
        <v>259</v>
      </c>
      <c r="B119" s="41" t="s">
        <v>162</v>
      </c>
      <c r="C119" s="42" t="s">
        <v>260</v>
      </c>
      <c r="D119" s="46">
        <v>25000</v>
      </c>
      <c r="E119" s="46">
        <f t="shared" si="42"/>
        <v>250</v>
      </c>
      <c r="F119" s="46">
        <v>0</v>
      </c>
      <c r="G119" s="46">
        <f t="shared" si="40"/>
        <v>24750</v>
      </c>
      <c r="H119" s="46">
        <v>24750</v>
      </c>
      <c r="I119" s="46">
        <f t="shared" si="41"/>
        <v>0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 spans="1:27" ht="14.25" customHeight="1" x14ac:dyDescent="0.25">
      <c r="A120" s="41" t="s">
        <v>263</v>
      </c>
      <c r="B120" s="41" t="s">
        <v>95</v>
      </c>
      <c r="C120" s="42" t="s">
        <v>265</v>
      </c>
      <c r="D120" s="46">
        <v>20000</v>
      </c>
      <c r="E120" s="46">
        <f t="shared" si="42"/>
        <v>200</v>
      </c>
      <c r="F120" s="46">
        <v>0</v>
      </c>
      <c r="G120" s="46">
        <f t="shared" si="40"/>
        <v>19800</v>
      </c>
      <c r="H120" s="46">
        <v>19800</v>
      </c>
      <c r="I120" s="46">
        <f t="shared" si="41"/>
        <v>0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 spans="1:27" ht="14.25" customHeight="1" x14ac:dyDescent="0.25">
      <c r="A121" s="40"/>
      <c r="B121" s="40"/>
      <c r="C121" s="48"/>
      <c r="D121" s="49">
        <f t="shared" ref="D121:I121" si="43">SUM(D112:D120)</f>
        <v>345000</v>
      </c>
      <c r="E121" s="49">
        <f t="shared" si="43"/>
        <v>3450</v>
      </c>
      <c r="F121" s="49">
        <f t="shared" si="43"/>
        <v>0</v>
      </c>
      <c r="G121" s="49">
        <f t="shared" si="43"/>
        <v>341550</v>
      </c>
      <c r="H121" s="49">
        <f t="shared" si="43"/>
        <v>341550</v>
      </c>
      <c r="I121" s="49">
        <f t="shared" si="43"/>
        <v>0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 spans="1:27" ht="14.25" customHeight="1" x14ac:dyDescent="0.25">
      <c r="A122" s="59"/>
      <c r="B122" s="59"/>
      <c r="C122" s="57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 spans="1:27" ht="14.25" customHeight="1" x14ac:dyDescent="0.25">
      <c r="A123" s="40" t="s">
        <v>130</v>
      </c>
      <c r="B123" s="41"/>
      <c r="C123" s="42"/>
      <c r="D123" s="41"/>
      <c r="E123" s="41"/>
      <c r="F123" s="41"/>
      <c r="G123" s="46">
        <f>SUM(D123,F123)-E123</f>
        <v>0</v>
      </c>
      <c r="H123" s="41"/>
      <c r="I123" s="46">
        <f t="shared" ref="I123:I132" si="44">G123-H123</f>
        <v>0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 spans="1:27" ht="14.25" customHeight="1" x14ac:dyDescent="0.25">
      <c r="A124" s="41" t="s">
        <v>236</v>
      </c>
      <c r="B124" s="41" t="s">
        <v>162</v>
      </c>
      <c r="C124" s="42" t="s">
        <v>207</v>
      </c>
      <c r="D124" s="46">
        <v>50000</v>
      </c>
      <c r="E124" s="46">
        <f t="shared" ref="E124:E132" si="45">D124*0.01</f>
        <v>500</v>
      </c>
      <c r="F124" s="46">
        <v>0</v>
      </c>
      <c r="G124" s="46">
        <f t="shared" ref="G124:G132" si="46">(SUM(D124,F124)-E124)/2</f>
        <v>24750</v>
      </c>
      <c r="H124" s="46">
        <v>24750</v>
      </c>
      <c r="I124" s="46">
        <f t="shared" si="44"/>
        <v>0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 spans="1:27" ht="14.25" customHeight="1" x14ac:dyDescent="0.25">
      <c r="A125" s="41" t="s">
        <v>237</v>
      </c>
      <c r="B125" s="41" t="s">
        <v>162</v>
      </c>
      <c r="C125" s="42" t="s">
        <v>191</v>
      </c>
      <c r="D125" s="46">
        <v>45000</v>
      </c>
      <c r="E125" s="46">
        <f t="shared" si="45"/>
        <v>450</v>
      </c>
      <c r="F125" s="46">
        <v>0</v>
      </c>
      <c r="G125" s="46">
        <f t="shared" si="46"/>
        <v>22275</v>
      </c>
      <c r="H125" s="46">
        <v>22275</v>
      </c>
      <c r="I125" s="46">
        <f t="shared" si="44"/>
        <v>0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 spans="1:27" ht="14.25" customHeight="1" x14ac:dyDescent="0.25">
      <c r="A126" s="41" t="s">
        <v>226</v>
      </c>
      <c r="B126" s="41" t="s">
        <v>53</v>
      </c>
      <c r="C126" s="42" t="s">
        <v>227</v>
      </c>
      <c r="D126" s="46">
        <v>45000</v>
      </c>
      <c r="E126" s="46">
        <f t="shared" si="45"/>
        <v>450</v>
      </c>
      <c r="F126" s="46">
        <v>4500</v>
      </c>
      <c r="G126" s="46">
        <f t="shared" si="46"/>
        <v>24525</v>
      </c>
      <c r="H126" s="46">
        <v>24525</v>
      </c>
      <c r="I126" s="46">
        <f t="shared" si="44"/>
        <v>0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 spans="1:27" ht="14.25" customHeight="1" x14ac:dyDescent="0.25">
      <c r="A127" s="41" t="s">
        <v>228</v>
      </c>
      <c r="B127" s="41" t="s">
        <v>162</v>
      </c>
      <c r="C127" s="42" t="s">
        <v>257</v>
      </c>
      <c r="D127" s="46">
        <v>40000</v>
      </c>
      <c r="E127" s="46">
        <f t="shared" si="45"/>
        <v>400</v>
      </c>
      <c r="F127" s="46">
        <v>0</v>
      </c>
      <c r="G127" s="46">
        <f t="shared" si="46"/>
        <v>19800</v>
      </c>
      <c r="H127" s="46">
        <v>19800</v>
      </c>
      <c r="I127" s="46">
        <f t="shared" si="44"/>
        <v>0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 spans="1:27" ht="14.25" customHeight="1" x14ac:dyDescent="0.25">
      <c r="A128" s="41" t="s">
        <v>234</v>
      </c>
      <c r="B128" s="41" t="s">
        <v>162</v>
      </c>
      <c r="C128" s="42" t="s">
        <v>261</v>
      </c>
      <c r="D128" s="46">
        <v>45000</v>
      </c>
      <c r="E128" s="46">
        <f t="shared" si="45"/>
        <v>450</v>
      </c>
      <c r="F128" s="46">
        <v>0</v>
      </c>
      <c r="G128" s="46">
        <f t="shared" si="46"/>
        <v>22275</v>
      </c>
      <c r="H128" s="46">
        <v>22275</v>
      </c>
      <c r="I128" s="46">
        <f t="shared" si="44"/>
        <v>0</v>
      </c>
    </row>
    <row r="129" spans="1:9" ht="14.25" customHeight="1" x14ac:dyDescent="0.25">
      <c r="A129" s="41" t="s">
        <v>266</v>
      </c>
      <c r="B129" s="41" t="s">
        <v>162</v>
      </c>
      <c r="C129" s="42" t="s">
        <v>267</v>
      </c>
      <c r="D129" s="46">
        <v>40000</v>
      </c>
      <c r="E129" s="46">
        <f t="shared" si="45"/>
        <v>400</v>
      </c>
      <c r="F129" s="46">
        <v>0</v>
      </c>
      <c r="G129" s="46">
        <f t="shared" si="46"/>
        <v>19800</v>
      </c>
      <c r="H129" s="46">
        <v>19800</v>
      </c>
      <c r="I129" s="46">
        <f t="shared" si="44"/>
        <v>0</v>
      </c>
    </row>
    <row r="130" spans="1:9" ht="14.25" customHeight="1" x14ac:dyDescent="0.25">
      <c r="A130" s="41" t="s">
        <v>258</v>
      </c>
      <c r="B130" s="41" t="s">
        <v>162</v>
      </c>
      <c r="C130" s="42" t="s">
        <v>171</v>
      </c>
      <c r="D130" s="46">
        <v>35000</v>
      </c>
      <c r="E130" s="46">
        <f t="shared" si="45"/>
        <v>350</v>
      </c>
      <c r="F130" s="46">
        <v>0</v>
      </c>
      <c r="G130" s="46">
        <f t="shared" si="46"/>
        <v>17325</v>
      </c>
      <c r="H130" s="46">
        <v>17325</v>
      </c>
      <c r="I130" s="46">
        <f t="shared" si="44"/>
        <v>0</v>
      </c>
    </row>
    <row r="131" spans="1:9" ht="14.25" customHeight="1" x14ac:dyDescent="0.25">
      <c r="A131" s="41" t="s">
        <v>259</v>
      </c>
      <c r="B131" s="41" t="s">
        <v>162</v>
      </c>
      <c r="C131" s="42" t="s">
        <v>260</v>
      </c>
      <c r="D131" s="46">
        <v>25000</v>
      </c>
      <c r="E131" s="46">
        <f t="shared" si="45"/>
        <v>250</v>
      </c>
      <c r="F131" s="46">
        <v>0</v>
      </c>
      <c r="G131" s="46">
        <f t="shared" si="46"/>
        <v>12375</v>
      </c>
      <c r="H131" s="46">
        <v>12375</v>
      </c>
      <c r="I131" s="46">
        <f t="shared" si="44"/>
        <v>0</v>
      </c>
    </row>
    <row r="132" spans="1:9" ht="14.25" customHeight="1" x14ac:dyDescent="0.25">
      <c r="A132" s="41" t="s">
        <v>263</v>
      </c>
      <c r="B132" s="41" t="s">
        <v>95</v>
      </c>
      <c r="C132" s="42" t="s">
        <v>265</v>
      </c>
      <c r="D132" s="46">
        <v>20000</v>
      </c>
      <c r="E132" s="46">
        <f t="shared" si="45"/>
        <v>200</v>
      </c>
      <c r="F132" s="46">
        <v>0</v>
      </c>
      <c r="G132" s="46">
        <f t="shared" si="46"/>
        <v>9900</v>
      </c>
      <c r="H132" s="46">
        <v>9900</v>
      </c>
      <c r="I132" s="46">
        <f t="shared" si="44"/>
        <v>0</v>
      </c>
    </row>
    <row r="133" spans="1:9" ht="14.25" customHeight="1" x14ac:dyDescent="0.25">
      <c r="A133" s="40"/>
      <c r="B133" s="40"/>
      <c r="C133" s="48"/>
      <c r="D133" s="49">
        <f t="shared" ref="D133:I133" si="47">SUM(D124:D132)</f>
        <v>345000</v>
      </c>
      <c r="E133" s="49">
        <f t="shared" si="47"/>
        <v>3450</v>
      </c>
      <c r="F133" s="49">
        <f t="shared" si="47"/>
        <v>4500</v>
      </c>
      <c r="G133" s="49">
        <f t="shared" si="47"/>
        <v>173025</v>
      </c>
      <c r="H133" s="49">
        <f t="shared" si="47"/>
        <v>173025</v>
      </c>
      <c r="I133" s="49">
        <f t="shared" si="47"/>
        <v>0</v>
      </c>
    </row>
    <row r="134" spans="1:9" ht="14.25" customHeight="1" x14ac:dyDescent="0.25">
      <c r="C134" s="57"/>
    </row>
    <row r="135" spans="1:9" ht="14.25" customHeight="1" x14ac:dyDescent="0.25">
      <c r="C135" s="57"/>
    </row>
    <row r="136" spans="1:9" ht="14.25" customHeight="1" x14ac:dyDescent="0.25">
      <c r="C136" s="57"/>
    </row>
    <row r="137" spans="1:9" ht="14.25" customHeight="1" x14ac:dyDescent="0.25">
      <c r="C137" s="57"/>
    </row>
    <row r="138" spans="1:9" ht="14.25" customHeight="1" x14ac:dyDescent="0.25">
      <c r="C138" s="57"/>
    </row>
    <row r="139" spans="1:9" ht="14.25" customHeight="1" x14ac:dyDescent="0.25">
      <c r="C139" s="57"/>
    </row>
    <row r="140" spans="1:9" ht="14.25" customHeight="1" x14ac:dyDescent="0.25">
      <c r="C140" s="57"/>
    </row>
    <row r="141" spans="1:9" ht="14.25" customHeight="1" x14ac:dyDescent="0.25">
      <c r="C141" s="57"/>
    </row>
    <row r="142" spans="1:9" ht="14.25" customHeight="1" x14ac:dyDescent="0.25">
      <c r="C142" s="57"/>
    </row>
    <row r="143" spans="1:9" ht="14.25" customHeight="1" x14ac:dyDescent="0.25">
      <c r="C143" s="57"/>
    </row>
    <row r="144" spans="1:9" ht="14.25" customHeight="1" x14ac:dyDescent="0.25">
      <c r="C144" s="57"/>
    </row>
    <row r="145" spans="3:3" ht="14.25" customHeight="1" x14ac:dyDescent="0.25">
      <c r="C145" s="57"/>
    </row>
    <row r="146" spans="3:3" ht="14.25" customHeight="1" x14ac:dyDescent="0.25">
      <c r="C146" s="57"/>
    </row>
    <row r="147" spans="3:3" ht="14.25" customHeight="1" x14ac:dyDescent="0.25">
      <c r="C147" s="57"/>
    </row>
    <row r="148" spans="3:3" ht="14.25" customHeight="1" x14ac:dyDescent="0.25">
      <c r="C148" s="57"/>
    </row>
    <row r="149" spans="3:3" ht="14.25" customHeight="1" x14ac:dyDescent="0.25">
      <c r="C149" s="57"/>
    </row>
    <row r="150" spans="3:3" ht="14.25" customHeight="1" x14ac:dyDescent="0.25">
      <c r="C150" s="57"/>
    </row>
    <row r="151" spans="3:3" ht="14.25" customHeight="1" x14ac:dyDescent="0.25">
      <c r="C151" s="57"/>
    </row>
    <row r="152" spans="3:3" ht="14.25" customHeight="1" x14ac:dyDescent="0.25">
      <c r="C152" s="57"/>
    </row>
    <row r="153" spans="3:3" ht="14.25" customHeight="1" x14ac:dyDescent="0.25">
      <c r="C153" s="57"/>
    </row>
    <row r="154" spans="3:3" ht="14.25" customHeight="1" x14ac:dyDescent="0.25">
      <c r="C154" s="57"/>
    </row>
    <row r="155" spans="3:3" ht="14.25" customHeight="1" x14ac:dyDescent="0.25">
      <c r="C155" s="57"/>
    </row>
    <row r="156" spans="3:3" ht="14.25" customHeight="1" x14ac:dyDescent="0.25">
      <c r="C156" s="57"/>
    </row>
    <row r="157" spans="3:3" ht="14.25" customHeight="1" x14ac:dyDescent="0.25">
      <c r="C157" s="57"/>
    </row>
    <row r="158" spans="3:3" ht="14.25" customHeight="1" x14ac:dyDescent="0.25">
      <c r="C158" s="57"/>
    </row>
    <row r="159" spans="3:3" ht="14.25" customHeight="1" x14ac:dyDescent="0.25">
      <c r="C159" s="57"/>
    </row>
    <row r="160" spans="3:3" ht="14.25" customHeight="1" x14ac:dyDescent="0.25">
      <c r="C160" s="57"/>
    </row>
    <row r="161" spans="3:3" ht="14.25" customHeight="1" x14ac:dyDescent="0.25">
      <c r="C161" s="57"/>
    </row>
    <row r="162" spans="3:3" ht="14.25" customHeight="1" x14ac:dyDescent="0.25">
      <c r="C162" s="57"/>
    </row>
    <row r="163" spans="3:3" ht="14.25" customHeight="1" x14ac:dyDescent="0.25">
      <c r="C163" s="57"/>
    </row>
    <row r="164" spans="3:3" ht="14.25" customHeight="1" x14ac:dyDescent="0.25">
      <c r="C164" s="57"/>
    </row>
    <row r="165" spans="3:3" ht="14.25" customHeight="1" x14ac:dyDescent="0.25">
      <c r="C165" s="57"/>
    </row>
    <row r="166" spans="3:3" ht="14.25" customHeight="1" x14ac:dyDescent="0.25">
      <c r="C166" s="57"/>
    </row>
    <row r="167" spans="3:3" ht="14.25" customHeight="1" x14ac:dyDescent="0.25">
      <c r="C167" s="57"/>
    </row>
    <row r="168" spans="3:3" ht="14.25" customHeight="1" x14ac:dyDescent="0.25">
      <c r="C168" s="57"/>
    </row>
    <row r="169" spans="3:3" ht="14.25" customHeight="1" x14ac:dyDescent="0.25">
      <c r="C169" s="57"/>
    </row>
    <row r="170" spans="3:3" ht="14.25" customHeight="1" x14ac:dyDescent="0.25">
      <c r="C170" s="57"/>
    </row>
    <row r="171" spans="3:3" ht="14.25" customHeight="1" x14ac:dyDescent="0.25">
      <c r="C171" s="57"/>
    </row>
    <row r="172" spans="3:3" ht="14.25" customHeight="1" x14ac:dyDescent="0.25">
      <c r="C172" s="57"/>
    </row>
    <row r="173" spans="3:3" ht="14.25" customHeight="1" x14ac:dyDescent="0.25">
      <c r="C173" s="57"/>
    </row>
    <row r="174" spans="3:3" ht="14.25" customHeight="1" x14ac:dyDescent="0.25">
      <c r="C174" s="57"/>
    </row>
    <row r="175" spans="3:3" ht="14.25" customHeight="1" x14ac:dyDescent="0.25">
      <c r="C175" s="57"/>
    </row>
    <row r="176" spans="3:3" ht="14.25" customHeight="1" x14ac:dyDescent="0.25">
      <c r="C176" s="57"/>
    </row>
    <row r="177" spans="3:3" ht="14.25" customHeight="1" x14ac:dyDescent="0.25">
      <c r="C177" s="57"/>
    </row>
    <row r="178" spans="3:3" ht="14.25" customHeight="1" x14ac:dyDescent="0.25">
      <c r="C178" s="57"/>
    </row>
    <row r="179" spans="3:3" ht="14.25" customHeight="1" x14ac:dyDescent="0.25">
      <c r="C179" s="57"/>
    </row>
    <row r="180" spans="3:3" ht="14.25" customHeight="1" x14ac:dyDescent="0.25">
      <c r="C180" s="57"/>
    </row>
    <row r="181" spans="3:3" ht="14.25" customHeight="1" x14ac:dyDescent="0.25">
      <c r="C181" s="57"/>
    </row>
    <row r="182" spans="3:3" ht="14.25" customHeight="1" x14ac:dyDescent="0.25">
      <c r="C182" s="57"/>
    </row>
    <row r="183" spans="3:3" ht="14.25" customHeight="1" x14ac:dyDescent="0.25">
      <c r="C183" s="57"/>
    </row>
    <row r="184" spans="3:3" ht="14.25" customHeight="1" x14ac:dyDescent="0.25">
      <c r="C184" s="57"/>
    </row>
    <row r="185" spans="3:3" ht="14.25" customHeight="1" x14ac:dyDescent="0.25">
      <c r="C185" s="57"/>
    </row>
    <row r="186" spans="3:3" ht="14.25" customHeight="1" x14ac:dyDescent="0.25">
      <c r="C186" s="57"/>
    </row>
    <row r="187" spans="3:3" ht="14.25" customHeight="1" x14ac:dyDescent="0.25">
      <c r="C187" s="57"/>
    </row>
    <row r="188" spans="3:3" ht="14.25" customHeight="1" x14ac:dyDescent="0.25">
      <c r="C188" s="57"/>
    </row>
    <row r="189" spans="3:3" ht="14.25" customHeight="1" x14ac:dyDescent="0.25">
      <c r="C189" s="57"/>
    </row>
    <row r="190" spans="3:3" ht="14.25" customHeight="1" x14ac:dyDescent="0.25">
      <c r="C190" s="57"/>
    </row>
    <row r="191" spans="3:3" ht="14.25" customHeight="1" x14ac:dyDescent="0.25">
      <c r="C191" s="57"/>
    </row>
    <row r="192" spans="3:3" ht="14.25" customHeight="1" x14ac:dyDescent="0.25">
      <c r="C192" s="57"/>
    </row>
    <row r="193" spans="3:3" ht="14.25" customHeight="1" x14ac:dyDescent="0.25">
      <c r="C193" s="57"/>
    </row>
    <row r="194" spans="3:3" ht="14.25" customHeight="1" x14ac:dyDescent="0.25">
      <c r="C194" s="57"/>
    </row>
    <row r="195" spans="3:3" ht="14.25" customHeight="1" x14ac:dyDescent="0.25">
      <c r="C195" s="57"/>
    </row>
    <row r="196" spans="3:3" ht="14.25" customHeight="1" x14ac:dyDescent="0.25">
      <c r="C196" s="57"/>
    </row>
    <row r="197" spans="3:3" ht="14.25" customHeight="1" x14ac:dyDescent="0.25">
      <c r="C197" s="57"/>
    </row>
    <row r="198" spans="3:3" ht="14.25" customHeight="1" x14ac:dyDescent="0.25">
      <c r="C198" s="57"/>
    </row>
    <row r="199" spans="3:3" ht="14.25" customHeight="1" x14ac:dyDescent="0.25">
      <c r="C199" s="57"/>
    </row>
    <row r="200" spans="3:3" ht="14.25" customHeight="1" x14ac:dyDescent="0.25">
      <c r="C200" s="57"/>
    </row>
    <row r="201" spans="3:3" ht="14.25" customHeight="1" x14ac:dyDescent="0.25">
      <c r="C201" s="57"/>
    </row>
    <row r="202" spans="3:3" ht="14.25" customHeight="1" x14ac:dyDescent="0.25">
      <c r="C202" s="57"/>
    </row>
    <row r="203" spans="3:3" ht="14.25" customHeight="1" x14ac:dyDescent="0.25">
      <c r="C203" s="57"/>
    </row>
    <row r="204" spans="3:3" ht="14.25" customHeight="1" x14ac:dyDescent="0.25">
      <c r="C204" s="57"/>
    </row>
    <row r="205" spans="3:3" ht="14.25" customHeight="1" x14ac:dyDescent="0.25">
      <c r="C205" s="57"/>
    </row>
    <row r="206" spans="3:3" ht="14.25" customHeight="1" x14ac:dyDescent="0.25">
      <c r="C206" s="57"/>
    </row>
    <row r="207" spans="3:3" ht="14.25" customHeight="1" x14ac:dyDescent="0.25">
      <c r="C207" s="57"/>
    </row>
    <row r="208" spans="3:3" ht="14.25" customHeight="1" x14ac:dyDescent="0.25">
      <c r="C208" s="57"/>
    </row>
    <row r="209" spans="3:3" ht="14.25" customHeight="1" x14ac:dyDescent="0.25">
      <c r="C209" s="57"/>
    </row>
    <row r="210" spans="3:3" ht="14.25" customHeight="1" x14ac:dyDescent="0.25">
      <c r="C210" s="57"/>
    </row>
    <row r="211" spans="3:3" ht="14.25" customHeight="1" x14ac:dyDescent="0.25">
      <c r="C211" s="57"/>
    </row>
    <row r="212" spans="3:3" ht="14.25" customHeight="1" x14ac:dyDescent="0.25">
      <c r="C212" s="57"/>
    </row>
    <row r="213" spans="3:3" ht="14.25" customHeight="1" x14ac:dyDescent="0.25">
      <c r="C213" s="57"/>
    </row>
    <row r="214" spans="3:3" ht="14.25" customHeight="1" x14ac:dyDescent="0.25">
      <c r="C214" s="57"/>
    </row>
    <row r="215" spans="3:3" ht="14.25" customHeight="1" x14ac:dyDescent="0.25">
      <c r="C215" s="57"/>
    </row>
    <row r="216" spans="3:3" ht="14.25" customHeight="1" x14ac:dyDescent="0.25">
      <c r="C216" s="57"/>
    </row>
    <row r="217" spans="3:3" ht="14.25" customHeight="1" x14ac:dyDescent="0.25">
      <c r="C217" s="57"/>
    </row>
    <row r="218" spans="3:3" ht="14.25" customHeight="1" x14ac:dyDescent="0.25">
      <c r="C218" s="57"/>
    </row>
    <row r="219" spans="3:3" ht="14.25" customHeight="1" x14ac:dyDescent="0.25">
      <c r="C219" s="57"/>
    </row>
    <row r="220" spans="3:3" ht="14.25" customHeight="1" x14ac:dyDescent="0.25">
      <c r="C220" s="57"/>
    </row>
    <row r="221" spans="3:3" ht="14.25" customHeight="1" x14ac:dyDescent="0.25">
      <c r="C221" s="57"/>
    </row>
    <row r="222" spans="3:3" ht="14.25" customHeight="1" x14ac:dyDescent="0.25">
      <c r="C222" s="57"/>
    </row>
    <row r="223" spans="3:3" ht="14.25" customHeight="1" x14ac:dyDescent="0.25">
      <c r="C223" s="57"/>
    </row>
    <row r="224" spans="3:3" ht="14.25" customHeight="1" x14ac:dyDescent="0.25">
      <c r="C224" s="57"/>
    </row>
    <row r="225" spans="3:3" ht="14.25" customHeight="1" x14ac:dyDescent="0.25">
      <c r="C225" s="57"/>
    </row>
    <row r="226" spans="3:3" ht="14.25" customHeight="1" x14ac:dyDescent="0.25">
      <c r="C226" s="57"/>
    </row>
    <row r="227" spans="3:3" ht="14.25" customHeight="1" x14ac:dyDescent="0.25">
      <c r="C227" s="57"/>
    </row>
    <row r="228" spans="3:3" ht="14.25" customHeight="1" x14ac:dyDescent="0.25">
      <c r="C228" s="57"/>
    </row>
    <row r="229" spans="3:3" ht="14.25" customHeight="1" x14ac:dyDescent="0.25">
      <c r="C229" s="57"/>
    </row>
    <row r="230" spans="3:3" ht="14.25" customHeight="1" x14ac:dyDescent="0.25">
      <c r="C230" s="57"/>
    </row>
    <row r="231" spans="3:3" ht="14.25" customHeight="1" x14ac:dyDescent="0.25">
      <c r="C231" s="57"/>
    </row>
    <row r="232" spans="3:3" ht="14.25" customHeight="1" x14ac:dyDescent="0.25">
      <c r="C232" s="57"/>
    </row>
    <row r="233" spans="3:3" ht="14.25" customHeight="1" x14ac:dyDescent="0.25">
      <c r="C233" s="57"/>
    </row>
    <row r="234" spans="3:3" ht="14.25" customHeight="1" x14ac:dyDescent="0.25">
      <c r="C234" s="57"/>
    </row>
    <row r="235" spans="3:3" ht="14.25" customHeight="1" x14ac:dyDescent="0.25">
      <c r="C235" s="57"/>
    </row>
    <row r="236" spans="3:3" ht="14.25" customHeight="1" x14ac:dyDescent="0.25">
      <c r="C236" s="57"/>
    </row>
    <row r="237" spans="3:3" ht="14.25" customHeight="1" x14ac:dyDescent="0.25">
      <c r="C237" s="57"/>
    </row>
    <row r="238" spans="3:3" ht="14.25" customHeight="1" x14ac:dyDescent="0.25">
      <c r="C238" s="57"/>
    </row>
    <row r="239" spans="3:3" ht="14.25" customHeight="1" x14ac:dyDescent="0.25">
      <c r="C239" s="57"/>
    </row>
    <row r="240" spans="3:3" ht="14.25" customHeight="1" x14ac:dyDescent="0.25">
      <c r="C240" s="57"/>
    </row>
    <row r="241" spans="3:3" ht="14.25" customHeight="1" x14ac:dyDescent="0.25">
      <c r="C241" s="57"/>
    </row>
    <row r="242" spans="3:3" ht="14.25" customHeight="1" x14ac:dyDescent="0.25">
      <c r="C242" s="57"/>
    </row>
    <row r="243" spans="3:3" ht="14.25" customHeight="1" x14ac:dyDescent="0.25">
      <c r="C243" s="57"/>
    </row>
    <row r="244" spans="3:3" ht="14.25" customHeight="1" x14ac:dyDescent="0.25">
      <c r="C244" s="57"/>
    </row>
    <row r="245" spans="3:3" ht="14.25" customHeight="1" x14ac:dyDescent="0.25">
      <c r="C245" s="57"/>
    </row>
    <row r="246" spans="3:3" ht="14.25" customHeight="1" x14ac:dyDescent="0.25">
      <c r="C246" s="57"/>
    </row>
    <row r="247" spans="3:3" ht="14.25" customHeight="1" x14ac:dyDescent="0.25">
      <c r="C247" s="57"/>
    </row>
    <row r="248" spans="3:3" ht="14.25" customHeight="1" x14ac:dyDescent="0.25">
      <c r="C248" s="57"/>
    </row>
    <row r="249" spans="3:3" ht="14.25" customHeight="1" x14ac:dyDescent="0.25">
      <c r="C249" s="57"/>
    </row>
    <row r="250" spans="3:3" ht="14.25" customHeight="1" x14ac:dyDescent="0.25">
      <c r="C250" s="57"/>
    </row>
    <row r="251" spans="3:3" ht="14.25" customHeight="1" x14ac:dyDescent="0.25">
      <c r="C251" s="57"/>
    </row>
    <row r="252" spans="3:3" ht="14.25" customHeight="1" x14ac:dyDescent="0.25">
      <c r="C252" s="57"/>
    </row>
    <row r="253" spans="3:3" ht="14.25" customHeight="1" x14ac:dyDescent="0.25">
      <c r="C253" s="57"/>
    </row>
    <row r="254" spans="3:3" ht="14.25" customHeight="1" x14ac:dyDescent="0.25">
      <c r="C254" s="57"/>
    </row>
    <row r="255" spans="3:3" ht="14.25" customHeight="1" x14ac:dyDescent="0.25">
      <c r="C255" s="57"/>
    </row>
    <row r="256" spans="3:3" ht="14.25" customHeight="1" x14ac:dyDescent="0.25">
      <c r="C256" s="57"/>
    </row>
    <row r="257" spans="3:3" ht="14.25" customHeight="1" x14ac:dyDescent="0.25">
      <c r="C257" s="57"/>
    </row>
    <row r="258" spans="3:3" ht="14.25" customHeight="1" x14ac:dyDescent="0.25">
      <c r="C258" s="57"/>
    </row>
    <row r="259" spans="3:3" ht="14.25" customHeight="1" x14ac:dyDescent="0.25">
      <c r="C259" s="57"/>
    </row>
    <row r="260" spans="3:3" ht="14.25" customHeight="1" x14ac:dyDescent="0.25">
      <c r="C260" s="57"/>
    </row>
    <row r="261" spans="3:3" ht="14.25" customHeight="1" x14ac:dyDescent="0.25">
      <c r="C261" s="57"/>
    </row>
    <row r="262" spans="3:3" ht="14.25" customHeight="1" x14ac:dyDescent="0.25">
      <c r="C262" s="57"/>
    </row>
    <row r="263" spans="3:3" ht="14.25" customHeight="1" x14ac:dyDescent="0.25">
      <c r="C263" s="57"/>
    </row>
    <row r="264" spans="3:3" ht="14.25" customHeight="1" x14ac:dyDescent="0.25">
      <c r="C264" s="57"/>
    </row>
    <row r="265" spans="3:3" ht="14.25" customHeight="1" x14ac:dyDescent="0.25">
      <c r="C265" s="57"/>
    </row>
    <row r="266" spans="3:3" ht="14.25" customHeight="1" x14ac:dyDescent="0.25">
      <c r="C266" s="57"/>
    </row>
    <row r="267" spans="3:3" ht="14.25" customHeight="1" x14ac:dyDescent="0.25">
      <c r="C267" s="57"/>
    </row>
    <row r="268" spans="3:3" ht="14.25" customHeight="1" x14ac:dyDescent="0.25">
      <c r="C268" s="57"/>
    </row>
    <row r="269" spans="3:3" ht="14.25" customHeight="1" x14ac:dyDescent="0.25">
      <c r="C269" s="57"/>
    </row>
    <row r="270" spans="3:3" ht="14.25" customHeight="1" x14ac:dyDescent="0.25">
      <c r="C270" s="57"/>
    </row>
    <row r="271" spans="3:3" ht="14.25" customHeight="1" x14ac:dyDescent="0.25">
      <c r="C271" s="57"/>
    </row>
    <row r="272" spans="3:3" ht="14.25" customHeight="1" x14ac:dyDescent="0.25">
      <c r="C272" s="57"/>
    </row>
    <row r="273" spans="3:3" ht="14.25" customHeight="1" x14ac:dyDescent="0.25">
      <c r="C273" s="57"/>
    </row>
    <row r="274" spans="3:3" ht="14.25" customHeight="1" x14ac:dyDescent="0.25">
      <c r="C274" s="57"/>
    </row>
    <row r="275" spans="3:3" ht="14.25" customHeight="1" x14ac:dyDescent="0.25">
      <c r="C275" s="57"/>
    </row>
    <row r="276" spans="3:3" ht="14.25" customHeight="1" x14ac:dyDescent="0.25">
      <c r="C276" s="57"/>
    </row>
    <row r="277" spans="3:3" ht="14.25" customHeight="1" x14ac:dyDescent="0.25">
      <c r="C277" s="57"/>
    </row>
    <row r="278" spans="3:3" ht="14.25" customHeight="1" x14ac:dyDescent="0.25">
      <c r="C278" s="57"/>
    </row>
    <row r="279" spans="3:3" ht="14.25" customHeight="1" x14ac:dyDescent="0.25">
      <c r="C279" s="57"/>
    </row>
    <row r="280" spans="3:3" ht="14.25" customHeight="1" x14ac:dyDescent="0.25">
      <c r="C280" s="57"/>
    </row>
    <row r="281" spans="3:3" ht="14.25" customHeight="1" x14ac:dyDescent="0.25">
      <c r="C281" s="57"/>
    </row>
    <row r="282" spans="3:3" ht="14.25" customHeight="1" x14ac:dyDescent="0.25">
      <c r="C282" s="57"/>
    </row>
    <row r="283" spans="3:3" ht="14.25" customHeight="1" x14ac:dyDescent="0.25">
      <c r="C283" s="57"/>
    </row>
    <row r="284" spans="3:3" ht="14.25" customHeight="1" x14ac:dyDescent="0.25">
      <c r="C284" s="57"/>
    </row>
    <row r="285" spans="3:3" ht="14.25" customHeight="1" x14ac:dyDescent="0.25">
      <c r="C285" s="57"/>
    </row>
    <row r="286" spans="3:3" ht="14.25" customHeight="1" x14ac:dyDescent="0.25">
      <c r="C286" s="57"/>
    </row>
    <row r="287" spans="3:3" ht="14.25" customHeight="1" x14ac:dyDescent="0.25">
      <c r="C287" s="57"/>
    </row>
    <row r="288" spans="3:3" ht="14.25" customHeight="1" x14ac:dyDescent="0.25">
      <c r="C288" s="57"/>
    </row>
    <row r="289" spans="3:3" ht="14.25" customHeight="1" x14ac:dyDescent="0.25">
      <c r="C289" s="57"/>
    </row>
    <row r="290" spans="3:3" ht="14.25" customHeight="1" x14ac:dyDescent="0.25">
      <c r="C290" s="57"/>
    </row>
    <row r="291" spans="3:3" ht="14.25" customHeight="1" x14ac:dyDescent="0.25">
      <c r="C291" s="57"/>
    </row>
    <row r="292" spans="3:3" ht="14.25" customHeight="1" x14ac:dyDescent="0.25">
      <c r="C292" s="57"/>
    </row>
    <row r="293" spans="3:3" ht="14.25" customHeight="1" x14ac:dyDescent="0.25">
      <c r="C293" s="57"/>
    </row>
    <row r="294" spans="3:3" ht="14.25" customHeight="1" x14ac:dyDescent="0.25">
      <c r="C294" s="57"/>
    </row>
    <row r="295" spans="3:3" ht="14.25" customHeight="1" x14ac:dyDescent="0.25">
      <c r="C295" s="57"/>
    </row>
    <row r="296" spans="3:3" ht="14.25" customHeight="1" x14ac:dyDescent="0.25">
      <c r="C296" s="57"/>
    </row>
    <row r="297" spans="3:3" ht="14.25" customHeight="1" x14ac:dyDescent="0.25">
      <c r="C297" s="57"/>
    </row>
    <row r="298" spans="3:3" ht="14.25" customHeight="1" x14ac:dyDescent="0.25">
      <c r="C298" s="57"/>
    </row>
    <row r="299" spans="3:3" ht="14.25" customHeight="1" x14ac:dyDescent="0.25">
      <c r="C299" s="57"/>
    </row>
    <row r="300" spans="3:3" ht="14.25" customHeight="1" x14ac:dyDescent="0.25">
      <c r="C300" s="57"/>
    </row>
    <row r="301" spans="3:3" ht="14.25" customHeight="1" x14ac:dyDescent="0.25">
      <c r="C301" s="57"/>
    </row>
    <row r="302" spans="3:3" ht="14.25" customHeight="1" x14ac:dyDescent="0.25">
      <c r="C302" s="57"/>
    </row>
    <row r="303" spans="3:3" ht="14.25" customHeight="1" x14ac:dyDescent="0.25">
      <c r="C303" s="57"/>
    </row>
    <row r="304" spans="3:3" ht="14.25" customHeight="1" x14ac:dyDescent="0.25">
      <c r="C304" s="57"/>
    </row>
    <row r="305" spans="3:3" ht="14.25" customHeight="1" x14ac:dyDescent="0.25">
      <c r="C305" s="57"/>
    </row>
    <row r="306" spans="3:3" ht="14.25" customHeight="1" x14ac:dyDescent="0.25">
      <c r="C306" s="57"/>
    </row>
    <row r="307" spans="3:3" ht="14.25" customHeight="1" x14ac:dyDescent="0.25">
      <c r="C307" s="57"/>
    </row>
    <row r="308" spans="3:3" ht="14.25" customHeight="1" x14ac:dyDescent="0.25">
      <c r="C308" s="57"/>
    </row>
    <row r="309" spans="3:3" ht="14.25" customHeight="1" x14ac:dyDescent="0.25">
      <c r="C309" s="57"/>
    </row>
    <row r="310" spans="3:3" ht="14.25" customHeight="1" x14ac:dyDescent="0.25">
      <c r="C310" s="57"/>
    </row>
    <row r="311" spans="3:3" ht="14.25" customHeight="1" x14ac:dyDescent="0.25">
      <c r="C311" s="57"/>
    </row>
    <row r="312" spans="3:3" ht="14.25" customHeight="1" x14ac:dyDescent="0.25">
      <c r="C312" s="57"/>
    </row>
    <row r="313" spans="3:3" ht="14.25" customHeight="1" x14ac:dyDescent="0.25">
      <c r="C313" s="57"/>
    </row>
    <row r="314" spans="3:3" ht="14.25" customHeight="1" x14ac:dyDescent="0.25">
      <c r="C314" s="57"/>
    </row>
    <row r="315" spans="3:3" ht="14.25" customHeight="1" x14ac:dyDescent="0.25">
      <c r="C315" s="57"/>
    </row>
    <row r="316" spans="3:3" ht="14.25" customHeight="1" x14ac:dyDescent="0.25">
      <c r="C316" s="57"/>
    </row>
    <row r="317" spans="3:3" ht="14.25" customHeight="1" x14ac:dyDescent="0.25">
      <c r="C317" s="57"/>
    </row>
    <row r="318" spans="3:3" ht="14.25" customHeight="1" x14ac:dyDescent="0.25">
      <c r="C318" s="57"/>
    </row>
    <row r="319" spans="3:3" ht="14.25" customHeight="1" x14ac:dyDescent="0.25">
      <c r="C319" s="57"/>
    </row>
    <row r="320" spans="3:3" ht="14.25" customHeight="1" x14ac:dyDescent="0.25">
      <c r="C320" s="57"/>
    </row>
    <row r="321" spans="3:3" ht="14.25" customHeight="1" x14ac:dyDescent="0.25">
      <c r="C321" s="57"/>
    </row>
    <row r="322" spans="3:3" ht="14.25" customHeight="1" x14ac:dyDescent="0.25">
      <c r="C322" s="57"/>
    </row>
    <row r="323" spans="3:3" ht="14.25" customHeight="1" x14ac:dyDescent="0.25">
      <c r="C323" s="57"/>
    </row>
    <row r="324" spans="3:3" ht="14.25" customHeight="1" x14ac:dyDescent="0.25">
      <c r="C324" s="57"/>
    </row>
    <row r="325" spans="3:3" ht="14.25" customHeight="1" x14ac:dyDescent="0.25">
      <c r="C325" s="57"/>
    </row>
    <row r="326" spans="3:3" ht="14.25" customHeight="1" x14ac:dyDescent="0.25">
      <c r="C326" s="57"/>
    </row>
    <row r="327" spans="3:3" ht="14.25" customHeight="1" x14ac:dyDescent="0.25">
      <c r="C327" s="57"/>
    </row>
    <row r="328" spans="3:3" ht="14.25" customHeight="1" x14ac:dyDescent="0.25">
      <c r="C328" s="57"/>
    </row>
    <row r="329" spans="3:3" ht="14.25" customHeight="1" x14ac:dyDescent="0.25">
      <c r="C329" s="57"/>
    </row>
    <row r="330" spans="3:3" ht="14.25" customHeight="1" x14ac:dyDescent="0.25">
      <c r="C330" s="57"/>
    </row>
    <row r="331" spans="3:3" ht="14.25" customHeight="1" x14ac:dyDescent="0.25">
      <c r="C331" s="57"/>
    </row>
    <row r="332" spans="3:3" ht="14.25" customHeight="1" x14ac:dyDescent="0.25">
      <c r="C332" s="57"/>
    </row>
    <row r="333" spans="3:3" ht="14.25" customHeight="1" x14ac:dyDescent="0.25">
      <c r="C333" s="57"/>
    </row>
    <row r="334" spans="3:3" ht="14.25" customHeight="1" x14ac:dyDescent="0.25">
      <c r="C334" s="57"/>
    </row>
    <row r="335" spans="3:3" ht="14.25" customHeight="1" x14ac:dyDescent="0.25">
      <c r="C335" s="57"/>
    </row>
    <row r="336" spans="3:3" ht="14.25" customHeight="1" x14ac:dyDescent="0.25">
      <c r="C336" s="57"/>
    </row>
    <row r="337" spans="3:3" ht="14.25" customHeight="1" x14ac:dyDescent="0.25">
      <c r="C337" s="57"/>
    </row>
    <row r="338" spans="3:3" ht="14.25" customHeight="1" x14ac:dyDescent="0.25">
      <c r="C338" s="57"/>
    </row>
    <row r="339" spans="3:3" ht="14.25" customHeight="1" x14ac:dyDescent="0.25">
      <c r="C339" s="57"/>
    </row>
    <row r="340" spans="3:3" ht="14.25" customHeight="1" x14ac:dyDescent="0.25">
      <c r="C340" s="57"/>
    </row>
    <row r="341" spans="3:3" ht="14.25" customHeight="1" x14ac:dyDescent="0.25">
      <c r="C341" s="57"/>
    </row>
    <row r="342" spans="3:3" ht="14.25" customHeight="1" x14ac:dyDescent="0.25">
      <c r="C342" s="57"/>
    </row>
    <row r="343" spans="3:3" ht="14.25" customHeight="1" x14ac:dyDescent="0.25">
      <c r="C343" s="57"/>
    </row>
    <row r="344" spans="3:3" ht="14.25" customHeight="1" x14ac:dyDescent="0.25">
      <c r="C344" s="57"/>
    </row>
    <row r="345" spans="3:3" ht="14.25" customHeight="1" x14ac:dyDescent="0.25">
      <c r="C345" s="57"/>
    </row>
    <row r="346" spans="3:3" ht="14.25" customHeight="1" x14ac:dyDescent="0.25">
      <c r="C346" s="57"/>
    </row>
    <row r="347" spans="3:3" ht="14.25" customHeight="1" x14ac:dyDescent="0.25">
      <c r="C347" s="57"/>
    </row>
    <row r="348" spans="3:3" ht="14.25" customHeight="1" x14ac:dyDescent="0.25">
      <c r="C348" s="57"/>
    </row>
    <row r="349" spans="3:3" ht="14.25" customHeight="1" x14ac:dyDescent="0.25">
      <c r="C349" s="57"/>
    </row>
    <row r="350" spans="3:3" ht="14.25" customHeight="1" x14ac:dyDescent="0.25">
      <c r="C350" s="57"/>
    </row>
    <row r="351" spans="3:3" ht="14.25" customHeight="1" x14ac:dyDescent="0.25">
      <c r="C351" s="57"/>
    </row>
    <row r="352" spans="3:3" ht="14.25" customHeight="1" x14ac:dyDescent="0.25">
      <c r="C352" s="57"/>
    </row>
    <row r="353" spans="3:3" ht="14.25" customHeight="1" x14ac:dyDescent="0.25">
      <c r="C353" s="57"/>
    </row>
    <row r="354" spans="3:3" ht="14.25" customHeight="1" x14ac:dyDescent="0.25">
      <c r="C354" s="57"/>
    </row>
    <row r="355" spans="3:3" ht="14.25" customHeight="1" x14ac:dyDescent="0.25">
      <c r="C355" s="57"/>
    </row>
    <row r="356" spans="3:3" ht="14.25" customHeight="1" x14ac:dyDescent="0.25">
      <c r="C356" s="57"/>
    </row>
    <row r="357" spans="3:3" ht="14.25" customHeight="1" x14ac:dyDescent="0.25">
      <c r="C357" s="57"/>
    </row>
    <row r="358" spans="3:3" ht="14.25" customHeight="1" x14ac:dyDescent="0.25">
      <c r="C358" s="57"/>
    </row>
    <row r="359" spans="3:3" ht="14.25" customHeight="1" x14ac:dyDescent="0.25">
      <c r="C359" s="57"/>
    </row>
    <row r="360" spans="3:3" ht="14.25" customHeight="1" x14ac:dyDescent="0.25">
      <c r="C360" s="57"/>
    </row>
    <row r="361" spans="3:3" ht="14.25" customHeight="1" x14ac:dyDescent="0.25">
      <c r="C361" s="57"/>
    </row>
    <row r="362" spans="3:3" ht="14.25" customHeight="1" x14ac:dyDescent="0.25">
      <c r="C362" s="57"/>
    </row>
    <row r="363" spans="3:3" ht="14.25" customHeight="1" x14ac:dyDescent="0.25">
      <c r="C363" s="57"/>
    </row>
    <row r="364" spans="3:3" ht="14.25" customHeight="1" x14ac:dyDescent="0.25">
      <c r="C364" s="57"/>
    </row>
    <row r="365" spans="3:3" ht="14.25" customHeight="1" x14ac:dyDescent="0.25">
      <c r="C365" s="57"/>
    </row>
    <row r="366" spans="3:3" ht="14.25" customHeight="1" x14ac:dyDescent="0.25">
      <c r="C366" s="57"/>
    </row>
    <row r="367" spans="3:3" ht="14.25" customHeight="1" x14ac:dyDescent="0.25">
      <c r="C367" s="57"/>
    </row>
    <row r="368" spans="3:3" ht="14.25" customHeight="1" x14ac:dyDescent="0.25">
      <c r="C368" s="57"/>
    </row>
    <row r="369" spans="3:3" ht="14.25" customHeight="1" x14ac:dyDescent="0.25">
      <c r="C369" s="57"/>
    </row>
    <row r="370" spans="3:3" ht="14.25" customHeight="1" x14ac:dyDescent="0.25">
      <c r="C370" s="57"/>
    </row>
    <row r="371" spans="3:3" ht="14.25" customHeight="1" x14ac:dyDescent="0.25">
      <c r="C371" s="57"/>
    </row>
    <row r="372" spans="3:3" ht="14.25" customHeight="1" x14ac:dyDescent="0.25">
      <c r="C372" s="57"/>
    </row>
    <row r="373" spans="3:3" ht="14.25" customHeight="1" x14ac:dyDescent="0.25">
      <c r="C373" s="57"/>
    </row>
    <row r="374" spans="3:3" ht="14.25" customHeight="1" x14ac:dyDescent="0.25">
      <c r="C374" s="57"/>
    </row>
    <row r="375" spans="3:3" ht="14.25" customHeight="1" x14ac:dyDescent="0.25">
      <c r="C375" s="57"/>
    </row>
    <row r="376" spans="3:3" ht="14.25" customHeight="1" x14ac:dyDescent="0.25">
      <c r="C376" s="57"/>
    </row>
    <row r="377" spans="3:3" ht="14.25" customHeight="1" x14ac:dyDescent="0.25">
      <c r="C377" s="57"/>
    </row>
    <row r="378" spans="3:3" ht="14.25" customHeight="1" x14ac:dyDescent="0.25">
      <c r="C378" s="57"/>
    </row>
    <row r="379" spans="3:3" ht="14.25" customHeight="1" x14ac:dyDescent="0.25">
      <c r="C379" s="57"/>
    </row>
    <row r="380" spans="3:3" ht="14.25" customHeight="1" x14ac:dyDescent="0.25">
      <c r="C380" s="57"/>
    </row>
    <row r="381" spans="3:3" ht="14.25" customHeight="1" x14ac:dyDescent="0.25">
      <c r="C381" s="57"/>
    </row>
    <row r="382" spans="3:3" ht="14.25" customHeight="1" x14ac:dyDescent="0.25">
      <c r="C382" s="57"/>
    </row>
    <row r="383" spans="3:3" ht="14.25" customHeight="1" x14ac:dyDescent="0.25">
      <c r="C383" s="57"/>
    </row>
    <row r="384" spans="3:3" ht="14.25" customHeight="1" x14ac:dyDescent="0.25">
      <c r="C384" s="57"/>
    </row>
    <row r="385" spans="3:3" ht="14.25" customHeight="1" x14ac:dyDescent="0.25">
      <c r="C385" s="57"/>
    </row>
    <row r="386" spans="3:3" ht="14.25" customHeight="1" x14ac:dyDescent="0.25">
      <c r="C386" s="57"/>
    </row>
    <row r="387" spans="3:3" ht="14.25" customHeight="1" x14ac:dyDescent="0.25">
      <c r="C387" s="57"/>
    </row>
    <row r="388" spans="3:3" ht="14.25" customHeight="1" x14ac:dyDescent="0.25">
      <c r="C388" s="57"/>
    </row>
    <row r="389" spans="3:3" ht="14.25" customHeight="1" x14ac:dyDescent="0.25">
      <c r="C389" s="57"/>
    </row>
    <row r="390" spans="3:3" ht="14.25" customHeight="1" x14ac:dyDescent="0.25">
      <c r="C390" s="57"/>
    </row>
    <row r="391" spans="3:3" ht="14.25" customHeight="1" x14ac:dyDescent="0.25">
      <c r="C391" s="57"/>
    </row>
    <row r="392" spans="3:3" ht="14.25" customHeight="1" x14ac:dyDescent="0.25">
      <c r="C392" s="57"/>
    </row>
    <row r="393" spans="3:3" ht="14.25" customHeight="1" x14ac:dyDescent="0.25">
      <c r="C393" s="57"/>
    </row>
    <row r="394" spans="3:3" ht="14.25" customHeight="1" x14ac:dyDescent="0.25">
      <c r="C394" s="57"/>
    </row>
    <row r="395" spans="3:3" ht="14.25" customHeight="1" x14ac:dyDescent="0.25">
      <c r="C395" s="57"/>
    </row>
    <row r="396" spans="3:3" ht="14.25" customHeight="1" x14ac:dyDescent="0.25">
      <c r="C396" s="57"/>
    </row>
    <row r="397" spans="3:3" ht="14.25" customHeight="1" x14ac:dyDescent="0.25">
      <c r="C397" s="57"/>
    </row>
    <row r="398" spans="3:3" ht="14.25" customHeight="1" x14ac:dyDescent="0.25">
      <c r="C398" s="57"/>
    </row>
    <row r="399" spans="3:3" ht="14.25" customHeight="1" x14ac:dyDescent="0.25">
      <c r="C399" s="57"/>
    </row>
    <row r="400" spans="3:3" ht="14.25" customHeight="1" x14ac:dyDescent="0.25">
      <c r="C400" s="57"/>
    </row>
    <row r="401" spans="3:3" ht="14.25" customHeight="1" x14ac:dyDescent="0.25">
      <c r="C401" s="57"/>
    </row>
    <row r="402" spans="3:3" ht="14.25" customHeight="1" x14ac:dyDescent="0.25">
      <c r="C402" s="57"/>
    </row>
    <row r="403" spans="3:3" ht="14.25" customHeight="1" x14ac:dyDescent="0.25">
      <c r="C403" s="57"/>
    </row>
    <row r="404" spans="3:3" ht="14.25" customHeight="1" x14ac:dyDescent="0.25">
      <c r="C404" s="57"/>
    </row>
    <row r="405" spans="3:3" ht="14.25" customHeight="1" x14ac:dyDescent="0.25">
      <c r="C405" s="57"/>
    </row>
    <row r="406" spans="3:3" ht="14.25" customHeight="1" x14ac:dyDescent="0.25">
      <c r="C406" s="57"/>
    </row>
    <row r="407" spans="3:3" ht="14.25" customHeight="1" x14ac:dyDescent="0.25">
      <c r="C407" s="57"/>
    </row>
    <row r="408" spans="3:3" ht="14.25" customHeight="1" x14ac:dyDescent="0.25">
      <c r="C408" s="57"/>
    </row>
    <row r="409" spans="3:3" ht="14.25" customHeight="1" x14ac:dyDescent="0.25">
      <c r="C409" s="57"/>
    </row>
    <row r="410" spans="3:3" ht="14.25" customHeight="1" x14ac:dyDescent="0.25">
      <c r="C410" s="57"/>
    </row>
    <row r="411" spans="3:3" ht="14.25" customHeight="1" x14ac:dyDescent="0.25">
      <c r="C411" s="57"/>
    </row>
    <row r="412" spans="3:3" ht="14.25" customHeight="1" x14ac:dyDescent="0.25">
      <c r="C412" s="57"/>
    </row>
    <row r="413" spans="3:3" ht="14.25" customHeight="1" x14ac:dyDescent="0.25">
      <c r="C413" s="57"/>
    </row>
    <row r="414" spans="3:3" ht="14.25" customHeight="1" x14ac:dyDescent="0.25">
      <c r="C414" s="57"/>
    </row>
    <row r="415" spans="3:3" ht="14.25" customHeight="1" x14ac:dyDescent="0.25">
      <c r="C415" s="57"/>
    </row>
    <row r="416" spans="3:3" ht="14.25" customHeight="1" x14ac:dyDescent="0.25">
      <c r="C416" s="57"/>
    </row>
    <row r="417" spans="3:3" ht="14.25" customHeight="1" x14ac:dyDescent="0.25">
      <c r="C417" s="57"/>
    </row>
    <row r="418" spans="3:3" ht="14.25" customHeight="1" x14ac:dyDescent="0.25">
      <c r="C418" s="57"/>
    </row>
    <row r="419" spans="3:3" ht="14.25" customHeight="1" x14ac:dyDescent="0.25">
      <c r="C419" s="57"/>
    </row>
    <row r="420" spans="3:3" ht="14.25" customHeight="1" x14ac:dyDescent="0.25">
      <c r="C420" s="57"/>
    </row>
    <row r="421" spans="3:3" ht="14.25" customHeight="1" x14ac:dyDescent="0.25">
      <c r="C421" s="57"/>
    </row>
    <row r="422" spans="3:3" ht="14.25" customHeight="1" x14ac:dyDescent="0.25">
      <c r="C422" s="57"/>
    </row>
    <row r="423" spans="3:3" ht="14.25" customHeight="1" x14ac:dyDescent="0.25">
      <c r="C423" s="57"/>
    </row>
    <row r="424" spans="3:3" ht="14.25" customHeight="1" x14ac:dyDescent="0.25">
      <c r="C424" s="57"/>
    </row>
    <row r="425" spans="3:3" ht="14.25" customHeight="1" x14ac:dyDescent="0.25">
      <c r="C425" s="57"/>
    </row>
    <row r="426" spans="3:3" ht="14.25" customHeight="1" x14ac:dyDescent="0.25">
      <c r="C426" s="57"/>
    </row>
    <row r="427" spans="3:3" ht="14.25" customHeight="1" x14ac:dyDescent="0.25">
      <c r="C427" s="57"/>
    </row>
    <row r="428" spans="3:3" ht="14.25" customHeight="1" x14ac:dyDescent="0.25">
      <c r="C428" s="57"/>
    </row>
    <row r="429" spans="3:3" ht="14.25" customHeight="1" x14ac:dyDescent="0.25">
      <c r="C429" s="57"/>
    </row>
    <row r="430" spans="3:3" ht="14.25" customHeight="1" x14ac:dyDescent="0.25">
      <c r="C430" s="57"/>
    </row>
    <row r="431" spans="3:3" ht="14.25" customHeight="1" x14ac:dyDescent="0.25">
      <c r="C431" s="57"/>
    </row>
    <row r="432" spans="3:3" ht="14.25" customHeight="1" x14ac:dyDescent="0.25">
      <c r="C432" s="57"/>
    </row>
    <row r="433" spans="3:3" ht="14.25" customHeight="1" x14ac:dyDescent="0.25">
      <c r="C433" s="57"/>
    </row>
    <row r="434" spans="3:3" ht="14.25" customHeight="1" x14ac:dyDescent="0.25">
      <c r="C434" s="57"/>
    </row>
    <row r="435" spans="3:3" ht="14.25" customHeight="1" x14ac:dyDescent="0.25">
      <c r="C435" s="57"/>
    </row>
    <row r="436" spans="3:3" ht="14.25" customHeight="1" x14ac:dyDescent="0.25">
      <c r="C436" s="57"/>
    </row>
    <row r="437" spans="3:3" ht="14.25" customHeight="1" x14ac:dyDescent="0.25">
      <c r="C437" s="57"/>
    </row>
    <row r="438" spans="3:3" ht="14.25" customHeight="1" x14ac:dyDescent="0.25">
      <c r="C438" s="57"/>
    </row>
    <row r="439" spans="3:3" ht="14.25" customHeight="1" x14ac:dyDescent="0.25">
      <c r="C439" s="57"/>
    </row>
    <row r="440" spans="3:3" ht="14.25" customHeight="1" x14ac:dyDescent="0.25">
      <c r="C440" s="57"/>
    </row>
    <row r="441" spans="3:3" ht="14.25" customHeight="1" x14ac:dyDescent="0.25">
      <c r="C441" s="57"/>
    </row>
    <row r="442" spans="3:3" ht="14.25" customHeight="1" x14ac:dyDescent="0.25">
      <c r="C442" s="57"/>
    </row>
    <row r="443" spans="3:3" ht="14.25" customHeight="1" x14ac:dyDescent="0.25">
      <c r="C443" s="57"/>
    </row>
    <row r="444" spans="3:3" ht="14.25" customHeight="1" x14ac:dyDescent="0.25">
      <c r="C444" s="57"/>
    </row>
    <row r="445" spans="3:3" ht="14.25" customHeight="1" x14ac:dyDescent="0.25">
      <c r="C445" s="57"/>
    </row>
    <row r="446" spans="3:3" ht="14.25" customHeight="1" x14ac:dyDescent="0.25">
      <c r="C446" s="57"/>
    </row>
    <row r="447" spans="3:3" ht="14.25" customHeight="1" x14ac:dyDescent="0.25">
      <c r="C447" s="57"/>
    </row>
    <row r="448" spans="3:3" ht="14.25" customHeight="1" x14ac:dyDescent="0.25">
      <c r="C448" s="57"/>
    </row>
    <row r="449" spans="3:3" ht="14.25" customHeight="1" x14ac:dyDescent="0.25">
      <c r="C449" s="57"/>
    </row>
    <row r="450" spans="3:3" ht="14.25" customHeight="1" x14ac:dyDescent="0.25">
      <c r="C450" s="57"/>
    </row>
    <row r="451" spans="3:3" ht="14.25" customHeight="1" x14ac:dyDescent="0.25">
      <c r="C451" s="57"/>
    </row>
    <row r="452" spans="3:3" ht="14.25" customHeight="1" x14ac:dyDescent="0.25">
      <c r="C452" s="57"/>
    </row>
    <row r="453" spans="3:3" ht="14.25" customHeight="1" x14ac:dyDescent="0.25">
      <c r="C453" s="57"/>
    </row>
    <row r="454" spans="3:3" ht="14.25" customHeight="1" x14ac:dyDescent="0.25">
      <c r="C454" s="57"/>
    </row>
    <row r="455" spans="3:3" ht="14.25" customHeight="1" x14ac:dyDescent="0.25">
      <c r="C455" s="57"/>
    </row>
    <row r="456" spans="3:3" ht="14.25" customHeight="1" x14ac:dyDescent="0.25">
      <c r="C456" s="57"/>
    </row>
    <row r="457" spans="3:3" ht="14.25" customHeight="1" x14ac:dyDescent="0.25">
      <c r="C457" s="57"/>
    </row>
    <row r="458" spans="3:3" ht="14.25" customHeight="1" x14ac:dyDescent="0.25">
      <c r="C458" s="57"/>
    </row>
    <row r="459" spans="3:3" ht="14.25" customHeight="1" x14ac:dyDescent="0.25">
      <c r="C459" s="57"/>
    </row>
    <row r="460" spans="3:3" ht="14.25" customHeight="1" x14ac:dyDescent="0.25">
      <c r="C460" s="57"/>
    </row>
    <row r="461" spans="3:3" ht="14.25" customHeight="1" x14ac:dyDescent="0.25">
      <c r="C461" s="57"/>
    </row>
    <row r="462" spans="3:3" ht="14.25" customHeight="1" x14ac:dyDescent="0.25">
      <c r="C462" s="57"/>
    </row>
    <row r="463" spans="3:3" ht="14.25" customHeight="1" x14ac:dyDescent="0.25">
      <c r="C463" s="57"/>
    </row>
    <row r="464" spans="3:3" ht="14.25" customHeight="1" x14ac:dyDescent="0.25">
      <c r="C464" s="57"/>
    </row>
    <row r="465" spans="3:3" ht="14.25" customHeight="1" x14ac:dyDescent="0.25">
      <c r="C465" s="57"/>
    </row>
    <row r="466" spans="3:3" ht="14.25" customHeight="1" x14ac:dyDescent="0.25">
      <c r="C466" s="57"/>
    </row>
    <row r="467" spans="3:3" ht="14.25" customHeight="1" x14ac:dyDescent="0.25">
      <c r="C467" s="57"/>
    </row>
    <row r="468" spans="3:3" ht="14.25" customHeight="1" x14ac:dyDescent="0.25">
      <c r="C468" s="57"/>
    </row>
    <row r="469" spans="3:3" ht="14.25" customHeight="1" x14ac:dyDescent="0.25">
      <c r="C469" s="57"/>
    </row>
    <row r="470" spans="3:3" ht="14.25" customHeight="1" x14ac:dyDescent="0.25">
      <c r="C470" s="57"/>
    </row>
    <row r="471" spans="3:3" ht="14.25" customHeight="1" x14ac:dyDescent="0.25">
      <c r="C471" s="57"/>
    </row>
    <row r="472" spans="3:3" ht="14.25" customHeight="1" x14ac:dyDescent="0.25">
      <c r="C472" s="57"/>
    </row>
    <row r="473" spans="3:3" ht="14.25" customHeight="1" x14ac:dyDescent="0.25">
      <c r="C473" s="57"/>
    </row>
    <row r="474" spans="3:3" ht="14.25" customHeight="1" x14ac:dyDescent="0.25">
      <c r="C474" s="57"/>
    </row>
    <row r="475" spans="3:3" ht="14.25" customHeight="1" x14ac:dyDescent="0.25">
      <c r="C475" s="57"/>
    </row>
    <row r="476" spans="3:3" ht="14.25" customHeight="1" x14ac:dyDescent="0.25">
      <c r="C476" s="57"/>
    </row>
    <row r="477" spans="3:3" ht="14.25" customHeight="1" x14ac:dyDescent="0.25">
      <c r="C477" s="57"/>
    </row>
    <row r="478" spans="3:3" ht="14.25" customHeight="1" x14ac:dyDescent="0.25">
      <c r="C478" s="57"/>
    </row>
    <row r="479" spans="3:3" ht="14.25" customHeight="1" x14ac:dyDescent="0.25">
      <c r="C479" s="57"/>
    </row>
    <row r="480" spans="3:3" ht="14.25" customHeight="1" x14ac:dyDescent="0.25">
      <c r="C480" s="57"/>
    </row>
    <row r="481" spans="3:3" ht="14.25" customHeight="1" x14ac:dyDescent="0.25">
      <c r="C481" s="57"/>
    </row>
    <row r="482" spans="3:3" ht="14.25" customHeight="1" x14ac:dyDescent="0.25">
      <c r="C482" s="57"/>
    </row>
    <row r="483" spans="3:3" ht="14.25" customHeight="1" x14ac:dyDescent="0.25">
      <c r="C483" s="57"/>
    </row>
    <row r="484" spans="3:3" ht="14.25" customHeight="1" x14ac:dyDescent="0.25">
      <c r="C484" s="57"/>
    </row>
    <row r="485" spans="3:3" ht="14.25" customHeight="1" x14ac:dyDescent="0.25">
      <c r="C485" s="57"/>
    </row>
    <row r="486" spans="3:3" ht="14.25" customHeight="1" x14ac:dyDescent="0.25">
      <c r="C486" s="57"/>
    </row>
    <row r="487" spans="3:3" ht="14.25" customHeight="1" x14ac:dyDescent="0.25">
      <c r="C487" s="57"/>
    </row>
    <row r="488" spans="3:3" ht="14.25" customHeight="1" x14ac:dyDescent="0.25">
      <c r="C488" s="57"/>
    </row>
    <row r="489" spans="3:3" ht="14.25" customHeight="1" x14ac:dyDescent="0.25">
      <c r="C489" s="57"/>
    </row>
    <row r="490" spans="3:3" ht="14.25" customHeight="1" x14ac:dyDescent="0.25">
      <c r="C490" s="57"/>
    </row>
    <row r="491" spans="3:3" ht="14.25" customHeight="1" x14ac:dyDescent="0.25">
      <c r="C491" s="57"/>
    </row>
    <row r="492" spans="3:3" ht="14.25" customHeight="1" x14ac:dyDescent="0.25">
      <c r="C492" s="57"/>
    </row>
    <row r="493" spans="3:3" ht="14.25" customHeight="1" x14ac:dyDescent="0.25">
      <c r="C493" s="57"/>
    </row>
    <row r="494" spans="3:3" ht="14.25" customHeight="1" x14ac:dyDescent="0.25">
      <c r="C494" s="57"/>
    </row>
    <row r="495" spans="3:3" ht="14.25" customHeight="1" x14ac:dyDescent="0.25">
      <c r="C495" s="57"/>
    </row>
    <row r="496" spans="3:3" ht="14.25" customHeight="1" x14ac:dyDescent="0.25">
      <c r="C496" s="57"/>
    </row>
    <row r="497" spans="3:3" ht="14.25" customHeight="1" x14ac:dyDescent="0.25">
      <c r="C497" s="57"/>
    </row>
    <row r="498" spans="3:3" ht="14.25" customHeight="1" x14ac:dyDescent="0.25">
      <c r="C498" s="57"/>
    </row>
    <row r="499" spans="3:3" ht="14.25" customHeight="1" x14ac:dyDescent="0.25">
      <c r="C499" s="57"/>
    </row>
    <row r="500" spans="3:3" ht="14.25" customHeight="1" x14ac:dyDescent="0.25">
      <c r="C500" s="57"/>
    </row>
    <row r="501" spans="3:3" ht="14.25" customHeight="1" x14ac:dyDescent="0.25">
      <c r="C501" s="57"/>
    </row>
    <row r="502" spans="3:3" ht="14.25" customHeight="1" x14ac:dyDescent="0.25">
      <c r="C502" s="57"/>
    </row>
    <row r="503" spans="3:3" ht="14.25" customHeight="1" x14ac:dyDescent="0.25">
      <c r="C503" s="57"/>
    </row>
    <row r="504" spans="3:3" ht="14.25" customHeight="1" x14ac:dyDescent="0.25">
      <c r="C504" s="57"/>
    </row>
    <row r="505" spans="3:3" ht="14.25" customHeight="1" x14ac:dyDescent="0.25">
      <c r="C505" s="57"/>
    </row>
    <row r="506" spans="3:3" ht="14.25" customHeight="1" x14ac:dyDescent="0.25">
      <c r="C506" s="57"/>
    </row>
    <row r="507" spans="3:3" ht="14.25" customHeight="1" x14ac:dyDescent="0.25">
      <c r="C507" s="57"/>
    </row>
    <row r="508" spans="3:3" ht="14.25" customHeight="1" x14ac:dyDescent="0.25">
      <c r="C508" s="57"/>
    </row>
    <row r="509" spans="3:3" ht="14.25" customHeight="1" x14ac:dyDescent="0.25">
      <c r="C509" s="57"/>
    </row>
    <row r="510" spans="3:3" ht="14.25" customHeight="1" x14ac:dyDescent="0.25">
      <c r="C510" s="57"/>
    </row>
    <row r="511" spans="3:3" ht="14.25" customHeight="1" x14ac:dyDescent="0.25">
      <c r="C511" s="57"/>
    </row>
    <row r="512" spans="3:3" ht="14.25" customHeight="1" x14ac:dyDescent="0.25">
      <c r="C512" s="57"/>
    </row>
    <row r="513" spans="3:3" ht="14.25" customHeight="1" x14ac:dyDescent="0.25">
      <c r="C513" s="57"/>
    </row>
    <row r="514" spans="3:3" ht="14.25" customHeight="1" x14ac:dyDescent="0.25">
      <c r="C514" s="57"/>
    </row>
    <row r="515" spans="3:3" ht="14.25" customHeight="1" x14ac:dyDescent="0.25">
      <c r="C515" s="57"/>
    </row>
    <row r="516" spans="3:3" ht="14.25" customHeight="1" x14ac:dyDescent="0.25">
      <c r="C516" s="57"/>
    </row>
    <row r="517" spans="3:3" ht="14.25" customHeight="1" x14ac:dyDescent="0.25">
      <c r="C517" s="57"/>
    </row>
    <row r="518" spans="3:3" ht="14.25" customHeight="1" x14ac:dyDescent="0.25">
      <c r="C518" s="57"/>
    </row>
    <row r="519" spans="3:3" ht="14.25" customHeight="1" x14ac:dyDescent="0.25">
      <c r="C519" s="57"/>
    </row>
    <row r="520" spans="3:3" ht="14.25" customHeight="1" x14ac:dyDescent="0.25">
      <c r="C520" s="57"/>
    </row>
    <row r="521" spans="3:3" ht="14.25" customHeight="1" x14ac:dyDescent="0.25">
      <c r="C521" s="57"/>
    </row>
    <row r="522" spans="3:3" ht="14.25" customHeight="1" x14ac:dyDescent="0.25">
      <c r="C522" s="57"/>
    </row>
    <row r="523" spans="3:3" ht="14.25" customHeight="1" x14ac:dyDescent="0.25">
      <c r="C523" s="57"/>
    </row>
    <row r="524" spans="3:3" ht="14.25" customHeight="1" x14ac:dyDescent="0.25">
      <c r="C524" s="57"/>
    </row>
    <row r="525" spans="3:3" ht="14.25" customHeight="1" x14ac:dyDescent="0.25">
      <c r="C525" s="57"/>
    </row>
    <row r="526" spans="3:3" ht="14.25" customHeight="1" x14ac:dyDescent="0.25">
      <c r="C526" s="57"/>
    </row>
    <row r="527" spans="3:3" ht="14.25" customHeight="1" x14ac:dyDescent="0.25">
      <c r="C527" s="57"/>
    </row>
    <row r="528" spans="3:3" ht="14.25" customHeight="1" x14ac:dyDescent="0.25">
      <c r="C528" s="57"/>
    </row>
    <row r="529" spans="3:3" ht="14.25" customHeight="1" x14ac:dyDescent="0.25">
      <c r="C529" s="57"/>
    </row>
    <row r="530" spans="3:3" ht="14.25" customHeight="1" x14ac:dyDescent="0.25">
      <c r="C530" s="57"/>
    </row>
    <row r="531" spans="3:3" ht="14.25" customHeight="1" x14ac:dyDescent="0.25">
      <c r="C531" s="57"/>
    </row>
    <row r="532" spans="3:3" ht="14.25" customHeight="1" x14ac:dyDescent="0.25">
      <c r="C532" s="57"/>
    </row>
    <row r="533" spans="3:3" ht="14.25" customHeight="1" x14ac:dyDescent="0.25">
      <c r="C533" s="57"/>
    </row>
    <row r="534" spans="3:3" ht="14.25" customHeight="1" x14ac:dyDescent="0.25">
      <c r="C534" s="57"/>
    </row>
    <row r="535" spans="3:3" ht="14.25" customHeight="1" x14ac:dyDescent="0.25">
      <c r="C535" s="57"/>
    </row>
    <row r="536" spans="3:3" ht="14.25" customHeight="1" x14ac:dyDescent="0.25">
      <c r="C536" s="57"/>
    </row>
    <row r="537" spans="3:3" ht="14.25" customHeight="1" x14ac:dyDescent="0.25">
      <c r="C537" s="57"/>
    </row>
    <row r="538" spans="3:3" ht="14.25" customHeight="1" x14ac:dyDescent="0.25">
      <c r="C538" s="57"/>
    </row>
    <row r="539" spans="3:3" ht="14.25" customHeight="1" x14ac:dyDescent="0.25">
      <c r="C539" s="57"/>
    </row>
    <row r="540" spans="3:3" ht="14.25" customHeight="1" x14ac:dyDescent="0.25">
      <c r="C540" s="57"/>
    </row>
    <row r="541" spans="3:3" ht="14.25" customHeight="1" x14ac:dyDescent="0.25">
      <c r="C541" s="57"/>
    </row>
    <row r="542" spans="3:3" ht="14.25" customHeight="1" x14ac:dyDescent="0.25">
      <c r="C542" s="57"/>
    </row>
    <row r="543" spans="3:3" ht="14.25" customHeight="1" x14ac:dyDescent="0.25">
      <c r="C543" s="57"/>
    </row>
    <row r="544" spans="3:3" ht="14.25" customHeight="1" x14ac:dyDescent="0.25">
      <c r="C544" s="57"/>
    </row>
    <row r="545" spans="3:3" ht="14.25" customHeight="1" x14ac:dyDescent="0.25">
      <c r="C545" s="57"/>
    </row>
    <row r="546" spans="3:3" ht="14.25" customHeight="1" x14ac:dyDescent="0.25">
      <c r="C546" s="57"/>
    </row>
    <row r="547" spans="3:3" ht="14.25" customHeight="1" x14ac:dyDescent="0.25">
      <c r="C547" s="57"/>
    </row>
    <row r="548" spans="3:3" ht="14.25" customHeight="1" x14ac:dyDescent="0.25">
      <c r="C548" s="57"/>
    </row>
    <row r="549" spans="3:3" ht="14.25" customHeight="1" x14ac:dyDescent="0.25">
      <c r="C549" s="57"/>
    </row>
    <row r="550" spans="3:3" ht="14.25" customHeight="1" x14ac:dyDescent="0.25">
      <c r="C550" s="57"/>
    </row>
    <row r="551" spans="3:3" ht="14.25" customHeight="1" x14ac:dyDescent="0.25">
      <c r="C551" s="57"/>
    </row>
    <row r="552" spans="3:3" ht="14.25" customHeight="1" x14ac:dyDescent="0.25">
      <c r="C552" s="57"/>
    </row>
    <row r="553" spans="3:3" ht="14.25" customHeight="1" x14ac:dyDescent="0.25">
      <c r="C553" s="57"/>
    </row>
    <row r="554" spans="3:3" ht="14.25" customHeight="1" x14ac:dyDescent="0.25">
      <c r="C554" s="57"/>
    </row>
    <row r="555" spans="3:3" ht="14.25" customHeight="1" x14ac:dyDescent="0.25">
      <c r="C555" s="57"/>
    </row>
    <row r="556" spans="3:3" ht="14.25" customHeight="1" x14ac:dyDescent="0.25">
      <c r="C556" s="57"/>
    </row>
    <row r="557" spans="3:3" ht="14.25" customHeight="1" x14ac:dyDescent="0.25">
      <c r="C557" s="57"/>
    </row>
    <row r="558" spans="3:3" ht="14.25" customHeight="1" x14ac:dyDescent="0.25">
      <c r="C558" s="57"/>
    </row>
    <row r="559" spans="3:3" ht="14.25" customHeight="1" x14ac:dyDescent="0.25">
      <c r="C559" s="57"/>
    </row>
    <row r="560" spans="3:3" ht="14.25" customHeight="1" x14ac:dyDescent="0.25">
      <c r="C560" s="57"/>
    </row>
    <row r="561" spans="3:3" ht="14.25" customHeight="1" x14ac:dyDescent="0.25">
      <c r="C561" s="57"/>
    </row>
    <row r="562" spans="3:3" ht="14.25" customHeight="1" x14ac:dyDescent="0.25">
      <c r="C562" s="57"/>
    </row>
    <row r="563" spans="3:3" ht="14.25" customHeight="1" x14ac:dyDescent="0.25">
      <c r="C563" s="57"/>
    </row>
    <row r="564" spans="3:3" ht="14.25" customHeight="1" x14ac:dyDescent="0.25">
      <c r="C564" s="57"/>
    </row>
    <row r="565" spans="3:3" ht="14.25" customHeight="1" x14ac:dyDescent="0.25">
      <c r="C565" s="57"/>
    </row>
    <row r="566" spans="3:3" ht="14.25" customHeight="1" x14ac:dyDescent="0.25">
      <c r="C566" s="57"/>
    </row>
    <row r="567" spans="3:3" ht="14.25" customHeight="1" x14ac:dyDescent="0.25">
      <c r="C567" s="57"/>
    </row>
    <row r="568" spans="3:3" ht="14.25" customHeight="1" x14ac:dyDescent="0.25">
      <c r="C568" s="57"/>
    </row>
    <row r="569" spans="3:3" ht="14.25" customHeight="1" x14ac:dyDescent="0.25">
      <c r="C569" s="57"/>
    </row>
    <row r="570" spans="3:3" ht="14.25" customHeight="1" x14ac:dyDescent="0.25">
      <c r="C570" s="57"/>
    </row>
    <row r="571" spans="3:3" ht="14.25" customHeight="1" x14ac:dyDescent="0.25">
      <c r="C571" s="57"/>
    </row>
    <row r="572" spans="3:3" ht="14.25" customHeight="1" x14ac:dyDescent="0.25">
      <c r="C572" s="57"/>
    </row>
    <row r="573" spans="3:3" ht="14.25" customHeight="1" x14ac:dyDescent="0.25">
      <c r="C573" s="57"/>
    </row>
    <row r="574" spans="3:3" ht="14.25" customHeight="1" x14ac:dyDescent="0.25">
      <c r="C574" s="57"/>
    </row>
    <row r="575" spans="3:3" ht="14.25" customHeight="1" x14ac:dyDescent="0.25">
      <c r="C575" s="57"/>
    </row>
    <row r="576" spans="3:3" ht="14.25" customHeight="1" x14ac:dyDescent="0.25">
      <c r="C576" s="57"/>
    </row>
    <row r="577" spans="3:3" ht="14.25" customHeight="1" x14ac:dyDescent="0.25">
      <c r="C577" s="57"/>
    </row>
    <row r="578" spans="3:3" ht="14.25" customHeight="1" x14ac:dyDescent="0.25">
      <c r="C578" s="57"/>
    </row>
    <row r="579" spans="3:3" ht="14.25" customHeight="1" x14ac:dyDescent="0.25">
      <c r="C579" s="57"/>
    </row>
    <row r="580" spans="3:3" ht="14.25" customHeight="1" x14ac:dyDescent="0.25">
      <c r="C580" s="57"/>
    </row>
    <row r="581" spans="3:3" ht="14.25" customHeight="1" x14ac:dyDescent="0.25">
      <c r="C581" s="57"/>
    </row>
    <row r="582" spans="3:3" ht="14.25" customHeight="1" x14ac:dyDescent="0.25">
      <c r="C582" s="57"/>
    </row>
    <row r="583" spans="3:3" ht="14.25" customHeight="1" x14ac:dyDescent="0.25">
      <c r="C583" s="57"/>
    </row>
    <row r="584" spans="3:3" ht="14.25" customHeight="1" x14ac:dyDescent="0.25">
      <c r="C584" s="57"/>
    </row>
    <row r="585" spans="3:3" ht="14.25" customHeight="1" x14ac:dyDescent="0.25">
      <c r="C585" s="57"/>
    </row>
    <row r="586" spans="3:3" ht="14.25" customHeight="1" x14ac:dyDescent="0.25">
      <c r="C586" s="57"/>
    </row>
    <row r="587" spans="3:3" ht="14.25" customHeight="1" x14ac:dyDescent="0.25">
      <c r="C587" s="57"/>
    </row>
    <row r="588" spans="3:3" ht="14.25" customHeight="1" x14ac:dyDescent="0.25">
      <c r="C588" s="57"/>
    </row>
    <row r="589" spans="3:3" ht="14.25" customHeight="1" x14ac:dyDescent="0.25">
      <c r="C589" s="57"/>
    </row>
    <row r="590" spans="3:3" ht="14.25" customHeight="1" x14ac:dyDescent="0.25">
      <c r="C590" s="57"/>
    </row>
    <row r="591" spans="3:3" ht="14.25" customHeight="1" x14ac:dyDescent="0.25">
      <c r="C591" s="57"/>
    </row>
    <row r="592" spans="3:3" ht="14.25" customHeight="1" x14ac:dyDescent="0.25">
      <c r="C592" s="57"/>
    </row>
    <row r="593" spans="3:3" ht="14.25" customHeight="1" x14ac:dyDescent="0.25">
      <c r="C593" s="57"/>
    </row>
    <row r="594" spans="3:3" ht="14.25" customHeight="1" x14ac:dyDescent="0.25">
      <c r="C594" s="57"/>
    </row>
    <row r="595" spans="3:3" ht="14.25" customHeight="1" x14ac:dyDescent="0.25">
      <c r="C595" s="57"/>
    </row>
    <row r="596" spans="3:3" ht="14.25" customHeight="1" x14ac:dyDescent="0.25">
      <c r="C596" s="57"/>
    </row>
    <row r="597" spans="3:3" ht="14.25" customHeight="1" x14ac:dyDescent="0.25">
      <c r="C597" s="57"/>
    </row>
    <row r="598" spans="3:3" ht="14.25" customHeight="1" x14ac:dyDescent="0.25">
      <c r="C598" s="57"/>
    </row>
    <row r="599" spans="3:3" ht="14.25" customHeight="1" x14ac:dyDescent="0.25">
      <c r="C599" s="57"/>
    </row>
    <row r="600" spans="3:3" ht="14.25" customHeight="1" x14ac:dyDescent="0.25">
      <c r="C600" s="57"/>
    </row>
    <row r="601" spans="3:3" ht="14.25" customHeight="1" x14ac:dyDescent="0.25">
      <c r="C601" s="57"/>
    </row>
    <row r="602" spans="3:3" ht="14.25" customHeight="1" x14ac:dyDescent="0.25">
      <c r="C602" s="57"/>
    </row>
    <row r="603" spans="3:3" ht="14.25" customHeight="1" x14ac:dyDescent="0.25">
      <c r="C603" s="57"/>
    </row>
    <row r="604" spans="3:3" ht="14.25" customHeight="1" x14ac:dyDescent="0.25">
      <c r="C604" s="57"/>
    </row>
    <row r="605" spans="3:3" ht="14.25" customHeight="1" x14ac:dyDescent="0.25">
      <c r="C605" s="57"/>
    </row>
    <row r="606" spans="3:3" ht="14.25" customHeight="1" x14ac:dyDescent="0.25">
      <c r="C606" s="57"/>
    </row>
    <row r="607" spans="3:3" ht="14.25" customHeight="1" x14ac:dyDescent="0.25">
      <c r="C607" s="57"/>
    </row>
    <row r="608" spans="3:3" ht="14.25" customHeight="1" x14ac:dyDescent="0.25">
      <c r="C608" s="57"/>
    </row>
    <row r="609" spans="3:3" ht="14.25" customHeight="1" x14ac:dyDescent="0.25">
      <c r="C609" s="57"/>
    </row>
    <row r="610" spans="3:3" ht="14.25" customHeight="1" x14ac:dyDescent="0.25">
      <c r="C610" s="57"/>
    </row>
    <row r="611" spans="3:3" ht="14.25" customHeight="1" x14ac:dyDescent="0.25">
      <c r="C611" s="57"/>
    </row>
    <row r="612" spans="3:3" ht="14.25" customHeight="1" x14ac:dyDescent="0.25">
      <c r="C612" s="57"/>
    </row>
    <row r="613" spans="3:3" ht="14.25" customHeight="1" x14ac:dyDescent="0.25">
      <c r="C613" s="57"/>
    </row>
    <row r="614" spans="3:3" ht="14.25" customHeight="1" x14ac:dyDescent="0.25">
      <c r="C614" s="57"/>
    </row>
    <row r="615" spans="3:3" ht="14.25" customHeight="1" x14ac:dyDescent="0.25">
      <c r="C615" s="57"/>
    </row>
    <row r="616" spans="3:3" ht="14.25" customHeight="1" x14ac:dyDescent="0.25">
      <c r="C616" s="57"/>
    </row>
    <row r="617" spans="3:3" ht="14.25" customHeight="1" x14ac:dyDescent="0.25">
      <c r="C617" s="57"/>
    </row>
    <row r="618" spans="3:3" ht="14.25" customHeight="1" x14ac:dyDescent="0.25">
      <c r="C618" s="57"/>
    </row>
    <row r="619" spans="3:3" ht="14.25" customHeight="1" x14ac:dyDescent="0.25">
      <c r="C619" s="57"/>
    </row>
    <row r="620" spans="3:3" ht="14.25" customHeight="1" x14ac:dyDescent="0.25">
      <c r="C620" s="57"/>
    </row>
    <row r="621" spans="3:3" ht="14.25" customHeight="1" x14ac:dyDescent="0.25">
      <c r="C621" s="57"/>
    </row>
    <row r="622" spans="3:3" ht="14.25" customHeight="1" x14ac:dyDescent="0.25">
      <c r="C622" s="57"/>
    </row>
    <row r="623" spans="3:3" ht="14.25" customHeight="1" x14ac:dyDescent="0.25">
      <c r="C623" s="57"/>
    </row>
    <row r="624" spans="3:3" ht="14.25" customHeight="1" x14ac:dyDescent="0.25">
      <c r="C624" s="57"/>
    </row>
    <row r="625" spans="3:3" ht="14.25" customHeight="1" x14ac:dyDescent="0.25">
      <c r="C625" s="57"/>
    </row>
    <row r="626" spans="3:3" ht="14.25" customHeight="1" x14ac:dyDescent="0.25">
      <c r="C626" s="57"/>
    </row>
    <row r="627" spans="3:3" ht="14.25" customHeight="1" x14ac:dyDescent="0.25">
      <c r="C627" s="57"/>
    </row>
    <row r="628" spans="3:3" ht="14.25" customHeight="1" x14ac:dyDescent="0.25">
      <c r="C628" s="57"/>
    </row>
    <row r="629" spans="3:3" ht="14.25" customHeight="1" x14ac:dyDescent="0.25">
      <c r="C629" s="57"/>
    </row>
    <row r="630" spans="3:3" ht="14.25" customHeight="1" x14ac:dyDescent="0.25">
      <c r="C630" s="57"/>
    </row>
    <row r="631" spans="3:3" ht="14.25" customHeight="1" x14ac:dyDescent="0.25">
      <c r="C631" s="57"/>
    </row>
    <row r="632" spans="3:3" ht="14.25" customHeight="1" x14ac:dyDescent="0.25">
      <c r="C632" s="57"/>
    </row>
    <row r="633" spans="3:3" ht="14.25" customHeight="1" x14ac:dyDescent="0.25">
      <c r="C633" s="57"/>
    </row>
    <row r="634" spans="3:3" ht="14.25" customHeight="1" x14ac:dyDescent="0.25">
      <c r="C634" s="57"/>
    </row>
    <row r="635" spans="3:3" ht="14.25" customHeight="1" x14ac:dyDescent="0.25">
      <c r="C635" s="57"/>
    </row>
    <row r="636" spans="3:3" ht="14.25" customHeight="1" x14ac:dyDescent="0.25">
      <c r="C636" s="57"/>
    </row>
    <row r="637" spans="3:3" ht="14.25" customHeight="1" x14ac:dyDescent="0.25">
      <c r="C637" s="57"/>
    </row>
    <row r="638" spans="3:3" ht="14.25" customHeight="1" x14ac:dyDescent="0.25">
      <c r="C638" s="57"/>
    </row>
    <row r="639" spans="3:3" ht="14.25" customHeight="1" x14ac:dyDescent="0.25">
      <c r="C639" s="57"/>
    </row>
    <row r="640" spans="3:3" ht="14.25" customHeight="1" x14ac:dyDescent="0.25">
      <c r="C640" s="57"/>
    </row>
    <row r="641" spans="3:3" ht="14.25" customHeight="1" x14ac:dyDescent="0.25">
      <c r="C641" s="57"/>
    </row>
    <row r="642" spans="3:3" ht="14.25" customHeight="1" x14ac:dyDescent="0.25">
      <c r="C642" s="57"/>
    </row>
    <row r="643" spans="3:3" ht="14.25" customHeight="1" x14ac:dyDescent="0.25">
      <c r="C643" s="57"/>
    </row>
    <row r="644" spans="3:3" ht="14.25" customHeight="1" x14ac:dyDescent="0.25">
      <c r="C644" s="57"/>
    </row>
    <row r="645" spans="3:3" ht="14.25" customHeight="1" x14ac:dyDescent="0.25">
      <c r="C645" s="57"/>
    </row>
    <row r="646" spans="3:3" ht="14.25" customHeight="1" x14ac:dyDescent="0.25">
      <c r="C646" s="57"/>
    </row>
    <row r="647" spans="3:3" ht="14.25" customHeight="1" x14ac:dyDescent="0.25">
      <c r="C647" s="57"/>
    </row>
    <row r="648" spans="3:3" ht="14.25" customHeight="1" x14ac:dyDescent="0.25">
      <c r="C648" s="57"/>
    </row>
    <row r="649" spans="3:3" ht="14.25" customHeight="1" x14ac:dyDescent="0.25">
      <c r="C649" s="57"/>
    </row>
    <row r="650" spans="3:3" ht="14.25" customHeight="1" x14ac:dyDescent="0.25">
      <c r="C650" s="57"/>
    </row>
    <row r="651" spans="3:3" ht="14.25" customHeight="1" x14ac:dyDescent="0.25">
      <c r="C651" s="57"/>
    </row>
    <row r="652" spans="3:3" ht="14.25" customHeight="1" x14ac:dyDescent="0.25">
      <c r="C652" s="57"/>
    </row>
    <row r="653" spans="3:3" ht="14.25" customHeight="1" x14ac:dyDescent="0.25">
      <c r="C653" s="57"/>
    </row>
    <row r="654" spans="3:3" ht="14.25" customHeight="1" x14ac:dyDescent="0.25">
      <c r="C654" s="57"/>
    </row>
    <row r="655" spans="3:3" ht="14.25" customHeight="1" x14ac:dyDescent="0.25">
      <c r="C655" s="57"/>
    </row>
    <row r="656" spans="3:3" ht="14.25" customHeight="1" x14ac:dyDescent="0.25">
      <c r="C656" s="57"/>
    </row>
    <row r="657" spans="3:3" ht="14.25" customHeight="1" x14ac:dyDescent="0.25">
      <c r="C657" s="57"/>
    </row>
    <row r="658" spans="3:3" ht="14.25" customHeight="1" x14ac:dyDescent="0.25">
      <c r="C658" s="57"/>
    </row>
    <row r="659" spans="3:3" ht="14.25" customHeight="1" x14ac:dyDescent="0.25">
      <c r="C659" s="57"/>
    </row>
    <row r="660" spans="3:3" ht="14.25" customHeight="1" x14ac:dyDescent="0.25">
      <c r="C660" s="57"/>
    </row>
    <row r="661" spans="3:3" ht="14.25" customHeight="1" x14ac:dyDescent="0.25">
      <c r="C661" s="57"/>
    </row>
    <row r="662" spans="3:3" ht="14.25" customHeight="1" x14ac:dyDescent="0.25">
      <c r="C662" s="57"/>
    </row>
    <row r="663" spans="3:3" ht="14.25" customHeight="1" x14ac:dyDescent="0.25">
      <c r="C663" s="57"/>
    </row>
    <row r="664" spans="3:3" ht="14.25" customHeight="1" x14ac:dyDescent="0.25">
      <c r="C664" s="57"/>
    </row>
    <row r="665" spans="3:3" ht="14.25" customHeight="1" x14ac:dyDescent="0.25">
      <c r="C665" s="57"/>
    </row>
    <row r="666" spans="3:3" ht="14.25" customHeight="1" x14ac:dyDescent="0.25">
      <c r="C666" s="57"/>
    </row>
    <row r="667" spans="3:3" ht="14.25" customHeight="1" x14ac:dyDescent="0.25">
      <c r="C667" s="57"/>
    </row>
    <row r="668" spans="3:3" ht="14.25" customHeight="1" x14ac:dyDescent="0.25">
      <c r="C668" s="57"/>
    </row>
    <row r="669" spans="3:3" ht="14.25" customHeight="1" x14ac:dyDescent="0.25">
      <c r="C669" s="57"/>
    </row>
    <row r="670" spans="3:3" ht="14.25" customHeight="1" x14ac:dyDescent="0.25">
      <c r="C670" s="57"/>
    </row>
    <row r="671" spans="3:3" ht="14.25" customHeight="1" x14ac:dyDescent="0.25">
      <c r="C671" s="57"/>
    </row>
    <row r="672" spans="3:3" ht="14.25" customHeight="1" x14ac:dyDescent="0.25">
      <c r="C672" s="57"/>
    </row>
    <row r="673" spans="3:3" ht="14.25" customHeight="1" x14ac:dyDescent="0.25">
      <c r="C673" s="57"/>
    </row>
    <row r="674" spans="3:3" ht="14.25" customHeight="1" x14ac:dyDescent="0.25">
      <c r="C674" s="57"/>
    </row>
    <row r="675" spans="3:3" ht="14.25" customHeight="1" x14ac:dyDescent="0.25">
      <c r="C675" s="57"/>
    </row>
    <row r="676" spans="3:3" ht="14.25" customHeight="1" x14ac:dyDescent="0.25">
      <c r="C676" s="57"/>
    </row>
    <row r="677" spans="3:3" ht="14.25" customHeight="1" x14ac:dyDescent="0.25">
      <c r="C677" s="57"/>
    </row>
    <row r="678" spans="3:3" ht="14.25" customHeight="1" x14ac:dyDescent="0.25">
      <c r="C678" s="57"/>
    </row>
    <row r="679" spans="3:3" ht="14.25" customHeight="1" x14ac:dyDescent="0.25">
      <c r="C679" s="57"/>
    </row>
    <row r="680" spans="3:3" ht="14.25" customHeight="1" x14ac:dyDescent="0.25">
      <c r="C680" s="57"/>
    </row>
    <row r="681" spans="3:3" ht="14.25" customHeight="1" x14ac:dyDescent="0.25">
      <c r="C681" s="57"/>
    </row>
    <row r="682" spans="3:3" ht="14.25" customHeight="1" x14ac:dyDescent="0.25">
      <c r="C682" s="57"/>
    </row>
    <row r="683" spans="3:3" ht="14.25" customHeight="1" x14ac:dyDescent="0.25">
      <c r="C683" s="57"/>
    </row>
    <row r="684" spans="3:3" ht="14.25" customHeight="1" x14ac:dyDescent="0.25">
      <c r="C684" s="57"/>
    </row>
    <row r="685" spans="3:3" ht="14.25" customHeight="1" x14ac:dyDescent="0.25">
      <c r="C685" s="57"/>
    </row>
    <row r="686" spans="3:3" ht="14.25" customHeight="1" x14ac:dyDescent="0.25">
      <c r="C686" s="57"/>
    </row>
    <row r="687" spans="3:3" ht="14.25" customHeight="1" x14ac:dyDescent="0.25">
      <c r="C687" s="57"/>
    </row>
    <row r="688" spans="3:3" ht="14.25" customHeight="1" x14ac:dyDescent="0.25">
      <c r="C688" s="57"/>
    </row>
    <row r="689" spans="3:3" ht="14.25" customHeight="1" x14ac:dyDescent="0.25">
      <c r="C689" s="57"/>
    </row>
    <row r="690" spans="3:3" ht="14.25" customHeight="1" x14ac:dyDescent="0.25">
      <c r="C690" s="57"/>
    </row>
    <row r="691" spans="3:3" ht="14.25" customHeight="1" x14ac:dyDescent="0.25">
      <c r="C691" s="57"/>
    </row>
    <row r="692" spans="3:3" ht="14.25" customHeight="1" x14ac:dyDescent="0.25">
      <c r="C692" s="57"/>
    </row>
    <row r="693" spans="3:3" ht="14.25" customHeight="1" x14ac:dyDescent="0.25">
      <c r="C693" s="57"/>
    </row>
    <row r="694" spans="3:3" ht="14.25" customHeight="1" x14ac:dyDescent="0.25">
      <c r="C694" s="57"/>
    </row>
    <row r="695" spans="3:3" ht="14.25" customHeight="1" x14ac:dyDescent="0.25">
      <c r="C695" s="57"/>
    </row>
    <row r="696" spans="3:3" ht="14.25" customHeight="1" x14ac:dyDescent="0.25">
      <c r="C696" s="57"/>
    </row>
    <row r="697" spans="3:3" ht="14.25" customHeight="1" x14ac:dyDescent="0.25">
      <c r="C697" s="57"/>
    </row>
    <row r="698" spans="3:3" ht="14.25" customHeight="1" x14ac:dyDescent="0.25">
      <c r="C698" s="57"/>
    </row>
    <row r="699" spans="3:3" ht="14.25" customHeight="1" x14ac:dyDescent="0.25">
      <c r="C699" s="57"/>
    </row>
    <row r="700" spans="3:3" ht="14.25" customHeight="1" x14ac:dyDescent="0.25">
      <c r="C700" s="57"/>
    </row>
    <row r="701" spans="3:3" ht="14.25" customHeight="1" x14ac:dyDescent="0.25">
      <c r="C701" s="57"/>
    </row>
    <row r="702" spans="3:3" ht="14.25" customHeight="1" x14ac:dyDescent="0.25">
      <c r="C702" s="57"/>
    </row>
    <row r="703" spans="3:3" ht="14.25" customHeight="1" x14ac:dyDescent="0.25">
      <c r="C703" s="57"/>
    </row>
    <row r="704" spans="3:3" ht="14.25" customHeight="1" x14ac:dyDescent="0.25">
      <c r="C704" s="57"/>
    </row>
    <row r="705" spans="3:3" ht="14.25" customHeight="1" x14ac:dyDescent="0.25">
      <c r="C705" s="57"/>
    </row>
    <row r="706" spans="3:3" ht="14.25" customHeight="1" x14ac:dyDescent="0.25">
      <c r="C706" s="57"/>
    </row>
    <row r="707" spans="3:3" ht="14.25" customHeight="1" x14ac:dyDescent="0.25">
      <c r="C707" s="57"/>
    </row>
    <row r="708" spans="3:3" ht="14.25" customHeight="1" x14ac:dyDescent="0.25">
      <c r="C708" s="57"/>
    </row>
    <row r="709" spans="3:3" ht="14.25" customHeight="1" x14ac:dyDescent="0.25">
      <c r="C709" s="57"/>
    </row>
    <row r="710" spans="3:3" ht="14.25" customHeight="1" x14ac:dyDescent="0.25">
      <c r="C710" s="57"/>
    </row>
    <row r="711" spans="3:3" ht="14.25" customHeight="1" x14ac:dyDescent="0.25">
      <c r="C711" s="57"/>
    </row>
    <row r="712" spans="3:3" ht="14.25" customHeight="1" x14ac:dyDescent="0.25">
      <c r="C712" s="57"/>
    </row>
    <row r="713" spans="3:3" ht="14.25" customHeight="1" x14ac:dyDescent="0.25">
      <c r="C713" s="57"/>
    </row>
    <row r="714" spans="3:3" ht="14.25" customHeight="1" x14ac:dyDescent="0.25">
      <c r="C714" s="57"/>
    </row>
    <row r="715" spans="3:3" ht="14.25" customHeight="1" x14ac:dyDescent="0.25">
      <c r="C715" s="57"/>
    </row>
    <row r="716" spans="3:3" ht="14.25" customHeight="1" x14ac:dyDescent="0.25">
      <c r="C716" s="57"/>
    </row>
    <row r="717" spans="3:3" ht="14.25" customHeight="1" x14ac:dyDescent="0.25">
      <c r="C717" s="57"/>
    </row>
    <row r="718" spans="3:3" ht="14.25" customHeight="1" x14ac:dyDescent="0.25">
      <c r="C718" s="57"/>
    </row>
    <row r="719" spans="3:3" ht="14.25" customHeight="1" x14ac:dyDescent="0.25">
      <c r="C719" s="57"/>
    </row>
    <row r="720" spans="3:3" ht="14.25" customHeight="1" x14ac:dyDescent="0.25">
      <c r="C720" s="57"/>
    </row>
    <row r="721" spans="3:3" ht="14.25" customHeight="1" x14ac:dyDescent="0.25">
      <c r="C721" s="57"/>
    </row>
    <row r="722" spans="3:3" ht="14.25" customHeight="1" x14ac:dyDescent="0.25">
      <c r="C722" s="57"/>
    </row>
    <row r="723" spans="3:3" ht="14.25" customHeight="1" x14ac:dyDescent="0.25">
      <c r="C723" s="57"/>
    </row>
    <row r="724" spans="3:3" ht="14.25" customHeight="1" x14ac:dyDescent="0.25">
      <c r="C724" s="57"/>
    </row>
    <row r="725" spans="3:3" ht="14.25" customHeight="1" x14ac:dyDescent="0.25">
      <c r="C725" s="57"/>
    </row>
    <row r="726" spans="3:3" ht="14.25" customHeight="1" x14ac:dyDescent="0.25">
      <c r="C726" s="57"/>
    </row>
    <row r="727" spans="3:3" ht="14.25" customHeight="1" x14ac:dyDescent="0.25">
      <c r="C727" s="57"/>
    </row>
    <row r="728" spans="3:3" ht="14.25" customHeight="1" x14ac:dyDescent="0.25">
      <c r="C728" s="57"/>
    </row>
    <row r="729" spans="3:3" ht="14.25" customHeight="1" x14ac:dyDescent="0.25">
      <c r="C729" s="57"/>
    </row>
    <row r="730" spans="3:3" ht="14.25" customHeight="1" x14ac:dyDescent="0.25">
      <c r="C730" s="57"/>
    </row>
    <row r="731" spans="3:3" ht="14.25" customHeight="1" x14ac:dyDescent="0.25">
      <c r="C731" s="57"/>
    </row>
    <row r="732" spans="3:3" ht="14.25" customHeight="1" x14ac:dyDescent="0.25">
      <c r="C732" s="57"/>
    </row>
    <row r="733" spans="3:3" ht="14.25" customHeight="1" x14ac:dyDescent="0.25">
      <c r="C733" s="57"/>
    </row>
    <row r="734" spans="3:3" ht="14.25" customHeight="1" x14ac:dyDescent="0.25">
      <c r="C734" s="57"/>
    </row>
    <row r="735" spans="3:3" ht="14.25" customHeight="1" x14ac:dyDescent="0.25">
      <c r="C735" s="57"/>
    </row>
    <row r="736" spans="3:3" ht="14.25" customHeight="1" x14ac:dyDescent="0.25">
      <c r="C736" s="57"/>
    </row>
    <row r="737" spans="3:3" ht="14.25" customHeight="1" x14ac:dyDescent="0.25">
      <c r="C737" s="57"/>
    </row>
    <row r="738" spans="3:3" ht="14.25" customHeight="1" x14ac:dyDescent="0.25">
      <c r="C738" s="57"/>
    </row>
    <row r="739" spans="3:3" ht="14.25" customHeight="1" x14ac:dyDescent="0.25">
      <c r="C739" s="57"/>
    </row>
    <row r="740" spans="3:3" ht="14.25" customHeight="1" x14ac:dyDescent="0.25">
      <c r="C740" s="57"/>
    </row>
    <row r="741" spans="3:3" ht="14.25" customHeight="1" x14ac:dyDescent="0.25">
      <c r="C741" s="57"/>
    </row>
    <row r="742" spans="3:3" ht="14.25" customHeight="1" x14ac:dyDescent="0.25">
      <c r="C742" s="57"/>
    </row>
    <row r="743" spans="3:3" ht="14.25" customHeight="1" x14ac:dyDescent="0.25">
      <c r="C743" s="57"/>
    </row>
    <row r="744" spans="3:3" ht="14.25" customHeight="1" x14ac:dyDescent="0.25">
      <c r="C744" s="57"/>
    </row>
    <row r="745" spans="3:3" ht="14.25" customHeight="1" x14ac:dyDescent="0.25">
      <c r="C745" s="57"/>
    </row>
    <row r="746" spans="3:3" ht="14.25" customHeight="1" x14ac:dyDescent="0.25">
      <c r="C746" s="57"/>
    </row>
    <row r="747" spans="3:3" ht="14.25" customHeight="1" x14ac:dyDescent="0.25">
      <c r="C747" s="57"/>
    </row>
    <row r="748" spans="3:3" ht="14.25" customHeight="1" x14ac:dyDescent="0.25">
      <c r="C748" s="57"/>
    </row>
    <row r="749" spans="3:3" ht="14.25" customHeight="1" x14ac:dyDescent="0.25">
      <c r="C749" s="57"/>
    </row>
    <row r="750" spans="3:3" ht="14.25" customHeight="1" x14ac:dyDescent="0.25">
      <c r="C750" s="57"/>
    </row>
    <row r="751" spans="3:3" ht="14.25" customHeight="1" x14ac:dyDescent="0.25">
      <c r="C751" s="57"/>
    </row>
    <row r="752" spans="3:3" ht="14.25" customHeight="1" x14ac:dyDescent="0.25">
      <c r="C752" s="57"/>
    </row>
    <row r="753" spans="3:3" ht="14.25" customHeight="1" x14ac:dyDescent="0.25">
      <c r="C753" s="57"/>
    </row>
    <row r="754" spans="3:3" ht="14.25" customHeight="1" x14ac:dyDescent="0.25">
      <c r="C754" s="57"/>
    </row>
    <row r="755" spans="3:3" ht="14.25" customHeight="1" x14ac:dyDescent="0.25">
      <c r="C755" s="57"/>
    </row>
    <row r="756" spans="3:3" ht="14.25" customHeight="1" x14ac:dyDescent="0.25">
      <c r="C756" s="57"/>
    </row>
    <row r="757" spans="3:3" ht="14.25" customHeight="1" x14ac:dyDescent="0.25">
      <c r="C757" s="57"/>
    </row>
    <row r="758" spans="3:3" ht="14.25" customHeight="1" x14ac:dyDescent="0.25">
      <c r="C758" s="57"/>
    </row>
    <row r="759" spans="3:3" ht="14.25" customHeight="1" x14ac:dyDescent="0.25">
      <c r="C759" s="57"/>
    </row>
    <row r="760" spans="3:3" ht="14.25" customHeight="1" x14ac:dyDescent="0.25">
      <c r="C760" s="57"/>
    </row>
    <row r="761" spans="3:3" ht="14.25" customHeight="1" x14ac:dyDescent="0.25">
      <c r="C761" s="57"/>
    </row>
    <row r="762" spans="3:3" ht="14.25" customHeight="1" x14ac:dyDescent="0.25">
      <c r="C762" s="57"/>
    </row>
    <row r="763" spans="3:3" ht="14.25" customHeight="1" x14ac:dyDescent="0.25">
      <c r="C763" s="57"/>
    </row>
    <row r="764" spans="3:3" ht="14.25" customHeight="1" x14ac:dyDescent="0.25">
      <c r="C764" s="57"/>
    </row>
    <row r="765" spans="3:3" ht="14.25" customHeight="1" x14ac:dyDescent="0.25">
      <c r="C765" s="57"/>
    </row>
    <row r="766" spans="3:3" ht="14.25" customHeight="1" x14ac:dyDescent="0.25">
      <c r="C766" s="57"/>
    </row>
    <row r="767" spans="3:3" ht="14.25" customHeight="1" x14ac:dyDescent="0.25">
      <c r="C767" s="57"/>
    </row>
    <row r="768" spans="3:3" ht="14.25" customHeight="1" x14ac:dyDescent="0.25">
      <c r="C768" s="57"/>
    </row>
    <row r="769" spans="3:3" ht="14.25" customHeight="1" x14ac:dyDescent="0.25">
      <c r="C769" s="57"/>
    </row>
    <row r="770" spans="3:3" ht="14.25" customHeight="1" x14ac:dyDescent="0.25">
      <c r="C770" s="57"/>
    </row>
    <row r="771" spans="3:3" ht="14.25" customHeight="1" x14ac:dyDescent="0.25">
      <c r="C771" s="57"/>
    </row>
    <row r="772" spans="3:3" ht="14.25" customHeight="1" x14ac:dyDescent="0.25">
      <c r="C772" s="57"/>
    </row>
    <row r="773" spans="3:3" ht="14.25" customHeight="1" x14ac:dyDescent="0.25">
      <c r="C773" s="57"/>
    </row>
    <row r="774" spans="3:3" ht="14.25" customHeight="1" x14ac:dyDescent="0.25">
      <c r="C774" s="57"/>
    </row>
    <row r="775" spans="3:3" ht="14.25" customHeight="1" x14ac:dyDescent="0.25">
      <c r="C775" s="57"/>
    </row>
    <row r="776" spans="3:3" ht="14.25" customHeight="1" x14ac:dyDescent="0.25">
      <c r="C776" s="57"/>
    </row>
    <row r="777" spans="3:3" ht="14.25" customHeight="1" x14ac:dyDescent="0.25">
      <c r="C777" s="57"/>
    </row>
    <row r="778" spans="3:3" ht="14.25" customHeight="1" x14ac:dyDescent="0.25">
      <c r="C778" s="57"/>
    </row>
    <row r="779" spans="3:3" ht="14.25" customHeight="1" x14ac:dyDescent="0.25">
      <c r="C779" s="57"/>
    </row>
    <row r="780" spans="3:3" ht="14.25" customHeight="1" x14ac:dyDescent="0.25">
      <c r="C780" s="57"/>
    </row>
    <row r="781" spans="3:3" ht="14.25" customHeight="1" x14ac:dyDescent="0.25">
      <c r="C781" s="57"/>
    </row>
    <row r="782" spans="3:3" ht="14.25" customHeight="1" x14ac:dyDescent="0.25">
      <c r="C782" s="57"/>
    </row>
    <row r="783" spans="3:3" ht="14.25" customHeight="1" x14ac:dyDescent="0.25">
      <c r="C783" s="57"/>
    </row>
    <row r="784" spans="3:3" ht="14.25" customHeight="1" x14ac:dyDescent="0.25">
      <c r="C784" s="57"/>
    </row>
    <row r="785" spans="3:3" ht="14.25" customHeight="1" x14ac:dyDescent="0.25">
      <c r="C785" s="57"/>
    </row>
    <row r="786" spans="3:3" ht="14.25" customHeight="1" x14ac:dyDescent="0.25">
      <c r="C786" s="57"/>
    </row>
    <row r="787" spans="3:3" ht="14.25" customHeight="1" x14ac:dyDescent="0.25">
      <c r="C787" s="57"/>
    </row>
    <row r="788" spans="3:3" ht="14.25" customHeight="1" x14ac:dyDescent="0.25">
      <c r="C788" s="57"/>
    </row>
    <row r="789" spans="3:3" ht="14.25" customHeight="1" x14ac:dyDescent="0.25">
      <c r="C789" s="57"/>
    </row>
    <row r="790" spans="3:3" ht="14.25" customHeight="1" x14ac:dyDescent="0.25">
      <c r="C790" s="57"/>
    </row>
    <row r="791" spans="3:3" ht="14.25" customHeight="1" x14ac:dyDescent="0.25">
      <c r="C791" s="57"/>
    </row>
    <row r="792" spans="3:3" ht="14.25" customHeight="1" x14ac:dyDescent="0.25">
      <c r="C792" s="57"/>
    </row>
    <row r="793" spans="3:3" ht="14.25" customHeight="1" x14ac:dyDescent="0.25">
      <c r="C793" s="57"/>
    </row>
    <row r="794" spans="3:3" ht="14.25" customHeight="1" x14ac:dyDescent="0.25">
      <c r="C794" s="57"/>
    </row>
    <row r="795" spans="3:3" ht="14.25" customHeight="1" x14ac:dyDescent="0.25">
      <c r="C795" s="57"/>
    </row>
    <row r="796" spans="3:3" ht="14.25" customHeight="1" x14ac:dyDescent="0.25">
      <c r="C796" s="57"/>
    </row>
    <row r="797" spans="3:3" ht="14.25" customHeight="1" x14ac:dyDescent="0.25">
      <c r="C797" s="57"/>
    </row>
    <row r="798" spans="3:3" ht="14.25" customHeight="1" x14ac:dyDescent="0.25">
      <c r="C798" s="57"/>
    </row>
    <row r="799" spans="3:3" ht="14.25" customHeight="1" x14ac:dyDescent="0.25">
      <c r="C799" s="57"/>
    </row>
    <row r="800" spans="3:3" ht="14.25" customHeight="1" x14ac:dyDescent="0.25">
      <c r="C800" s="57"/>
    </row>
    <row r="801" spans="3:3" ht="14.25" customHeight="1" x14ac:dyDescent="0.25">
      <c r="C801" s="57"/>
    </row>
    <row r="802" spans="3:3" ht="14.25" customHeight="1" x14ac:dyDescent="0.25">
      <c r="C802" s="57"/>
    </row>
    <row r="803" spans="3:3" ht="14.25" customHeight="1" x14ac:dyDescent="0.25">
      <c r="C803" s="57"/>
    </row>
    <row r="804" spans="3:3" ht="14.25" customHeight="1" x14ac:dyDescent="0.25">
      <c r="C804" s="57"/>
    </row>
    <row r="805" spans="3:3" ht="14.25" customHeight="1" x14ac:dyDescent="0.25">
      <c r="C805" s="57"/>
    </row>
    <row r="806" spans="3:3" ht="14.25" customHeight="1" x14ac:dyDescent="0.25">
      <c r="C806" s="57"/>
    </row>
    <row r="807" spans="3:3" ht="14.25" customHeight="1" x14ac:dyDescent="0.25">
      <c r="C807" s="57"/>
    </row>
    <row r="808" spans="3:3" ht="14.25" customHeight="1" x14ac:dyDescent="0.25">
      <c r="C808" s="57"/>
    </row>
    <row r="809" spans="3:3" ht="14.25" customHeight="1" x14ac:dyDescent="0.25">
      <c r="C809" s="57"/>
    </row>
    <row r="810" spans="3:3" ht="14.25" customHeight="1" x14ac:dyDescent="0.25">
      <c r="C810" s="57"/>
    </row>
    <row r="811" spans="3:3" ht="14.25" customHeight="1" x14ac:dyDescent="0.25">
      <c r="C811" s="57"/>
    </row>
    <row r="812" spans="3:3" ht="14.25" customHeight="1" x14ac:dyDescent="0.25">
      <c r="C812" s="57"/>
    </row>
    <row r="813" spans="3:3" ht="14.25" customHeight="1" x14ac:dyDescent="0.25">
      <c r="C813" s="57"/>
    </row>
    <row r="814" spans="3:3" ht="14.25" customHeight="1" x14ac:dyDescent="0.25">
      <c r="C814" s="57"/>
    </row>
    <row r="815" spans="3:3" ht="14.25" customHeight="1" x14ac:dyDescent="0.25">
      <c r="C815" s="57"/>
    </row>
    <row r="816" spans="3:3" ht="14.25" customHeight="1" x14ac:dyDescent="0.25">
      <c r="C816" s="57"/>
    </row>
    <row r="817" spans="3:3" ht="14.25" customHeight="1" x14ac:dyDescent="0.25">
      <c r="C817" s="57"/>
    </row>
    <row r="818" spans="3:3" ht="14.25" customHeight="1" x14ac:dyDescent="0.25">
      <c r="C818" s="57"/>
    </row>
    <row r="819" spans="3:3" ht="14.25" customHeight="1" x14ac:dyDescent="0.25">
      <c r="C819" s="57"/>
    </row>
    <row r="820" spans="3:3" ht="14.25" customHeight="1" x14ac:dyDescent="0.25">
      <c r="C820" s="57"/>
    </row>
    <row r="821" spans="3:3" ht="14.25" customHeight="1" x14ac:dyDescent="0.25">
      <c r="C821" s="57"/>
    </row>
    <row r="822" spans="3:3" ht="14.25" customHeight="1" x14ac:dyDescent="0.25">
      <c r="C822" s="57"/>
    </row>
    <row r="823" spans="3:3" ht="14.25" customHeight="1" x14ac:dyDescent="0.25">
      <c r="C823" s="57"/>
    </row>
    <row r="824" spans="3:3" ht="14.25" customHeight="1" x14ac:dyDescent="0.25">
      <c r="C824" s="57"/>
    </row>
    <row r="825" spans="3:3" ht="14.25" customHeight="1" x14ac:dyDescent="0.25">
      <c r="C825" s="57"/>
    </row>
    <row r="826" spans="3:3" ht="14.25" customHeight="1" x14ac:dyDescent="0.25">
      <c r="C826" s="57"/>
    </row>
    <row r="827" spans="3:3" ht="14.25" customHeight="1" x14ac:dyDescent="0.25">
      <c r="C827" s="57"/>
    </row>
    <row r="828" spans="3:3" ht="14.25" customHeight="1" x14ac:dyDescent="0.25">
      <c r="C828" s="57"/>
    </row>
    <row r="829" spans="3:3" ht="14.25" customHeight="1" x14ac:dyDescent="0.25">
      <c r="C829" s="57"/>
    </row>
    <row r="830" spans="3:3" ht="14.25" customHeight="1" x14ac:dyDescent="0.25">
      <c r="C830" s="57"/>
    </row>
    <row r="831" spans="3:3" ht="14.25" customHeight="1" x14ac:dyDescent="0.25">
      <c r="C831" s="57"/>
    </row>
    <row r="832" spans="3:3" ht="14.25" customHeight="1" x14ac:dyDescent="0.25">
      <c r="C832" s="57"/>
    </row>
    <row r="833" spans="3:3" ht="14.25" customHeight="1" x14ac:dyDescent="0.25">
      <c r="C833" s="57"/>
    </row>
    <row r="834" spans="3:3" ht="14.25" customHeight="1" x14ac:dyDescent="0.25">
      <c r="C834" s="57"/>
    </row>
    <row r="835" spans="3:3" ht="14.25" customHeight="1" x14ac:dyDescent="0.25">
      <c r="C835" s="57"/>
    </row>
    <row r="836" spans="3:3" ht="14.25" customHeight="1" x14ac:dyDescent="0.25">
      <c r="C836" s="57"/>
    </row>
    <row r="837" spans="3:3" ht="14.25" customHeight="1" x14ac:dyDescent="0.25">
      <c r="C837" s="57"/>
    </row>
    <row r="838" spans="3:3" ht="14.25" customHeight="1" x14ac:dyDescent="0.25">
      <c r="C838" s="57"/>
    </row>
    <row r="839" spans="3:3" ht="14.25" customHeight="1" x14ac:dyDescent="0.25">
      <c r="C839" s="57"/>
    </row>
    <row r="840" spans="3:3" ht="14.25" customHeight="1" x14ac:dyDescent="0.25">
      <c r="C840" s="57"/>
    </row>
    <row r="841" spans="3:3" ht="14.25" customHeight="1" x14ac:dyDescent="0.25">
      <c r="C841" s="57"/>
    </row>
    <row r="842" spans="3:3" ht="14.25" customHeight="1" x14ac:dyDescent="0.25">
      <c r="C842" s="57"/>
    </row>
    <row r="843" spans="3:3" ht="14.25" customHeight="1" x14ac:dyDescent="0.25">
      <c r="C843" s="57"/>
    </row>
    <row r="844" spans="3:3" ht="14.25" customHeight="1" x14ac:dyDescent="0.25">
      <c r="C844" s="57"/>
    </row>
    <row r="845" spans="3:3" ht="14.25" customHeight="1" x14ac:dyDescent="0.25">
      <c r="C845" s="57"/>
    </row>
    <row r="846" spans="3:3" ht="14.25" customHeight="1" x14ac:dyDescent="0.25">
      <c r="C846" s="57"/>
    </row>
    <row r="847" spans="3:3" ht="14.25" customHeight="1" x14ac:dyDescent="0.25">
      <c r="C847" s="57"/>
    </row>
    <row r="848" spans="3:3" ht="14.25" customHeight="1" x14ac:dyDescent="0.25">
      <c r="C848" s="57"/>
    </row>
    <row r="849" spans="3:3" ht="14.25" customHeight="1" x14ac:dyDescent="0.25">
      <c r="C849" s="57"/>
    </row>
    <row r="850" spans="3:3" ht="14.25" customHeight="1" x14ac:dyDescent="0.25">
      <c r="C850" s="57"/>
    </row>
    <row r="851" spans="3:3" ht="14.25" customHeight="1" x14ac:dyDescent="0.25">
      <c r="C851" s="57"/>
    </row>
    <row r="852" spans="3:3" ht="14.25" customHeight="1" x14ac:dyDescent="0.25">
      <c r="C852" s="57"/>
    </row>
    <row r="853" spans="3:3" ht="14.25" customHeight="1" x14ac:dyDescent="0.25">
      <c r="C853" s="57"/>
    </row>
    <row r="854" spans="3:3" ht="14.25" customHeight="1" x14ac:dyDescent="0.25">
      <c r="C854" s="57"/>
    </row>
    <row r="855" spans="3:3" ht="14.25" customHeight="1" x14ac:dyDescent="0.25">
      <c r="C855" s="57"/>
    </row>
    <row r="856" spans="3:3" ht="14.25" customHeight="1" x14ac:dyDescent="0.25">
      <c r="C856" s="57"/>
    </row>
    <row r="857" spans="3:3" ht="14.25" customHeight="1" x14ac:dyDescent="0.25">
      <c r="C857" s="57"/>
    </row>
    <row r="858" spans="3:3" ht="14.25" customHeight="1" x14ac:dyDescent="0.25">
      <c r="C858" s="57"/>
    </row>
    <row r="859" spans="3:3" ht="14.25" customHeight="1" x14ac:dyDescent="0.25">
      <c r="C859" s="57"/>
    </row>
    <row r="860" spans="3:3" ht="14.25" customHeight="1" x14ac:dyDescent="0.25">
      <c r="C860" s="57"/>
    </row>
    <row r="861" spans="3:3" ht="14.25" customHeight="1" x14ac:dyDescent="0.25">
      <c r="C861" s="57"/>
    </row>
    <row r="862" spans="3:3" ht="14.25" customHeight="1" x14ac:dyDescent="0.25">
      <c r="C862" s="57"/>
    </row>
    <row r="863" spans="3:3" ht="14.25" customHeight="1" x14ac:dyDescent="0.25">
      <c r="C863" s="57"/>
    </row>
    <row r="864" spans="3:3" ht="14.25" customHeight="1" x14ac:dyDescent="0.25">
      <c r="C864" s="57"/>
    </row>
    <row r="865" spans="3:3" ht="14.25" customHeight="1" x14ac:dyDescent="0.25">
      <c r="C865" s="57"/>
    </row>
    <row r="866" spans="3:3" ht="14.25" customHeight="1" x14ac:dyDescent="0.25">
      <c r="C866" s="57"/>
    </row>
    <row r="867" spans="3:3" ht="14.25" customHeight="1" x14ac:dyDescent="0.25">
      <c r="C867" s="57"/>
    </row>
    <row r="868" spans="3:3" ht="14.25" customHeight="1" x14ac:dyDescent="0.25">
      <c r="C868" s="57"/>
    </row>
    <row r="869" spans="3:3" ht="14.25" customHeight="1" x14ac:dyDescent="0.25">
      <c r="C869" s="57"/>
    </row>
    <row r="870" spans="3:3" ht="14.25" customHeight="1" x14ac:dyDescent="0.25">
      <c r="C870" s="57"/>
    </row>
    <row r="871" spans="3:3" ht="14.25" customHeight="1" x14ac:dyDescent="0.25">
      <c r="C871" s="57"/>
    </row>
    <row r="872" spans="3:3" x14ac:dyDescent="0.25">
      <c r="C872" s="57"/>
    </row>
    <row r="873" spans="3:3" x14ac:dyDescent="0.25">
      <c r="C873" s="57"/>
    </row>
    <row r="874" spans="3:3" x14ac:dyDescent="0.25">
      <c r="C874" s="57"/>
    </row>
    <row r="875" spans="3:3" x14ac:dyDescent="0.25">
      <c r="C875" s="57"/>
    </row>
    <row r="876" spans="3:3" x14ac:dyDescent="0.25">
      <c r="C876" s="57"/>
    </row>
    <row r="877" spans="3:3" x14ac:dyDescent="0.25">
      <c r="C877" s="57"/>
    </row>
    <row r="878" spans="3:3" x14ac:dyDescent="0.25">
      <c r="C878" s="57"/>
    </row>
    <row r="879" spans="3:3" x14ac:dyDescent="0.25">
      <c r="C879" s="57"/>
    </row>
    <row r="880" spans="3:3" x14ac:dyDescent="0.25">
      <c r="C880" s="57"/>
    </row>
    <row r="881" spans="3:3" x14ac:dyDescent="0.25">
      <c r="C881" s="57"/>
    </row>
    <row r="882" spans="3:3" x14ac:dyDescent="0.25">
      <c r="C882" s="57"/>
    </row>
    <row r="883" spans="3:3" x14ac:dyDescent="0.25">
      <c r="C883" s="57"/>
    </row>
    <row r="884" spans="3:3" x14ac:dyDescent="0.25">
      <c r="C884" s="57"/>
    </row>
    <row r="885" spans="3:3" x14ac:dyDescent="0.25">
      <c r="C885" s="57"/>
    </row>
    <row r="886" spans="3:3" x14ac:dyDescent="0.25">
      <c r="C886" s="57"/>
    </row>
    <row r="887" spans="3:3" x14ac:dyDescent="0.25">
      <c r="C887" s="57"/>
    </row>
    <row r="888" spans="3:3" x14ac:dyDescent="0.25">
      <c r="C888" s="57"/>
    </row>
    <row r="889" spans="3:3" x14ac:dyDescent="0.25">
      <c r="C889" s="57"/>
    </row>
    <row r="890" spans="3:3" x14ac:dyDescent="0.25">
      <c r="C890" s="57"/>
    </row>
    <row r="891" spans="3:3" x14ac:dyDescent="0.25">
      <c r="C891" s="57"/>
    </row>
    <row r="892" spans="3:3" x14ac:dyDescent="0.25">
      <c r="C892" s="57"/>
    </row>
    <row r="893" spans="3:3" x14ac:dyDescent="0.25">
      <c r="C893" s="57"/>
    </row>
    <row r="894" spans="3:3" x14ac:dyDescent="0.25">
      <c r="C894" s="57"/>
    </row>
    <row r="895" spans="3:3" x14ac:dyDescent="0.25">
      <c r="C895" s="57"/>
    </row>
    <row r="896" spans="3:3" x14ac:dyDescent="0.25">
      <c r="C896" s="57"/>
    </row>
    <row r="897" spans="3:3" x14ac:dyDescent="0.25">
      <c r="C897" s="57"/>
    </row>
    <row r="898" spans="3:3" x14ac:dyDescent="0.25">
      <c r="C898" s="57"/>
    </row>
    <row r="899" spans="3:3" x14ac:dyDescent="0.25">
      <c r="C899" s="57"/>
    </row>
    <row r="900" spans="3:3" x14ac:dyDescent="0.25">
      <c r="C900" s="57"/>
    </row>
    <row r="901" spans="3:3" x14ac:dyDescent="0.25">
      <c r="C901" s="57"/>
    </row>
    <row r="902" spans="3:3" x14ac:dyDescent="0.25">
      <c r="C902" s="57"/>
    </row>
    <row r="903" spans="3:3" x14ac:dyDescent="0.25">
      <c r="C903" s="57"/>
    </row>
    <row r="904" spans="3:3" x14ac:dyDescent="0.25">
      <c r="C904" s="57"/>
    </row>
    <row r="905" spans="3:3" x14ac:dyDescent="0.25">
      <c r="C905" s="57"/>
    </row>
    <row r="906" spans="3:3" x14ac:dyDescent="0.25">
      <c r="C906" s="57"/>
    </row>
    <row r="907" spans="3:3" x14ac:dyDescent="0.25">
      <c r="C907" s="57"/>
    </row>
    <row r="908" spans="3:3" x14ac:dyDescent="0.25">
      <c r="C908" s="57"/>
    </row>
    <row r="909" spans="3:3" x14ac:dyDescent="0.25">
      <c r="C909" s="57"/>
    </row>
    <row r="910" spans="3:3" x14ac:dyDescent="0.25">
      <c r="C910" s="57"/>
    </row>
    <row r="911" spans="3:3" x14ac:dyDescent="0.25">
      <c r="C911" s="57"/>
    </row>
    <row r="912" spans="3:3" x14ac:dyDescent="0.25">
      <c r="C912" s="57"/>
    </row>
    <row r="913" spans="3:3" x14ac:dyDescent="0.25">
      <c r="C913" s="57"/>
    </row>
    <row r="914" spans="3:3" x14ac:dyDescent="0.25">
      <c r="C914" s="57"/>
    </row>
    <row r="915" spans="3:3" x14ac:dyDescent="0.25">
      <c r="C915" s="57"/>
    </row>
    <row r="916" spans="3:3" x14ac:dyDescent="0.25">
      <c r="C916" s="57"/>
    </row>
    <row r="917" spans="3:3" x14ac:dyDescent="0.25">
      <c r="C917" s="57"/>
    </row>
    <row r="918" spans="3:3" x14ac:dyDescent="0.25">
      <c r="C918" s="57"/>
    </row>
    <row r="919" spans="3:3" x14ac:dyDescent="0.25">
      <c r="C919" s="57"/>
    </row>
    <row r="920" spans="3:3" x14ac:dyDescent="0.25">
      <c r="C920" s="57"/>
    </row>
    <row r="921" spans="3:3" x14ac:dyDescent="0.25">
      <c r="C921" s="57"/>
    </row>
    <row r="922" spans="3:3" x14ac:dyDescent="0.25">
      <c r="C922" s="57"/>
    </row>
    <row r="923" spans="3:3" x14ac:dyDescent="0.25">
      <c r="C923" s="57"/>
    </row>
    <row r="924" spans="3:3" x14ac:dyDescent="0.25">
      <c r="C924" s="57"/>
    </row>
    <row r="925" spans="3:3" x14ac:dyDescent="0.25">
      <c r="C925" s="57"/>
    </row>
    <row r="926" spans="3:3" x14ac:dyDescent="0.25">
      <c r="C926" s="57"/>
    </row>
    <row r="927" spans="3:3" x14ac:dyDescent="0.25">
      <c r="C927" s="57"/>
    </row>
    <row r="928" spans="3:3" x14ac:dyDescent="0.25">
      <c r="C928" s="57"/>
    </row>
    <row r="929" spans="3:3" x14ac:dyDescent="0.25">
      <c r="C929" s="57"/>
    </row>
    <row r="930" spans="3:3" x14ac:dyDescent="0.25">
      <c r="C930" s="57"/>
    </row>
    <row r="931" spans="3:3" x14ac:dyDescent="0.25">
      <c r="C931" s="57"/>
    </row>
    <row r="932" spans="3:3" x14ac:dyDescent="0.25">
      <c r="C932" s="57"/>
    </row>
    <row r="933" spans="3:3" x14ac:dyDescent="0.25">
      <c r="C933" s="57"/>
    </row>
    <row r="934" spans="3:3" x14ac:dyDescent="0.25">
      <c r="C934" s="57"/>
    </row>
    <row r="935" spans="3:3" x14ac:dyDescent="0.25">
      <c r="C935" s="57"/>
    </row>
    <row r="936" spans="3:3" x14ac:dyDescent="0.25">
      <c r="C936" s="57"/>
    </row>
    <row r="937" spans="3:3" x14ac:dyDescent="0.25">
      <c r="C937" s="57"/>
    </row>
    <row r="938" spans="3:3" x14ac:dyDescent="0.25">
      <c r="C938" s="57"/>
    </row>
    <row r="939" spans="3:3" x14ac:dyDescent="0.25">
      <c r="C939" s="57"/>
    </row>
    <row r="940" spans="3:3" x14ac:dyDescent="0.25">
      <c r="C940" s="57"/>
    </row>
    <row r="941" spans="3:3" x14ac:dyDescent="0.25">
      <c r="C941" s="57"/>
    </row>
    <row r="942" spans="3:3" x14ac:dyDescent="0.25">
      <c r="C942" s="57"/>
    </row>
    <row r="943" spans="3:3" x14ac:dyDescent="0.25">
      <c r="C943" s="57"/>
    </row>
    <row r="944" spans="3:3" x14ac:dyDescent="0.25">
      <c r="C944" s="57"/>
    </row>
    <row r="945" spans="3:3" x14ac:dyDescent="0.25">
      <c r="C945" s="57"/>
    </row>
    <row r="946" spans="3:3" x14ac:dyDescent="0.25">
      <c r="C946" s="57"/>
    </row>
    <row r="947" spans="3:3" x14ac:dyDescent="0.25">
      <c r="C947" s="57"/>
    </row>
    <row r="948" spans="3:3" x14ac:dyDescent="0.25">
      <c r="C948" s="57"/>
    </row>
    <row r="949" spans="3:3" x14ac:dyDescent="0.25">
      <c r="C949" s="57"/>
    </row>
    <row r="950" spans="3:3" x14ac:dyDescent="0.25">
      <c r="C950" s="57"/>
    </row>
    <row r="951" spans="3:3" x14ac:dyDescent="0.25">
      <c r="C951" s="57"/>
    </row>
    <row r="952" spans="3:3" x14ac:dyDescent="0.25">
      <c r="C952" s="57"/>
    </row>
    <row r="953" spans="3:3" x14ac:dyDescent="0.25">
      <c r="C953" s="57"/>
    </row>
    <row r="954" spans="3:3" x14ac:dyDescent="0.25">
      <c r="C954" s="57"/>
    </row>
    <row r="955" spans="3:3" x14ac:dyDescent="0.25">
      <c r="C955" s="57"/>
    </row>
    <row r="956" spans="3:3" x14ac:dyDescent="0.25">
      <c r="C956" s="57"/>
    </row>
    <row r="957" spans="3:3" x14ac:dyDescent="0.25">
      <c r="C957" s="57"/>
    </row>
    <row r="958" spans="3:3" x14ac:dyDescent="0.25">
      <c r="C958" s="57"/>
    </row>
    <row r="959" spans="3:3" x14ac:dyDescent="0.25">
      <c r="C959" s="57"/>
    </row>
    <row r="960" spans="3:3" x14ac:dyDescent="0.25">
      <c r="C960" s="57"/>
    </row>
    <row r="961" spans="3:3" x14ac:dyDescent="0.25">
      <c r="C961" s="57"/>
    </row>
    <row r="962" spans="3:3" x14ac:dyDescent="0.25">
      <c r="C962" s="57"/>
    </row>
    <row r="963" spans="3:3" x14ac:dyDescent="0.25">
      <c r="C963" s="57"/>
    </row>
    <row r="964" spans="3:3" x14ac:dyDescent="0.25">
      <c r="C964" s="57"/>
    </row>
    <row r="965" spans="3:3" x14ac:dyDescent="0.25">
      <c r="C965" s="57"/>
    </row>
    <row r="966" spans="3:3" x14ac:dyDescent="0.25">
      <c r="C966" s="57"/>
    </row>
    <row r="967" spans="3:3" x14ac:dyDescent="0.25">
      <c r="C967" s="57"/>
    </row>
    <row r="968" spans="3:3" x14ac:dyDescent="0.25">
      <c r="C968" s="57"/>
    </row>
    <row r="969" spans="3:3" x14ac:dyDescent="0.25">
      <c r="C969" s="57"/>
    </row>
    <row r="970" spans="3:3" x14ac:dyDescent="0.25">
      <c r="C970" s="57"/>
    </row>
    <row r="971" spans="3:3" x14ac:dyDescent="0.25">
      <c r="C971" s="57"/>
    </row>
    <row r="972" spans="3:3" x14ac:dyDescent="0.25">
      <c r="C972" s="57"/>
    </row>
    <row r="973" spans="3:3" x14ac:dyDescent="0.25">
      <c r="C973" s="57"/>
    </row>
    <row r="974" spans="3:3" x14ac:dyDescent="0.25">
      <c r="C974" s="57"/>
    </row>
    <row r="975" spans="3:3" x14ac:dyDescent="0.25">
      <c r="C975" s="57"/>
    </row>
    <row r="976" spans="3:3" x14ac:dyDescent="0.25">
      <c r="C976" s="57"/>
    </row>
    <row r="977" spans="3:3" x14ac:dyDescent="0.25">
      <c r="C977" s="57"/>
    </row>
    <row r="978" spans="3:3" x14ac:dyDescent="0.25">
      <c r="C978" s="57"/>
    </row>
    <row r="979" spans="3:3" x14ac:dyDescent="0.25">
      <c r="C979" s="57"/>
    </row>
    <row r="980" spans="3:3" x14ac:dyDescent="0.25">
      <c r="C980" s="57"/>
    </row>
    <row r="981" spans="3:3" x14ac:dyDescent="0.25">
      <c r="C981" s="57"/>
    </row>
    <row r="982" spans="3:3" x14ac:dyDescent="0.25">
      <c r="C982" s="57"/>
    </row>
    <row r="983" spans="3:3" x14ac:dyDescent="0.25">
      <c r="C983" s="57"/>
    </row>
    <row r="984" spans="3:3" x14ac:dyDescent="0.25">
      <c r="C984" s="57"/>
    </row>
    <row r="985" spans="3:3" x14ac:dyDescent="0.25">
      <c r="C985" s="57"/>
    </row>
    <row r="986" spans="3:3" x14ac:dyDescent="0.25">
      <c r="C986" s="57"/>
    </row>
    <row r="987" spans="3:3" x14ac:dyDescent="0.25">
      <c r="C987" s="57"/>
    </row>
    <row r="988" spans="3:3" x14ac:dyDescent="0.25">
      <c r="C988" s="57"/>
    </row>
    <row r="989" spans="3:3" x14ac:dyDescent="0.25">
      <c r="C989" s="5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34.28515625" customWidth="1"/>
    <col min="2" max="2" width="12.140625" customWidth="1"/>
    <col min="3" max="3" width="18.85546875" customWidth="1"/>
    <col min="4" max="4" width="14.7109375" customWidth="1"/>
    <col min="5" max="5" width="20.85546875" customWidth="1"/>
    <col min="6" max="6" width="14.7109375" customWidth="1"/>
    <col min="7" max="7" width="19" customWidth="1"/>
    <col min="8" max="9" width="14.7109375" customWidth="1"/>
    <col min="10" max="10" width="12.140625" customWidth="1"/>
    <col min="11" max="13" width="8.7109375" customWidth="1"/>
  </cols>
  <sheetData>
    <row r="1" spans="1:13" ht="14.2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39"/>
      <c r="K2" s="39"/>
      <c r="L2" s="39"/>
      <c r="M2" s="39"/>
    </row>
    <row r="3" spans="1:13" ht="14.25" customHeight="1" x14ac:dyDescent="0.25">
      <c r="A3" s="41" t="s">
        <v>268</v>
      </c>
      <c r="B3" s="41" t="s">
        <v>162</v>
      </c>
      <c r="C3" s="42" t="s">
        <v>269</v>
      </c>
      <c r="D3" s="46">
        <v>50000</v>
      </c>
      <c r="E3" s="46">
        <f t="shared" ref="E3:E8" si="0">D3*0.01</f>
        <v>500</v>
      </c>
      <c r="F3" s="46">
        <v>0</v>
      </c>
      <c r="G3" s="46">
        <f t="shared" ref="G3:G8" si="1">SUM(D3,F3)-E3</f>
        <v>49500</v>
      </c>
      <c r="H3" s="46">
        <v>49500</v>
      </c>
      <c r="I3" s="46">
        <f t="shared" ref="I3:I8" si="2">G3-H3</f>
        <v>0</v>
      </c>
      <c r="J3" s="39"/>
      <c r="K3" s="39"/>
      <c r="L3" s="39"/>
      <c r="M3" s="39"/>
    </row>
    <row r="4" spans="1:13" ht="14.25" customHeight="1" x14ac:dyDescent="0.25">
      <c r="A4" s="41" t="s">
        <v>239</v>
      </c>
      <c r="B4" s="41" t="s">
        <v>23</v>
      </c>
      <c r="C4" s="42" t="s">
        <v>189</v>
      </c>
      <c r="D4" s="46">
        <v>42000</v>
      </c>
      <c r="E4" s="46">
        <f t="shared" si="0"/>
        <v>420</v>
      </c>
      <c r="F4" s="46">
        <v>0</v>
      </c>
      <c r="G4" s="46">
        <f t="shared" si="1"/>
        <v>41580</v>
      </c>
      <c r="H4" s="46">
        <v>41580</v>
      </c>
      <c r="I4" s="46">
        <f t="shared" si="2"/>
        <v>0</v>
      </c>
      <c r="J4" s="39"/>
      <c r="K4" s="39"/>
      <c r="L4" s="39"/>
      <c r="M4" s="39"/>
    </row>
    <row r="5" spans="1:13" ht="14.25" customHeight="1" x14ac:dyDescent="0.25">
      <c r="A5" s="41" t="s">
        <v>240</v>
      </c>
      <c r="B5" s="41" t="s">
        <v>35</v>
      </c>
      <c r="C5" s="42" t="s">
        <v>177</v>
      </c>
      <c r="D5" s="46">
        <v>40000</v>
      </c>
      <c r="E5" s="46">
        <f t="shared" si="0"/>
        <v>400</v>
      </c>
      <c r="F5" s="46">
        <v>0</v>
      </c>
      <c r="G5" s="46">
        <f t="shared" si="1"/>
        <v>39600</v>
      </c>
      <c r="H5" s="46">
        <v>39600</v>
      </c>
      <c r="I5" s="46">
        <f t="shared" si="2"/>
        <v>0</v>
      </c>
      <c r="J5" s="39"/>
      <c r="K5" s="39"/>
      <c r="L5" s="39"/>
      <c r="M5" s="39"/>
    </row>
    <row r="6" spans="1:13" ht="14.25" customHeight="1" x14ac:dyDescent="0.25">
      <c r="A6" s="41" t="s">
        <v>247</v>
      </c>
      <c r="B6" s="41" t="s">
        <v>162</v>
      </c>
      <c r="C6" s="42" t="s">
        <v>248</v>
      </c>
      <c r="D6" s="46">
        <v>15000</v>
      </c>
      <c r="E6" s="46">
        <f t="shared" si="0"/>
        <v>150</v>
      </c>
      <c r="F6" s="46">
        <v>0</v>
      </c>
      <c r="G6" s="46">
        <f t="shared" si="1"/>
        <v>14850</v>
      </c>
      <c r="H6" s="46">
        <v>14850</v>
      </c>
      <c r="I6" s="46">
        <f t="shared" si="2"/>
        <v>0</v>
      </c>
      <c r="J6" s="39"/>
      <c r="K6" s="39"/>
      <c r="L6" s="39"/>
      <c r="M6" s="39"/>
    </row>
    <row r="7" spans="1:13" ht="14.25" customHeight="1" x14ac:dyDescent="0.25">
      <c r="A7" s="41" t="s">
        <v>249</v>
      </c>
      <c r="B7" s="41" t="s">
        <v>162</v>
      </c>
      <c r="C7" s="42" t="s">
        <v>262</v>
      </c>
      <c r="D7" s="46">
        <v>20000</v>
      </c>
      <c r="E7" s="46">
        <f t="shared" si="0"/>
        <v>200</v>
      </c>
      <c r="F7" s="46">
        <v>0</v>
      </c>
      <c r="G7" s="46">
        <f t="shared" si="1"/>
        <v>19800</v>
      </c>
      <c r="H7" s="46">
        <v>19800</v>
      </c>
      <c r="I7" s="46">
        <f t="shared" si="2"/>
        <v>0</v>
      </c>
      <c r="J7" s="39"/>
      <c r="K7" s="39"/>
      <c r="L7" s="39"/>
      <c r="M7" s="39"/>
    </row>
    <row r="8" spans="1:13" ht="14.25" customHeight="1" x14ac:dyDescent="0.25">
      <c r="A8" s="41" t="s">
        <v>253</v>
      </c>
      <c r="B8" s="41" t="s">
        <v>162</v>
      </c>
      <c r="C8" s="42" t="s">
        <v>254</v>
      </c>
      <c r="D8" s="46">
        <v>27500</v>
      </c>
      <c r="E8" s="46">
        <f t="shared" si="0"/>
        <v>275</v>
      </c>
      <c r="F8" s="46">
        <v>0</v>
      </c>
      <c r="G8" s="46">
        <f t="shared" si="1"/>
        <v>27225</v>
      </c>
      <c r="H8" s="46">
        <v>27225</v>
      </c>
      <c r="I8" s="46">
        <f t="shared" si="2"/>
        <v>0</v>
      </c>
      <c r="J8" s="39"/>
      <c r="K8" s="39"/>
      <c r="L8" s="39"/>
      <c r="M8" s="39"/>
    </row>
    <row r="9" spans="1:13" ht="14.25" customHeight="1" x14ac:dyDescent="0.25">
      <c r="A9" s="40"/>
      <c r="B9" s="40"/>
      <c r="C9" s="48"/>
      <c r="D9" s="49">
        <f t="shared" ref="D9:I9" si="3">SUM(D3:D8)</f>
        <v>194500</v>
      </c>
      <c r="E9" s="49">
        <f t="shared" si="3"/>
        <v>1945</v>
      </c>
      <c r="F9" s="49">
        <f t="shared" si="3"/>
        <v>0</v>
      </c>
      <c r="G9" s="49">
        <f t="shared" si="3"/>
        <v>192555</v>
      </c>
      <c r="H9" s="49">
        <f t="shared" si="3"/>
        <v>192555</v>
      </c>
      <c r="I9" s="49">
        <f t="shared" si="3"/>
        <v>0</v>
      </c>
      <c r="J9" s="39"/>
      <c r="K9" s="39"/>
      <c r="L9" s="39"/>
      <c r="M9" s="39"/>
    </row>
    <row r="10" spans="1:13" ht="14.25" customHeight="1" x14ac:dyDescent="0.25">
      <c r="A10" s="39"/>
      <c r="B10" s="39"/>
      <c r="C10" s="54"/>
      <c r="D10" s="39"/>
      <c r="E10" s="39"/>
      <c r="F10" s="39"/>
      <c r="G10" s="46"/>
      <c r="H10" s="39"/>
      <c r="I10" s="46"/>
      <c r="J10" s="39"/>
      <c r="K10" s="39"/>
      <c r="L10" s="39"/>
      <c r="M10" s="39"/>
    </row>
    <row r="11" spans="1:13" ht="14.25" customHeight="1" x14ac:dyDescent="0.25">
      <c r="A11" s="40" t="s">
        <v>72</v>
      </c>
      <c r="B11" s="41"/>
      <c r="C11" s="42"/>
      <c r="D11" s="41"/>
      <c r="E11" s="41"/>
      <c r="F11" s="41"/>
      <c r="G11" s="46">
        <f t="shared" ref="G11:G17" si="4">SUM(D11,F11)-E11</f>
        <v>0</v>
      </c>
      <c r="H11" s="41"/>
      <c r="I11" s="46">
        <f t="shared" ref="I11:I17" si="5">G11-H11</f>
        <v>0</v>
      </c>
      <c r="J11" s="39"/>
      <c r="K11" s="39"/>
      <c r="L11" s="39"/>
      <c r="M11" s="39"/>
    </row>
    <row r="12" spans="1:13" ht="14.25" customHeight="1" x14ac:dyDescent="0.25">
      <c r="A12" s="41" t="s">
        <v>268</v>
      </c>
      <c r="B12" s="41" t="s">
        <v>162</v>
      </c>
      <c r="C12" s="42" t="s">
        <v>269</v>
      </c>
      <c r="D12" s="46">
        <v>50000</v>
      </c>
      <c r="E12" s="46">
        <f t="shared" ref="E12:E17" si="6">D12*0.01</f>
        <v>500</v>
      </c>
      <c r="F12" s="46">
        <v>0</v>
      </c>
      <c r="G12" s="46">
        <f t="shared" si="4"/>
        <v>49500</v>
      </c>
      <c r="H12" s="46">
        <v>49500</v>
      </c>
      <c r="I12" s="46">
        <f t="shared" si="5"/>
        <v>0</v>
      </c>
      <c r="J12" s="39"/>
      <c r="K12" s="39"/>
      <c r="L12" s="39"/>
      <c r="M12" s="39"/>
    </row>
    <row r="13" spans="1:13" ht="14.25" customHeight="1" x14ac:dyDescent="0.25">
      <c r="A13" s="41" t="s">
        <v>239</v>
      </c>
      <c r="B13" s="41" t="s">
        <v>23</v>
      </c>
      <c r="C13" s="42" t="s">
        <v>189</v>
      </c>
      <c r="D13" s="46">
        <v>42000</v>
      </c>
      <c r="E13" s="46">
        <f t="shared" si="6"/>
        <v>420</v>
      </c>
      <c r="F13" s="46">
        <v>0</v>
      </c>
      <c r="G13" s="46">
        <f t="shared" si="4"/>
        <v>41580</v>
      </c>
      <c r="H13" s="46">
        <v>41580</v>
      </c>
      <c r="I13" s="46">
        <f t="shared" si="5"/>
        <v>0</v>
      </c>
      <c r="J13" s="39"/>
      <c r="K13" s="39"/>
      <c r="L13" s="39"/>
      <c r="M13" s="39"/>
    </row>
    <row r="14" spans="1:13" ht="14.25" customHeight="1" x14ac:dyDescent="0.25">
      <c r="A14" s="41" t="s">
        <v>240</v>
      </c>
      <c r="B14" s="41" t="s">
        <v>35</v>
      </c>
      <c r="C14" s="42" t="s">
        <v>177</v>
      </c>
      <c r="D14" s="46">
        <v>40000</v>
      </c>
      <c r="E14" s="46">
        <f t="shared" si="6"/>
        <v>400</v>
      </c>
      <c r="F14" s="46">
        <v>0</v>
      </c>
      <c r="G14" s="46">
        <f t="shared" si="4"/>
        <v>39600</v>
      </c>
      <c r="H14" s="46">
        <v>39600</v>
      </c>
      <c r="I14" s="46">
        <f t="shared" si="5"/>
        <v>0</v>
      </c>
      <c r="J14" s="39"/>
      <c r="K14" s="39"/>
      <c r="L14" s="39"/>
      <c r="M14" s="39"/>
    </row>
    <row r="15" spans="1:13" ht="14.25" customHeight="1" x14ac:dyDescent="0.25">
      <c r="A15" s="41" t="s">
        <v>247</v>
      </c>
      <c r="B15" s="41" t="s">
        <v>162</v>
      </c>
      <c r="C15" s="42" t="s">
        <v>248</v>
      </c>
      <c r="D15" s="46">
        <v>15000</v>
      </c>
      <c r="E15" s="46">
        <f t="shared" si="6"/>
        <v>150</v>
      </c>
      <c r="F15" s="46">
        <v>0</v>
      </c>
      <c r="G15" s="46">
        <f t="shared" si="4"/>
        <v>14850</v>
      </c>
      <c r="H15" s="46">
        <v>14850</v>
      </c>
      <c r="I15" s="46">
        <f t="shared" si="5"/>
        <v>0</v>
      </c>
      <c r="J15" s="39"/>
      <c r="K15" s="39"/>
      <c r="L15" s="39"/>
      <c r="M15" s="39"/>
    </row>
    <row r="16" spans="1:13" ht="14.25" customHeight="1" x14ac:dyDescent="0.25">
      <c r="A16" s="41" t="s">
        <v>249</v>
      </c>
      <c r="B16" s="41" t="s">
        <v>162</v>
      </c>
      <c r="C16" s="42" t="s">
        <v>262</v>
      </c>
      <c r="D16" s="46">
        <v>20000</v>
      </c>
      <c r="E16" s="46">
        <f t="shared" si="6"/>
        <v>200</v>
      </c>
      <c r="F16" s="46">
        <v>0</v>
      </c>
      <c r="G16" s="46">
        <f t="shared" si="4"/>
        <v>19800</v>
      </c>
      <c r="H16" s="46">
        <v>19800</v>
      </c>
      <c r="I16" s="46">
        <f t="shared" si="5"/>
        <v>0</v>
      </c>
      <c r="J16" s="39"/>
      <c r="K16" s="39"/>
      <c r="L16" s="39"/>
      <c r="M16" s="39"/>
    </row>
    <row r="17" spans="1:13" ht="14.25" customHeight="1" x14ac:dyDescent="0.25">
      <c r="A17" s="41" t="s">
        <v>253</v>
      </c>
      <c r="B17" s="41" t="s">
        <v>162</v>
      </c>
      <c r="C17" s="42" t="s">
        <v>254</v>
      </c>
      <c r="D17" s="46">
        <v>27500</v>
      </c>
      <c r="E17" s="46">
        <f t="shared" si="6"/>
        <v>275</v>
      </c>
      <c r="F17" s="46">
        <v>0</v>
      </c>
      <c r="G17" s="46">
        <f t="shared" si="4"/>
        <v>27225</v>
      </c>
      <c r="H17" s="46">
        <v>27225</v>
      </c>
      <c r="I17" s="46">
        <f t="shared" si="5"/>
        <v>0</v>
      </c>
      <c r="J17" s="39"/>
      <c r="K17" s="39"/>
      <c r="L17" s="39"/>
      <c r="M17" s="39"/>
    </row>
    <row r="18" spans="1:13" ht="14.25" customHeight="1" x14ac:dyDescent="0.25">
      <c r="A18" s="40"/>
      <c r="B18" s="40"/>
      <c r="C18" s="48"/>
      <c r="D18" s="49">
        <f t="shared" ref="D18:I18" si="7">SUM(D12:D17)</f>
        <v>194500</v>
      </c>
      <c r="E18" s="49">
        <f t="shared" si="7"/>
        <v>1945</v>
      </c>
      <c r="F18" s="49">
        <f t="shared" si="7"/>
        <v>0</v>
      </c>
      <c r="G18" s="49">
        <f t="shared" si="7"/>
        <v>192555</v>
      </c>
      <c r="H18" s="49">
        <f t="shared" si="7"/>
        <v>192555</v>
      </c>
      <c r="I18" s="49">
        <f t="shared" si="7"/>
        <v>0</v>
      </c>
      <c r="J18" s="39"/>
      <c r="K18" s="39"/>
      <c r="L18" s="39"/>
      <c r="M18" s="39"/>
    </row>
    <row r="19" spans="1:13" ht="14.25" customHeight="1" x14ac:dyDescent="0.25">
      <c r="A19" s="39"/>
      <c r="B19" s="39"/>
      <c r="C19" s="54"/>
      <c r="D19" s="39"/>
      <c r="E19" s="39"/>
      <c r="F19" s="39"/>
      <c r="G19" s="46"/>
      <c r="H19" s="39"/>
      <c r="I19" s="46"/>
      <c r="J19" s="39"/>
      <c r="K19" s="39"/>
      <c r="L19" s="39"/>
      <c r="M19" s="39"/>
    </row>
    <row r="20" spans="1:13" ht="14.25" customHeight="1" x14ac:dyDescent="0.25">
      <c r="A20" s="40" t="s">
        <v>73</v>
      </c>
      <c r="B20" s="41"/>
      <c r="C20" s="42"/>
      <c r="D20" s="41"/>
      <c r="E20" s="41"/>
      <c r="F20" s="41"/>
      <c r="G20" s="46">
        <f t="shared" ref="G20:G26" si="8">SUM(D20,F20)-E20</f>
        <v>0</v>
      </c>
      <c r="H20" s="41"/>
      <c r="I20" s="46">
        <f t="shared" ref="I20:I26" si="9">G20-H20</f>
        <v>0</v>
      </c>
      <c r="J20" s="39"/>
      <c r="K20" s="39"/>
      <c r="L20" s="39"/>
      <c r="M20" s="39"/>
    </row>
    <row r="21" spans="1:13" ht="14.25" customHeight="1" x14ac:dyDescent="0.25">
      <c r="A21" s="41" t="s">
        <v>268</v>
      </c>
      <c r="B21" s="41" t="s">
        <v>162</v>
      </c>
      <c r="C21" s="42" t="s">
        <v>269</v>
      </c>
      <c r="D21" s="46">
        <v>50000</v>
      </c>
      <c r="E21" s="46">
        <f t="shared" ref="E21:E26" si="10">D21*0.01</f>
        <v>500</v>
      </c>
      <c r="F21" s="46">
        <v>0</v>
      </c>
      <c r="G21" s="46">
        <f t="shared" si="8"/>
        <v>49500</v>
      </c>
      <c r="H21" s="46">
        <v>49500</v>
      </c>
      <c r="I21" s="46">
        <f t="shared" si="9"/>
        <v>0</v>
      </c>
      <c r="J21" s="39"/>
      <c r="K21" s="39"/>
      <c r="L21" s="39"/>
      <c r="M21" s="39"/>
    </row>
    <row r="22" spans="1:13" ht="14.25" customHeight="1" x14ac:dyDescent="0.25">
      <c r="A22" s="41" t="s">
        <v>239</v>
      </c>
      <c r="B22" s="41" t="s">
        <v>23</v>
      </c>
      <c r="C22" s="42" t="s">
        <v>189</v>
      </c>
      <c r="D22" s="46">
        <v>42000</v>
      </c>
      <c r="E22" s="46">
        <f t="shared" si="10"/>
        <v>420</v>
      </c>
      <c r="F22" s="46">
        <v>23590</v>
      </c>
      <c r="G22" s="46">
        <f t="shared" si="8"/>
        <v>65170</v>
      </c>
      <c r="H22" s="46">
        <v>65170</v>
      </c>
      <c r="I22" s="46">
        <f t="shared" si="9"/>
        <v>0</v>
      </c>
      <c r="J22" s="39"/>
      <c r="K22" s="39"/>
      <c r="L22" s="39"/>
      <c r="M22" s="39"/>
    </row>
    <row r="23" spans="1:13" ht="14.25" customHeight="1" x14ac:dyDescent="0.25">
      <c r="A23" s="41" t="s">
        <v>240</v>
      </c>
      <c r="B23" s="41" t="s">
        <v>35</v>
      </c>
      <c r="C23" s="42" t="s">
        <v>177</v>
      </c>
      <c r="D23" s="46">
        <v>40000</v>
      </c>
      <c r="E23" s="46">
        <f t="shared" si="10"/>
        <v>400</v>
      </c>
      <c r="F23" s="46">
        <v>0</v>
      </c>
      <c r="G23" s="46">
        <f t="shared" si="8"/>
        <v>39600</v>
      </c>
      <c r="H23" s="46">
        <v>39600</v>
      </c>
      <c r="I23" s="46">
        <f t="shared" si="9"/>
        <v>0</v>
      </c>
      <c r="J23" s="39"/>
      <c r="K23" s="39"/>
      <c r="L23" s="39"/>
      <c r="M23" s="39"/>
    </row>
    <row r="24" spans="1:13" ht="14.25" customHeight="1" x14ac:dyDescent="0.25">
      <c r="A24" s="41" t="s">
        <v>247</v>
      </c>
      <c r="B24" s="41" t="s">
        <v>162</v>
      </c>
      <c r="C24" s="42" t="s">
        <v>248</v>
      </c>
      <c r="D24" s="46">
        <v>15000</v>
      </c>
      <c r="E24" s="46">
        <f t="shared" si="10"/>
        <v>150</v>
      </c>
      <c r="F24" s="46">
        <v>7500</v>
      </c>
      <c r="G24" s="46">
        <f t="shared" si="8"/>
        <v>22350</v>
      </c>
      <c r="H24" s="46">
        <v>22350</v>
      </c>
      <c r="I24" s="46">
        <f t="shared" si="9"/>
        <v>0</v>
      </c>
      <c r="J24" s="39"/>
      <c r="K24" s="39"/>
      <c r="L24" s="39"/>
      <c r="M24" s="39"/>
    </row>
    <row r="25" spans="1:13" ht="14.25" customHeight="1" x14ac:dyDescent="0.25">
      <c r="A25" s="41" t="s">
        <v>249</v>
      </c>
      <c r="B25" s="41" t="s">
        <v>162</v>
      </c>
      <c r="C25" s="42" t="s">
        <v>262</v>
      </c>
      <c r="D25" s="46">
        <v>20000</v>
      </c>
      <c r="E25" s="46">
        <f t="shared" si="10"/>
        <v>200</v>
      </c>
      <c r="F25" s="46">
        <v>-710</v>
      </c>
      <c r="G25" s="46">
        <f t="shared" si="8"/>
        <v>19090</v>
      </c>
      <c r="H25" s="46">
        <v>19090</v>
      </c>
      <c r="I25" s="46">
        <f t="shared" si="9"/>
        <v>0</v>
      </c>
      <c r="J25" s="39"/>
      <c r="K25" s="39"/>
      <c r="L25" s="39"/>
      <c r="M25" s="39"/>
    </row>
    <row r="26" spans="1:13" ht="14.25" customHeight="1" x14ac:dyDescent="0.25">
      <c r="A26" s="41" t="s">
        <v>253</v>
      </c>
      <c r="B26" s="41" t="s">
        <v>162</v>
      </c>
      <c r="C26" s="42" t="s">
        <v>254</v>
      </c>
      <c r="D26" s="46">
        <v>27500</v>
      </c>
      <c r="E26" s="46">
        <f t="shared" si="10"/>
        <v>275</v>
      </c>
      <c r="F26" s="46">
        <v>31062</v>
      </c>
      <c r="G26" s="46">
        <f t="shared" si="8"/>
        <v>58287</v>
      </c>
      <c r="H26" s="46">
        <v>58287</v>
      </c>
      <c r="I26" s="46">
        <f t="shared" si="9"/>
        <v>0</v>
      </c>
      <c r="J26" s="39"/>
      <c r="K26" s="39"/>
      <c r="L26" s="39"/>
      <c r="M26" s="39"/>
    </row>
    <row r="27" spans="1:13" ht="14.25" customHeight="1" x14ac:dyDescent="0.25">
      <c r="A27" s="40"/>
      <c r="B27" s="40"/>
      <c r="C27" s="48"/>
      <c r="D27" s="49">
        <f t="shared" ref="D27:I27" si="11">SUM(D21:D26)</f>
        <v>194500</v>
      </c>
      <c r="E27" s="49">
        <f t="shared" si="11"/>
        <v>1945</v>
      </c>
      <c r="F27" s="49">
        <f t="shared" si="11"/>
        <v>61442</v>
      </c>
      <c r="G27" s="49">
        <f t="shared" si="11"/>
        <v>253997</v>
      </c>
      <c r="H27" s="49">
        <f t="shared" si="11"/>
        <v>253997</v>
      </c>
      <c r="I27" s="49">
        <f t="shared" si="11"/>
        <v>0</v>
      </c>
      <c r="J27" s="39"/>
      <c r="K27" s="39"/>
      <c r="L27" s="39"/>
      <c r="M27" s="39"/>
    </row>
    <row r="28" spans="1:13" ht="14.25" customHeight="1" x14ac:dyDescent="0.25">
      <c r="A28" s="39"/>
      <c r="B28" s="39"/>
      <c r="C28" s="54"/>
      <c r="D28" s="39"/>
      <c r="E28" s="39"/>
      <c r="F28" s="39"/>
      <c r="G28" s="46"/>
      <c r="H28" s="39"/>
      <c r="I28" s="46"/>
      <c r="J28" s="39"/>
      <c r="K28" s="39"/>
      <c r="L28" s="39"/>
      <c r="M28" s="39"/>
    </row>
    <row r="29" spans="1:13" ht="14.25" customHeight="1" x14ac:dyDescent="0.25">
      <c r="A29" s="40" t="s">
        <v>78</v>
      </c>
      <c r="B29" s="41"/>
      <c r="C29" s="42"/>
      <c r="D29" s="41"/>
      <c r="E29" s="41"/>
      <c r="F29" s="41"/>
      <c r="G29" s="46">
        <f t="shared" ref="G29:G34" si="12">SUM(D29,F29)-E29</f>
        <v>0</v>
      </c>
      <c r="H29" s="41"/>
      <c r="I29" s="46">
        <f t="shared" ref="I29:I34" si="13">G29-H29</f>
        <v>0</v>
      </c>
      <c r="J29" s="39"/>
      <c r="K29" s="39"/>
      <c r="L29" s="39"/>
      <c r="M29" s="39"/>
    </row>
    <row r="30" spans="1:13" ht="14.25" customHeight="1" x14ac:dyDescent="0.25">
      <c r="A30" s="41" t="s">
        <v>268</v>
      </c>
      <c r="B30" s="41" t="s">
        <v>162</v>
      </c>
      <c r="C30" s="42" t="s">
        <v>269</v>
      </c>
      <c r="D30" s="46">
        <v>0</v>
      </c>
      <c r="E30" s="46">
        <f t="shared" ref="E30:E34" si="14">D30*0.01</f>
        <v>0</v>
      </c>
      <c r="F30" s="46">
        <v>0</v>
      </c>
      <c r="G30" s="46">
        <f t="shared" si="12"/>
        <v>0</v>
      </c>
      <c r="H30" s="46">
        <v>0</v>
      </c>
      <c r="I30" s="46">
        <f t="shared" si="13"/>
        <v>0</v>
      </c>
      <c r="J30" s="61"/>
      <c r="K30" s="39"/>
      <c r="L30" s="39"/>
      <c r="M30" s="39"/>
    </row>
    <row r="31" spans="1:13" ht="14.25" customHeight="1" x14ac:dyDescent="0.25">
      <c r="A31" s="41" t="s">
        <v>239</v>
      </c>
      <c r="B31" s="41" t="s">
        <v>23</v>
      </c>
      <c r="C31" s="42" t="s">
        <v>189</v>
      </c>
      <c r="D31" s="46">
        <v>0</v>
      </c>
      <c r="E31" s="46">
        <f t="shared" si="14"/>
        <v>0</v>
      </c>
      <c r="F31" s="46">
        <v>0</v>
      </c>
      <c r="G31" s="46">
        <f t="shared" si="12"/>
        <v>0</v>
      </c>
      <c r="H31" s="46">
        <v>0</v>
      </c>
      <c r="I31" s="46">
        <f t="shared" si="13"/>
        <v>0</v>
      </c>
      <c r="J31" s="61"/>
      <c r="K31" s="39"/>
      <c r="L31" s="39"/>
      <c r="M31" s="39"/>
    </row>
    <row r="32" spans="1:13" ht="14.25" customHeight="1" x14ac:dyDescent="0.25">
      <c r="A32" s="41" t="s">
        <v>240</v>
      </c>
      <c r="B32" s="41" t="s">
        <v>35</v>
      </c>
      <c r="C32" s="42" t="s">
        <v>177</v>
      </c>
      <c r="D32" s="46">
        <v>7272.727272727273</v>
      </c>
      <c r="E32" s="46">
        <f t="shared" si="14"/>
        <v>72.727272727272734</v>
      </c>
      <c r="F32" s="46">
        <v>0</v>
      </c>
      <c r="G32" s="46">
        <f t="shared" si="12"/>
        <v>7200</v>
      </c>
      <c r="H32" s="46">
        <v>7200</v>
      </c>
      <c r="I32" s="46">
        <f t="shared" si="13"/>
        <v>0</v>
      </c>
      <c r="J32" s="61"/>
      <c r="K32" s="39"/>
      <c r="L32" s="39"/>
      <c r="M32" s="39"/>
    </row>
    <row r="33" spans="1:13" ht="14.25" customHeight="1" x14ac:dyDescent="0.25">
      <c r="A33" s="41" t="s">
        <v>249</v>
      </c>
      <c r="B33" s="41" t="s">
        <v>162</v>
      </c>
      <c r="C33" s="42" t="s">
        <v>262</v>
      </c>
      <c r="D33" s="46">
        <v>0</v>
      </c>
      <c r="E33" s="46">
        <f t="shared" si="14"/>
        <v>0</v>
      </c>
      <c r="F33" s="46">
        <v>0</v>
      </c>
      <c r="G33" s="46">
        <f t="shared" si="12"/>
        <v>0</v>
      </c>
      <c r="H33" s="46">
        <v>0</v>
      </c>
      <c r="I33" s="46">
        <f t="shared" si="13"/>
        <v>0</v>
      </c>
      <c r="J33" s="61"/>
      <c r="K33" s="39"/>
      <c r="L33" s="39"/>
      <c r="M33" s="39"/>
    </row>
    <row r="34" spans="1:13" ht="14.25" customHeight="1" x14ac:dyDescent="0.25">
      <c r="A34" s="41" t="s">
        <v>253</v>
      </c>
      <c r="B34" s="41" t="s">
        <v>162</v>
      </c>
      <c r="C34" s="42" t="s">
        <v>254</v>
      </c>
      <c r="D34" s="46">
        <v>5000</v>
      </c>
      <c r="E34" s="46">
        <f t="shared" si="14"/>
        <v>50</v>
      </c>
      <c r="F34" s="46">
        <v>3000</v>
      </c>
      <c r="G34" s="46">
        <f t="shared" si="12"/>
        <v>7950</v>
      </c>
      <c r="H34" s="46">
        <v>7950</v>
      </c>
      <c r="I34" s="46">
        <f t="shared" si="13"/>
        <v>0</v>
      </c>
      <c r="J34" s="61"/>
      <c r="K34" s="39"/>
      <c r="L34" s="39"/>
      <c r="M34" s="39"/>
    </row>
    <row r="35" spans="1:13" ht="14.25" customHeight="1" x14ac:dyDescent="0.25">
      <c r="A35" s="40"/>
      <c r="B35" s="40"/>
      <c r="C35" s="48"/>
      <c r="D35" s="49">
        <f t="shared" ref="D35:I35" si="15">SUM(D30:D34)</f>
        <v>12272.727272727272</v>
      </c>
      <c r="E35" s="49">
        <f t="shared" si="15"/>
        <v>122.72727272727273</v>
      </c>
      <c r="F35" s="49">
        <f t="shared" si="15"/>
        <v>3000</v>
      </c>
      <c r="G35" s="49">
        <f t="shared" si="15"/>
        <v>15150</v>
      </c>
      <c r="H35" s="49">
        <f t="shared" si="15"/>
        <v>15150</v>
      </c>
      <c r="I35" s="49">
        <f t="shared" si="15"/>
        <v>0</v>
      </c>
      <c r="J35" s="39"/>
      <c r="K35" s="39"/>
      <c r="L35" s="39"/>
      <c r="M35" s="39"/>
    </row>
    <row r="36" spans="1:13" ht="14.25" customHeight="1" x14ac:dyDescent="0.25">
      <c r="A36" s="39"/>
      <c r="B36" s="39"/>
      <c r="C36" s="54"/>
      <c r="D36" s="39"/>
      <c r="E36" s="39"/>
      <c r="F36" s="39"/>
      <c r="G36" s="46"/>
      <c r="H36" s="39"/>
      <c r="I36" s="46"/>
      <c r="J36" s="39"/>
      <c r="K36" s="39"/>
      <c r="L36" s="39"/>
      <c r="M36" s="39"/>
    </row>
    <row r="37" spans="1:13" ht="14.25" customHeight="1" x14ac:dyDescent="0.25">
      <c r="A37" s="40" t="s">
        <v>79</v>
      </c>
      <c r="B37" s="41"/>
      <c r="C37" s="42"/>
      <c r="D37" s="41"/>
      <c r="E37" s="41"/>
      <c r="F37" s="41"/>
      <c r="G37" s="46">
        <f t="shared" ref="G37:G45" si="16">SUM(D37,F37)-E37</f>
        <v>0</v>
      </c>
      <c r="H37" s="41"/>
      <c r="I37" s="46">
        <f t="shared" ref="I37:I45" si="17">G37-H37</f>
        <v>0</v>
      </c>
      <c r="J37" s="39"/>
      <c r="K37" s="39"/>
      <c r="L37" s="39"/>
      <c r="M37" s="39"/>
    </row>
    <row r="38" spans="1:13" ht="14.25" customHeight="1" x14ac:dyDescent="0.25">
      <c r="A38" s="41" t="s">
        <v>268</v>
      </c>
      <c r="B38" s="41" t="s">
        <v>162</v>
      </c>
      <c r="C38" s="42" t="s">
        <v>269</v>
      </c>
      <c r="D38" s="46">
        <v>50000</v>
      </c>
      <c r="E38" s="46">
        <f t="shared" ref="E38:E45" si="18">D38*0.01</f>
        <v>500</v>
      </c>
      <c r="F38" s="46">
        <v>0</v>
      </c>
      <c r="G38" s="46">
        <f t="shared" si="16"/>
        <v>49500</v>
      </c>
      <c r="H38" s="46">
        <v>49500</v>
      </c>
      <c r="I38" s="46">
        <f t="shared" si="17"/>
        <v>0</v>
      </c>
      <c r="J38" s="39"/>
      <c r="K38" s="39"/>
      <c r="L38" s="39"/>
      <c r="M38" s="39"/>
    </row>
    <row r="39" spans="1:13" ht="14.25" customHeight="1" x14ac:dyDescent="0.25">
      <c r="A39" s="41" t="s">
        <v>239</v>
      </c>
      <c r="B39" s="41" t="s">
        <v>23</v>
      </c>
      <c r="C39" s="42" t="s">
        <v>189</v>
      </c>
      <c r="D39" s="46">
        <v>42000</v>
      </c>
      <c r="E39" s="46">
        <f t="shared" si="18"/>
        <v>420</v>
      </c>
      <c r="F39" s="46">
        <v>0</v>
      </c>
      <c r="G39" s="46">
        <f t="shared" si="16"/>
        <v>41580</v>
      </c>
      <c r="H39" s="46">
        <v>41580</v>
      </c>
      <c r="I39" s="46">
        <f t="shared" si="17"/>
        <v>0</v>
      </c>
      <c r="J39" s="39"/>
      <c r="K39" s="39"/>
      <c r="L39" s="39"/>
      <c r="M39" s="39"/>
    </row>
    <row r="40" spans="1:13" ht="14.25" customHeight="1" x14ac:dyDescent="0.25">
      <c r="A40" s="41" t="s">
        <v>240</v>
      </c>
      <c r="B40" s="41" t="s">
        <v>35</v>
      </c>
      <c r="C40" s="42" t="s">
        <v>177</v>
      </c>
      <c r="D40" s="46">
        <v>42000</v>
      </c>
      <c r="E40" s="46">
        <f t="shared" si="18"/>
        <v>420</v>
      </c>
      <c r="F40" s="46">
        <v>0</v>
      </c>
      <c r="G40" s="46">
        <f t="shared" si="16"/>
        <v>41580</v>
      </c>
      <c r="H40" s="46">
        <v>41580</v>
      </c>
      <c r="I40" s="46">
        <f t="shared" si="17"/>
        <v>0</v>
      </c>
      <c r="J40" s="39"/>
      <c r="K40" s="39"/>
      <c r="L40" s="39"/>
      <c r="M40" s="39"/>
    </row>
    <row r="41" spans="1:13" ht="14.25" customHeight="1" x14ac:dyDescent="0.25">
      <c r="A41" s="41" t="s">
        <v>249</v>
      </c>
      <c r="B41" s="41" t="s">
        <v>162</v>
      </c>
      <c r="C41" s="42" t="s">
        <v>262</v>
      </c>
      <c r="D41" s="46">
        <v>20000</v>
      </c>
      <c r="E41" s="46">
        <f t="shared" si="18"/>
        <v>200</v>
      </c>
      <c r="F41" s="46">
        <v>0</v>
      </c>
      <c r="G41" s="46">
        <f t="shared" si="16"/>
        <v>19800</v>
      </c>
      <c r="H41" s="46">
        <v>19800</v>
      </c>
      <c r="I41" s="46">
        <f t="shared" si="17"/>
        <v>0</v>
      </c>
      <c r="J41" s="39"/>
      <c r="K41" s="39"/>
      <c r="L41" s="39"/>
      <c r="M41" s="39"/>
    </row>
    <row r="42" spans="1:13" ht="14.25" customHeight="1" x14ac:dyDescent="0.25">
      <c r="A42" s="41" t="s">
        <v>253</v>
      </c>
      <c r="B42" s="41" t="s">
        <v>162</v>
      </c>
      <c r="C42" s="42" t="s">
        <v>254</v>
      </c>
      <c r="D42" s="46">
        <v>27500</v>
      </c>
      <c r="E42" s="46">
        <f t="shared" si="18"/>
        <v>275</v>
      </c>
      <c r="F42" s="46">
        <v>0</v>
      </c>
      <c r="G42" s="46">
        <f t="shared" si="16"/>
        <v>27225</v>
      </c>
      <c r="H42" s="46">
        <v>27225</v>
      </c>
      <c r="I42" s="46">
        <f t="shared" si="17"/>
        <v>0</v>
      </c>
      <c r="J42" s="39"/>
      <c r="K42" s="39"/>
      <c r="L42" s="39"/>
      <c r="M42" s="39"/>
    </row>
    <row r="43" spans="1:13" ht="14.25" customHeight="1" x14ac:dyDescent="0.25">
      <c r="A43" s="41" t="s">
        <v>270</v>
      </c>
      <c r="B43" s="41" t="s">
        <v>53</v>
      </c>
      <c r="C43" s="42" t="s">
        <v>271</v>
      </c>
      <c r="D43" s="46">
        <v>42000</v>
      </c>
      <c r="E43" s="46">
        <f t="shared" si="18"/>
        <v>420</v>
      </c>
      <c r="F43" s="46">
        <v>0</v>
      </c>
      <c r="G43" s="46">
        <f t="shared" si="16"/>
        <v>41580</v>
      </c>
      <c r="H43" s="46">
        <v>41580</v>
      </c>
      <c r="I43" s="46">
        <f t="shared" si="17"/>
        <v>0</v>
      </c>
      <c r="J43" s="39"/>
      <c r="K43" s="39"/>
      <c r="L43" s="39"/>
      <c r="M43" s="39"/>
    </row>
    <row r="44" spans="1:13" ht="14.25" customHeight="1" x14ac:dyDescent="0.25">
      <c r="A44" s="41" t="s">
        <v>272</v>
      </c>
      <c r="B44" s="41" t="s">
        <v>23</v>
      </c>
      <c r="C44" s="42" t="s">
        <v>273</v>
      </c>
      <c r="D44" s="46">
        <v>42000</v>
      </c>
      <c r="E44" s="46">
        <f t="shared" si="18"/>
        <v>420</v>
      </c>
      <c r="F44" s="46">
        <v>0</v>
      </c>
      <c r="G44" s="46">
        <f t="shared" si="16"/>
        <v>41580</v>
      </c>
      <c r="H44" s="46">
        <v>41580</v>
      </c>
      <c r="I44" s="46">
        <f t="shared" si="17"/>
        <v>0</v>
      </c>
      <c r="J44" s="39"/>
      <c r="K44" s="39"/>
      <c r="L44" s="39"/>
      <c r="M44" s="39"/>
    </row>
    <row r="45" spans="1:13" ht="14.25" customHeight="1" x14ac:dyDescent="0.25">
      <c r="A45" s="41" t="s">
        <v>274</v>
      </c>
      <c r="B45" s="41" t="s">
        <v>35</v>
      </c>
      <c r="C45" s="42" t="s">
        <v>275</v>
      </c>
      <c r="D45" s="46">
        <v>15000</v>
      </c>
      <c r="E45" s="46">
        <f t="shared" si="18"/>
        <v>150</v>
      </c>
      <c r="F45" s="46">
        <v>0</v>
      </c>
      <c r="G45" s="46">
        <f t="shared" si="16"/>
        <v>14850</v>
      </c>
      <c r="H45" s="46">
        <v>14850</v>
      </c>
      <c r="I45" s="46">
        <f t="shared" si="17"/>
        <v>0</v>
      </c>
      <c r="J45" s="39"/>
      <c r="K45" s="39"/>
      <c r="L45" s="39"/>
      <c r="M45" s="39"/>
    </row>
    <row r="46" spans="1:13" ht="14.25" customHeight="1" x14ac:dyDescent="0.25">
      <c r="A46" s="40"/>
      <c r="B46" s="40"/>
      <c r="C46" s="48"/>
      <c r="D46" s="49">
        <f t="shared" ref="D46:I46" si="19">SUM(D38:D45)</f>
        <v>280500</v>
      </c>
      <c r="E46" s="49">
        <f t="shared" si="19"/>
        <v>2805</v>
      </c>
      <c r="F46" s="49">
        <f t="shared" si="19"/>
        <v>0</v>
      </c>
      <c r="G46" s="49">
        <f t="shared" si="19"/>
        <v>277695</v>
      </c>
      <c r="H46" s="49">
        <f t="shared" si="19"/>
        <v>277695</v>
      </c>
      <c r="I46" s="49">
        <f t="shared" si="19"/>
        <v>0</v>
      </c>
      <c r="J46" s="39"/>
      <c r="K46" s="39"/>
      <c r="L46" s="39"/>
      <c r="M46" s="39"/>
    </row>
    <row r="47" spans="1:13" ht="14.25" customHeight="1" x14ac:dyDescent="0.25">
      <c r="A47" s="39"/>
      <c r="B47" s="39"/>
      <c r="C47" s="54"/>
      <c r="D47" s="39"/>
      <c r="E47" s="39"/>
      <c r="F47" s="39"/>
      <c r="G47" s="46"/>
      <c r="H47" s="39"/>
      <c r="I47" s="46"/>
      <c r="J47" s="39"/>
      <c r="K47" s="39"/>
      <c r="L47" s="39"/>
      <c r="M47" s="39"/>
    </row>
    <row r="48" spans="1:13" ht="14.25" customHeight="1" x14ac:dyDescent="0.25">
      <c r="A48" s="40" t="s">
        <v>97</v>
      </c>
      <c r="B48" s="41"/>
      <c r="C48" s="42"/>
      <c r="D48" s="41"/>
      <c r="E48" s="41"/>
      <c r="F48" s="41"/>
      <c r="G48" s="46">
        <f t="shared" ref="G48:G56" si="20">SUM(D48,F48)-E48</f>
        <v>0</v>
      </c>
      <c r="H48" s="41"/>
      <c r="I48" s="46">
        <f t="shared" ref="I48:I56" si="21">G48-H48</f>
        <v>0</v>
      </c>
      <c r="J48" s="39"/>
      <c r="K48" s="39"/>
      <c r="L48" s="39"/>
      <c r="M48" s="39"/>
    </row>
    <row r="49" spans="1:13" ht="14.25" customHeight="1" x14ac:dyDescent="0.25">
      <c r="A49" s="41" t="s">
        <v>268</v>
      </c>
      <c r="B49" s="41" t="s">
        <v>162</v>
      </c>
      <c r="C49" s="42" t="s">
        <v>269</v>
      </c>
      <c r="D49" s="46">
        <v>50000</v>
      </c>
      <c r="E49" s="46">
        <f t="shared" ref="E49:E56" si="22">D49*0.01</f>
        <v>500</v>
      </c>
      <c r="F49" s="46">
        <v>0</v>
      </c>
      <c r="G49" s="46">
        <f t="shared" si="20"/>
        <v>49500</v>
      </c>
      <c r="H49" s="46">
        <v>49500</v>
      </c>
      <c r="I49" s="46">
        <f t="shared" si="21"/>
        <v>0</v>
      </c>
      <c r="J49" s="39"/>
      <c r="K49" s="39"/>
      <c r="L49" s="39"/>
      <c r="M49" s="39"/>
    </row>
    <row r="50" spans="1:13" ht="14.25" customHeight="1" x14ac:dyDescent="0.25">
      <c r="A50" s="41" t="s">
        <v>239</v>
      </c>
      <c r="B50" s="41" t="s">
        <v>23</v>
      </c>
      <c r="C50" s="42" t="s">
        <v>189</v>
      </c>
      <c r="D50" s="46">
        <v>42000</v>
      </c>
      <c r="E50" s="46">
        <f t="shared" si="22"/>
        <v>420</v>
      </c>
      <c r="F50" s="46">
        <v>0</v>
      </c>
      <c r="G50" s="46">
        <f t="shared" si="20"/>
        <v>41580</v>
      </c>
      <c r="H50" s="46">
        <v>41580</v>
      </c>
      <c r="I50" s="46">
        <f t="shared" si="21"/>
        <v>0</v>
      </c>
      <c r="J50" s="39"/>
      <c r="K50" s="39"/>
      <c r="L50" s="39"/>
      <c r="M50" s="39"/>
    </row>
    <row r="51" spans="1:13" ht="14.25" customHeight="1" x14ac:dyDescent="0.25">
      <c r="A51" s="41" t="s">
        <v>240</v>
      </c>
      <c r="B51" s="41" t="s">
        <v>35</v>
      </c>
      <c r="C51" s="42" t="s">
        <v>177</v>
      </c>
      <c r="D51" s="46">
        <v>42000</v>
      </c>
      <c r="E51" s="46">
        <f t="shared" si="22"/>
        <v>420</v>
      </c>
      <c r="F51" s="46">
        <v>0</v>
      </c>
      <c r="G51" s="46">
        <f t="shared" si="20"/>
        <v>41580</v>
      </c>
      <c r="H51" s="46">
        <v>41580</v>
      </c>
      <c r="I51" s="46">
        <f t="shared" si="21"/>
        <v>0</v>
      </c>
      <c r="J51" s="39"/>
      <c r="K51" s="39"/>
      <c r="L51" s="39"/>
      <c r="M51" s="39"/>
    </row>
    <row r="52" spans="1:13" ht="14.25" customHeight="1" x14ac:dyDescent="0.25">
      <c r="A52" s="41" t="s">
        <v>249</v>
      </c>
      <c r="B52" s="41" t="s">
        <v>162</v>
      </c>
      <c r="C52" s="42" t="s">
        <v>262</v>
      </c>
      <c r="D52" s="46">
        <v>20000</v>
      </c>
      <c r="E52" s="46">
        <f t="shared" si="22"/>
        <v>200</v>
      </c>
      <c r="F52" s="46">
        <v>0</v>
      </c>
      <c r="G52" s="46">
        <f t="shared" si="20"/>
        <v>19800</v>
      </c>
      <c r="H52" s="46">
        <v>19800</v>
      </c>
      <c r="I52" s="46">
        <f t="shared" si="21"/>
        <v>0</v>
      </c>
      <c r="J52" s="39"/>
      <c r="K52" s="39"/>
      <c r="L52" s="39"/>
      <c r="M52" s="39"/>
    </row>
    <row r="53" spans="1:13" ht="14.25" customHeight="1" x14ac:dyDescent="0.25">
      <c r="A53" s="41" t="s">
        <v>253</v>
      </c>
      <c r="B53" s="41" t="s">
        <v>162</v>
      </c>
      <c r="C53" s="42" t="s">
        <v>254</v>
      </c>
      <c r="D53" s="46">
        <v>30000</v>
      </c>
      <c r="E53" s="46">
        <f t="shared" si="22"/>
        <v>300</v>
      </c>
      <c r="F53" s="46">
        <v>0</v>
      </c>
      <c r="G53" s="46">
        <f t="shared" si="20"/>
        <v>29700</v>
      </c>
      <c r="H53" s="46">
        <v>29700</v>
      </c>
      <c r="I53" s="46">
        <f t="shared" si="21"/>
        <v>0</v>
      </c>
      <c r="J53" s="39"/>
      <c r="K53" s="39"/>
      <c r="L53" s="39"/>
      <c r="M53" s="39"/>
    </row>
    <row r="54" spans="1:13" ht="14.25" customHeight="1" x14ac:dyDescent="0.25">
      <c r="A54" s="41" t="s">
        <v>270</v>
      </c>
      <c r="B54" s="41" t="s">
        <v>53</v>
      </c>
      <c r="C54" s="42" t="s">
        <v>271</v>
      </c>
      <c r="D54" s="46">
        <v>42000</v>
      </c>
      <c r="E54" s="46">
        <f t="shared" si="22"/>
        <v>420</v>
      </c>
      <c r="F54" s="46">
        <v>0</v>
      </c>
      <c r="G54" s="46">
        <f t="shared" si="20"/>
        <v>41580</v>
      </c>
      <c r="H54" s="46">
        <v>41580</v>
      </c>
      <c r="I54" s="46">
        <f t="shared" si="21"/>
        <v>0</v>
      </c>
      <c r="J54" s="39"/>
      <c r="K54" s="39"/>
      <c r="L54" s="39"/>
      <c r="M54" s="39"/>
    </row>
    <row r="55" spans="1:13" ht="14.25" customHeight="1" x14ac:dyDescent="0.25">
      <c r="A55" s="41" t="s">
        <v>272</v>
      </c>
      <c r="B55" s="41" t="s">
        <v>23</v>
      </c>
      <c r="C55" s="42" t="s">
        <v>273</v>
      </c>
      <c r="D55" s="46">
        <v>42000</v>
      </c>
      <c r="E55" s="46">
        <f t="shared" si="22"/>
        <v>420</v>
      </c>
      <c r="F55" s="46">
        <v>0</v>
      </c>
      <c r="G55" s="46">
        <f t="shared" si="20"/>
        <v>41580</v>
      </c>
      <c r="H55" s="46">
        <v>41580</v>
      </c>
      <c r="I55" s="46">
        <f t="shared" si="21"/>
        <v>0</v>
      </c>
      <c r="J55" s="39"/>
      <c r="K55" s="39"/>
      <c r="L55" s="39"/>
      <c r="M55" s="39"/>
    </row>
    <row r="56" spans="1:13" ht="14.25" customHeight="1" x14ac:dyDescent="0.25">
      <c r="A56" s="41" t="s">
        <v>274</v>
      </c>
      <c r="B56" s="41" t="s">
        <v>35</v>
      </c>
      <c r="C56" s="42" t="s">
        <v>275</v>
      </c>
      <c r="D56" s="46">
        <v>15000</v>
      </c>
      <c r="E56" s="46">
        <f t="shared" si="22"/>
        <v>150</v>
      </c>
      <c r="F56" s="46">
        <v>0</v>
      </c>
      <c r="G56" s="46">
        <f t="shared" si="20"/>
        <v>14850</v>
      </c>
      <c r="H56" s="46">
        <v>14850</v>
      </c>
      <c r="I56" s="46">
        <f t="shared" si="21"/>
        <v>0</v>
      </c>
      <c r="J56" s="39"/>
      <c r="K56" s="39"/>
      <c r="L56" s="39"/>
      <c r="M56" s="39"/>
    </row>
    <row r="57" spans="1:13" ht="14.25" customHeight="1" x14ac:dyDescent="0.25">
      <c r="A57" s="40"/>
      <c r="B57" s="40"/>
      <c r="C57" s="48"/>
      <c r="D57" s="49">
        <f t="shared" ref="D57:I57" si="23">SUM(D49:D56)</f>
        <v>283000</v>
      </c>
      <c r="E57" s="49">
        <f t="shared" si="23"/>
        <v>2830</v>
      </c>
      <c r="F57" s="49">
        <f t="shared" si="23"/>
        <v>0</v>
      </c>
      <c r="G57" s="49">
        <f t="shared" si="23"/>
        <v>280170</v>
      </c>
      <c r="H57" s="49">
        <f t="shared" si="23"/>
        <v>280170</v>
      </c>
      <c r="I57" s="49">
        <f t="shared" si="23"/>
        <v>0</v>
      </c>
      <c r="J57" s="39"/>
      <c r="K57" s="39"/>
      <c r="L57" s="39"/>
      <c r="M57" s="39"/>
    </row>
    <row r="58" spans="1:13" ht="14.25" customHeight="1" x14ac:dyDescent="0.25">
      <c r="A58" s="39"/>
      <c r="B58" s="39"/>
      <c r="C58" s="54"/>
      <c r="D58" s="39"/>
      <c r="E58" s="39"/>
      <c r="F58" s="39"/>
      <c r="G58" s="46"/>
      <c r="H58" s="39"/>
      <c r="I58" s="46"/>
      <c r="J58" s="39"/>
      <c r="K58" s="39"/>
      <c r="L58" s="39"/>
      <c r="M58" s="39"/>
    </row>
    <row r="59" spans="1:13" ht="14.25" customHeight="1" x14ac:dyDescent="0.25">
      <c r="A59" s="40" t="s">
        <v>101</v>
      </c>
      <c r="B59" s="41"/>
      <c r="C59" s="42"/>
      <c r="D59" s="41"/>
      <c r="E59" s="41"/>
      <c r="F59" s="41"/>
      <c r="G59" s="46">
        <f t="shared" ref="G59:G67" si="24">SUM(D59,F59)-E59</f>
        <v>0</v>
      </c>
      <c r="H59" s="41"/>
      <c r="I59" s="46">
        <f t="shared" ref="I59:I67" si="25">G59-H59</f>
        <v>0</v>
      </c>
      <c r="J59" s="39"/>
      <c r="K59" s="39"/>
      <c r="L59" s="39"/>
      <c r="M59" s="39"/>
    </row>
    <row r="60" spans="1:13" ht="14.25" customHeight="1" x14ac:dyDescent="0.25">
      <c r="A60" s="41" t="s">
        <v>268</v>
      </c>
      <c r="B60" s="41" t="s">
        <v>162</v>
      </c>
      <c r="C60" s="42" t="s">
        <v>269</v>
      </c>
      <c r="D60" s="46">
        <v>50000</v>
      </c>
      <c r="E60" s="46">
        <f t="shared" ref="E60:E67" si="26">D60*0.01</f>
        <v>500</v>
      </c>
      <c r="F60" s="46">
        <v>0</v>
      </c>
      <c r="G60" s="46">
        <f t="shared" si="24"/>
        <v>49500</v>
      </c>
      <c r="H60" s="46">
        <v>49500</v>
      </c>
      <c r="I60" s="46">
        <f t="shared" si="25"/>
        <v>0</v>
      </c>
      <c r="J60" s="39"/>
      <c r="K60" s="39"/>
      <c r="L60" s="39"/>
      <c r="M60" s="39"/>
    </row>
    <row r="61" spans="1:13" ht="14.25" customHeight="1" x14ac:dyDescent="0.25">
      <c r="A61" s="41" t="s">
        <v>239</v>
      </c>
      <c r="B61" s="41" t="s">
        <v>23</v>
      </c>
      <c r="C61" s="42" t="s">
        <v>189</v>
      </c>
      <c r="D61" s="46">
        <v>42000</v>
      </c>
      <c r="E61" s="46">
        <f t="shared" si="26"/>
        <v>420</v>
      </c>
      <c r="F61" s="46">
        <v>0</v>
      </c>
      <c r="G61" s="46">
        <f t="shared" si="24"/>
        <v>41580</v>
      </c>
      <c r="H61" s="46">
        <v>41580</v>
      </c>
      <c r="I61" s="46">
        <f t="shared" si="25"/>
        <v>0</v>
      </c>
      <c r="J61" s="39"/>
      <c r="K61" s="39"/>
      <c r="L61" s="39"/>
      <c r="M61" s="39"/>
    </row>
    <row r="62" spans="1:13" ht="14.25" customHeight="1" x14ac:dyDescent="0.25">
      <c r="A62" s="41" t="s">
        <v>240</v>
      </c>
      <c r="B62" s="41" t="s">
        <v>35</v>
      </c>
      <c r="C62" s="42" t="s">
        <v>177</v>
      </c>
      <c r="D62" s="46">
        <v>42000</v>
      </c>
      <c r="E62" s="46">
        <f t="shared" si="26"/>
        <v>420</v>
      </c>
      <c r="F62" s="46">
        <v>0</v>
      </c>
      <c r="G62" s="46">
        <f t="shared" si="24"/>
        <v>41580</v>
      </c>
      <c r="H62" s="46">
        <v>41580</v>
      </c>
      <c r="I62" s="46">
        <f t="shared" si="25"/>
        <v>0</v>
      </c>
      <c r="J62" s="39"/>
      <c r="K62" s="39"/>
      <c r="L62" s="39"/>
      <c r="M62" s="39"/>
    </row>
    <row r="63" spans="1:13" ht="14.25" customHeight="1" x14ac:dyDescent="0.25">
      <c r="A63" s="41" t="s">
        <v>249</v>
      </c>
      <c r="B63" s="41" t="s">
        <v>162</v>
      </c>
      <c r="C63" s="42" t="s">
        <v>262</v>
      </c>
      <c r="D63" s="46">
        <v>20000</v>
      </c>
      <c r="E63" s="46">
        <f t="shared" si="26"/>
        <v>200</v>
      </c>
      <c r="F63" s="46">
        <v>0</v>
      </c>
      <c r="G63" s="46">
        <f t="shared" si="24"/>
        <v>19800</v>
      </c>
      <c r="H63" s="46">
        <v>19800</v>
      </c>
      <c r="I63" s="46">
        <f t="shared" si="25"/>
        <v>0</v>
      </c>
      <c r="J63" s="39"/>
      <c r="K63" s="39"/>
      <c r="L63" s="39"/>
      <c r="M63" s="39"/>
    </row>
    <row r="64" spans="1:13" ht="14.25" customHeight="1" x14ac:dyDescent="0.25">
      <c r="A64" s="41" t="s">
        <v>253</v>
      </c>
      <c r="B64" s="41" t="s">
        <v>162</v>
      </c>
      <c r="C64" s="42" t="s">
        <v>254</v>
      </c>
      <c r="D64" s="46">
        <v>30000</v>
      </c>
      <c r="E64" s="46">
        <f t="shared" si="26"/>
        <v>300</v>
      </c>
      <c r="F64" s="46">
        <v>0</v>
      </c>
      <c r="G64" s="46">
        <f t="shared" si="24"/>
        <v>29700</v>
      </c>
      <c r="H64" s="46">
        <v>29700</v>
      </c>
      <c r="I64" s="46">
        <f t="shared" si="25"/>
        <v>0</v>
      </c>
      <c r="J64" s="39"/>
      <c r="K64" s="39"/>
      <c r="L64" s="39"/>
      <c r="M64" s="39"/>
    </row>
    <row r="65" spans="1:13" ht="14.25" customHeight="1" x14ac:dyDescent="0.25">
      <c r="A65" s="41" t="s">
        <v>270</v>
      </c>
      <c r="B65" s="41" t="s">
        <v>53</v>
      </c>
      <c r="C65" s="42" t="s">
        <v>271</v>
      </c>
      <c r="D65" s="46">
        <v>42000</v>
      </c>
      <c r="E65" s="46">
        <f t="shared" si="26"/>
        <v>420</v>
      </c>
      <c r="F65" s="46">
        <v>0</v>
      </c>
      <c r="G65" s="46">
        <f t="shared" si="24"/>
        <v>41580</v>
      </c>
      <c r="H65" s="46">
        <v>41580</v>
      </c>
      <c r="I65" s="46">
        <f t="shared" si="25"/>
        <v>0</v>
      </c>
      <c r="J65" s="39"/>
      <c r="K65" s="39"/>
      <c r="L65" s="39"/>
      <c r="M65" s="39"/>
    </row>
    <row r="66" spans="1:13" ht="14.25" customHeight="1" x14ac:dyDescent="0.25">
      <c r="A66" s="41" t="s">
        <v>272</v>
      </c>
      <c r="B66" s="41" t="s">
        <v>23</v>
      </c>
      <c r="C66" s="42" t="s">
        <v>273</v>
      </c>
      <c r="D66" s="46">
        <v>42000</v>
      </c>
      <c r="E66" s="46">
        <f t="shared" si="26"/>
        <v>420</v>
      </c>
      <c r="F66" s="46">
        <v>0</v>
      </c>
      <c r="G66" s="46">
        <f t="shared" si="24"/>
        <v>41580</v>
      </c>
      <c r="H66" s="46">
        <v>41580</v>
      </c>
      <c r="I66" s="46">
        <f t="shared" si="25"/>
        <v>0</v>
      </c>
      <c r="J66" s="39"/>
      <c r="K66" s="39"/>
      <c r="L66" s="39"/>
      <c r="M66" s="39"/>
    </row>
    <row r="67" spans="1:13" ht="14.25" customHeight="1" x14ac:dyDescent="0.25">
      <c r="A67" s="41" t="s">
        <v>276</v>
      </c>
      <c r="B67" s="41" t="s">
        <v>35</v>
      </c>
      <c r="C67" s="42" t="s">
        <v>275</v>
      </c>
      <c r="D67" s="46">
        <v>15000</v>
      </c>
      <c r="E67" s="46">
        <f t="shared" si="26"/>
        <v>150</v>
      </c>
      <c r="F67" s="46">
        <v>0</v>
      </c>
      <c r="G67" s="46">
        <f t="shared" si="24"/>
        <v>14850</v>
      </c>
      <c r="H67" s="46">
        <v>14850</v>
      </c>
      <c r="I67" s="46">
        <f t="shared" si="25"/>
        <v>0</v>
      </c>
      <c r="J67" s="39"/>
      <c r="K67" s="39"/>
      <c r="L67" s="39"/>
      <c r="M67" s="39"/>
    </row>
    <row r="68" spans="1:13" ht="14.25" customHeight="1" x14ac:dyDescent="0.25">
      <c r="A68" s="40"/>
      <c r="B68" s="40"/>
      <c r="C68" s="48"/>
      <c r="D68" s="49">
        <f t="shared" ref="D68:I68" si="27">SUM(D60:D67)</f>
        <v>283000</v>
      </c>
      <c r="E68" s="49">
        <f t="shared" si="27"/>
        <v>2830</v>
      </c>
      <c r="F68" s="49">
        <f t="shared" si="27"/>
        <v>0</v>
      </c>
      <c r="G68" s="49">
        <f t="shared" si="27"/>
        <v>280170</v>
      </c>
      <c r="H68" s="49">
        <f t="shared" si="27"/>
        <v>280170</v>
      </c>
      <c r="I68" s="49">
        <f t="shared" si="27"/>
        <v>0</v>
      </c>
      <c r="J68" s="39"/>
      <c r="K68" s="39"/>
      <c r="L68" s="39"/>
      <c r="M68" s="39"/>
    </row>
    <row r="69" spans="1:13" ht="14.25" customHeight="1" x14ac:dyDescent="0.25">
      <c r="A69" s="39"/>
      <c r="B69" s="39"/>
      <c r="C69" s="54"/>
      <c r="D69" s="39"/>
      <c r="E69" s="39"/>
      <c r="F69" s="39"/>
      <c r="G69" s="46"/>
      <c r="H69" s="39"/>
      <c r="I69" s="46"/>
      <c r="J69" s="39"/>
      <c r="K69" s="39"/>
      <c r="L69" s="39"/>
      <c r="M69" s="39"/>
    </row>
    <row r="70" spans="1:13" ht="14.25" customHeight="1" x14ac:dyDescent="0.25">
      <c r="A70" s="40" t="s">
        <v>104</v>
      </c>
      <c r="B70" s="41"/>
      <c r="C70" s="42"/>
      <c r="D70" s="41"/>
      <c r="E70" s="41"/>
      <c r="F70" s="41"/>
      <c r="G70" s="46">
        <f t="shared" ref="G70:G73" si="28">SUM(D70,F70)-E70</f>
        <v>0</v>
      </c>
      <c r="H70" s="41"/>
      <c r="I70" s="46">
        <f t="shared" ref="I70:I73" si="29">G70-H70</f>
        <v>0</v>
      </c>
      <c r="J70" s="39"/>
      <c r="K70" s="39"/>
      <c r="L70" s="39"/>
      <c r="M70" s="39"/>
    </row>
    <row r="71" spans="1:13" ht="14.25" customHeight="1" x14ac:dyDescent="0.25">
      <c r="A71" s="41" t="s">
        <v>240</v>
      </c>
      <c r="B71" s="41" t="s">
        <v>35</v>
      </c>
      <c r="C71" s="42" t="s">
        <v>177</v>
      </c>
      <c r="D71" s="46">
        <v>42000</v>
      </c>
      <c r="E71" s="46">
        <f t="shared" ref="E71:E73" si="30">D71*0.01</f>
        <v>420</v>
      </c>
      <c r="F71" s="46">
        <v>0</v>
      </c>
      <c r="G71" s="46">
        <f t="shared" si="28"/>
        <v>41580</v>
      </c>
      <c r="H71" s="46">
        <v>41580</v>
      </c>
      <c r="I71" s="46">
        <f t="shared" si="29"/>
        <v>0</v>
      </c>
      <c r="J71" s="39"/>
      <c r="K71" s="39"/>
      <c r="L71" s="39"/>
      <c r="M71" s="39"/>
    </row>
    <row r="72" spans="1:13" ht="14.25" customHeight="1" x14ac:dyDescent="0.25">
      <c r="A72" s="41" t="s">
        <v>270</v>
      </c>
      <c r="B72" s="41" t="s">
        <v>53</v>
      </c>
      <c r="C72" s="42" t="s">
        <v>271</v>
      </c>
      <c r="D72" s="46">
        <v>42000</v>
      </c>
      <c r="E72" s="46">
        <f t="shared" si="30"/>
        <v>420</v>
      </c>
      <c r="F72" s="46">
        <v>0</v>
      </c>
      <c r="G72" s="46">
        <f t="shared" si="28"/>
        <v>41580</v>
      </c>
      <c r="H72" s="46">
        <v>41580</v>
      </c>
      <c r="I72" s="46">
        <f t="shared" si="29"/>
        <v>0</v>
      </c>
      <c r="J72" s="39"/>
      <c r="K72" s="39"/>
      <c r="L72" s="39"/>
      <c r="M72" s="39"/>
    </row>
    <row r="73" spans="1:13" ht="14.25" customHeight="1" x14ac:dyDescent="0.25">
      <c r="A73" s="41" t="s">
        <v>272</v>
      </c>
      <c r="B73" s="41" t="s">
        <v>23</v>
      </c>
      <c r="C73" s="42" t="s">
        <v>273</v>
      </c>
      <c r="D73" s="46">
        <v>42000</v>
      </c>
      <c r="E73" s="46">
        <f t="shared" si="30"/>
        <v>420</v>
      </c>
      <c r="F73" s="46">
        <v>0</v>
      </c>
      <c r="G73" s="46">
        <f t="shared" si="28"/>
        <v>41580</v>
      </c>
      <c r="H73" s="46">
        <v>41580</v>
      </c>
      <c r="I73" s="46">
        <f t="shared" si="29"/>
        <v>0</v>
      </c>
      <c r="J73" s="39"/>
      <c r="K73" s="39"/>
      <c r="L73" s="39"/>
      <c r="M73" s="39"/>
    </row>
    <row r="74" spans="1:13" ht="14.25" customHeight="1" x14ac:dyDescent="0.25">
      <c r="A74" s="40"/>
      <c r="B74" s="40"/>
      <c r="C74" s="48"/>
      <c r="D74" s="49">
        <f t="shared" ref="D74:I74" si="31">SUM(D71:D73)</f>
        <v>126000</v>
      </c>
      <c r="E74" s="49">
        <f t="shared" si="31"/>
        <v>1260</v>
      </c>
      <c r="F74" s="49">
        <f t="shared" si="31"/>
        <v>0</v>
      </c>
      <c r="G74" s="49">
        <f t="shared" si="31"/>
        <v>124740</v>
      </c>
      <c r="H74" s="49">
        <f t="shared" si="31"/>
        <v>124740</v>
      </c>
      <c r="I74" s="49">
        <f t="shared" si="31"/>
        <v>0</v>
      </c>
      <c r="J74" s="39"/>
      <c r="K74" s="39"/>
      <c r="L74" s="39"/>
      <c r="M74" s="39"/>
    </row>
    <row r="75" spans="1:13" ht="14.25" customHeight="1" x14ac:dyDescent="0.25">
      <c r="A75" s="39"/>
      <c r="B75" s="39"/>
      <c r="C75" s="54"/>
      <c r="D75" s="39"/>
      <c r="E75" s="39"/>
      <c r="F75" s="39"/>
      <c r="G75" s="46"/>
      <c r="H75" s="39"/>
      <c r="I75" s="46"/>
      <c r="J75" s="39"/>
      <c r="K75" s="39"/>
      <c r="L75" s="39"/>
      <c r="M75" s="39"/>
    </row>
    <row r="76" spans="1:13" ht="14.25" customHeight="1" x14ac:dyDescent="0.25">
      <c r="A76" s="40" t="s">
        <v>105</v>
      </c>
      <c r="B76" s="41"/>
      <c r="C76" s="42"/>
      <c r="D76" s="41"/>
      <c r="E76" s="41"/>
      <c r="F76" s="41"/>
      <c r="G76" s="46">
        <f t="shared" ref="G76:G85" si="32">SUM(D76,F76)-E76</f>
        <v>0</v>
      </c>
      <c r="H76" s="41"/>
      <c r="I76" s="46">
        <f t="shared" ref="I76:I85" si="33">G76-H76</f>
        <v>0</v>
      </c>
      <c r="J76" s="39"/>
      <c r="K76" s="39"/>
      <c r="L76" s="39"/>
      <c r="M76" s="39"/>
    </row>
    <row r="77" spans="1:13" ht="14.25" customHeight="1" x14ac:dyDescent="0.25">
      <c r="A77" s="41" t="s">
        <v>268</v>
      </c>
      <c r="B77" s="41" t="s">
        <v>162</v>
      </c>
      <c r="C77" s="42" t="s">
        <v>269</v>
      </c>
      <c r="D77" s="46">
        <v>25000</v>
      </c>
      <c r="E77" s="46">
        <f t="shared" ref="E77:E85" si="34">D77*0.01</f>
        <v>250</v>
      </c>
      <c r="F77" s="46">
        <v>0</v>
      </c>
      <c r="G77" s="46">
        <f t="shared" si="32"/>
        <v>24750</v>
      </c>
      <c r="H77" s="46">
        <v>24750</v>
      </c>
      <c r="I77" s="46">
        <f t="shared" si="33"/>
        <v>0</v>
      </c>
    </row>
    <row r="78" spans="1:13" ht="14.25" customHeight="1" x14ac:dyDescent="0.25">
      <c r="A78" s="41" t="s">
        <v>239</v>
      </c>
      <c r="B78" s="41" t="s">
        <v>23</v>
      </c>
      <c r="C78" s="42" t="s">
        <v>189</v>
      </c>
      <c r="D78" s="46">
        <v>22500</v>
      </c>
      <c r="E78" s="46">
        <f t="shared" si="34"/>
        <v>225</v>
      </c>
      <c r="F78" s="46">
        <v>0</v>
      </c>
      <c r="G78" s="46">
        <f t="shared" si="32"/>
        <v>22275</v>
      </c>
      <c r="H78" s="46">
        <v>22275</v>
      </c>
      <c r="I78" s="46">
        <f t="shared" si="33"/>
        <v>0</v>
      </c>
    </row>
    <row r="79" spans="1:13" ht="14.25" customHeight="1" x14ac:dyDescent="0.25">
      <c r="A79" s="41" t="s">
        <v>240</v>
      </c>
      <c r="B79" s="41" t="s">
        <v>277</v>
      </c>
      <c r="C79" s="42" t="s">
        <v>278</v>
      </c>
      <c r="D79" s="46">
        <v>33000</v>
      </c>
      <c r="E79" s="46">
        <f t="shared" si="34"/>
        <v>330</v>
      </c>
      <c r="F79" s="46">
        <v>0</v>
      </c>
      <c r="G79" s="46">
        <f t="shared" si="32"/>
        <v>32670</v>
      </c>
      <c r="H79" s="46">
        <v>32670</v>
      </c>
      <c r="I79" s="46">
        <f t="shared" si="33"/>
        <v>0</v>
      </c>
    </row>
    <row r="80" spans="1:13" ht="14.25" customHeight="1" x14ac:dyDescent="0.25">
      <c r="A80" s="41" t="s">
        <v>270</v>
      </c>
      <c r="B80" s="41" t="s">
        <v>162</v>
      </c>
      <c r="C80" s="42" t="s">
        <v>279</v>
      </c>
      <c r="D80" s="46">
        <v>33000</v>
      </c>
      <c r="E80" s="46">
        <f t="shared" si="34"/>
        <v>330</v>
      </c>
      <c r="F80" s="46">
        <v>0</v>
      </c>
      <c r="G80" s="46">
        <f t="shared" si="32"/>
        <v>32670</v>
      </c>
      <c r="H80" s="46">
        <v>32670</v>
      </c>
      <c r="I80" s="46">
        <f t="shared" si="33"/>
        <v>0</v>
      </c>
    </row>
    <row r="81" spans="1:27" ht="14.25" customHeight="1" x14ac:dyDescent="0.25">
      <c r="A81" s="41" t="s">
        <v>272</v>
      </c>
      <c r="B81" s="41" t="s">
        <v>23</v>
      </c>
      <c r="C81" s="42" t="s">
        <v>273</v>
      </c>
      <c r="D81" s="46">
        <v>33000</v>
      </c>
      <c r="E81" s="46">
        <f t="shared" si="34"/>
        <v>330</v>
      </c>
      <c r="F81" s="46">
        <v>0</v>
      </c>
      <c r="G81" s="46">
        <f t="shared" si="32"/>
        <v>32670</v>
      </c>
      <c r="H81" s="46">
        <v>32670</v>
      </c>
      <c r="I81" s="46">
        <f t="shared" si="33"/>
        <v>0</v>
      </c>
    </row>
    <row r="82" spans="1:27" ht="14.25" customHeight="1" x14ac:dyDescent="0.25">
      <c r="A82" s="41" t="s">
        <v>280</v>
      </c>
      <c r="B82" s="41" t="s">
        <v>162</v>
      </c>
      <c r="C82" s="42" t="s">
        <v>281</v>
      </c>
      <c r="D82" s="46">
        <v>16500</v>
      </c>
      <c r="E82" s="46">
        <f t="shared" si="34"/>
        <v>165</v>
      </c>
      <c r="F82" s="46">
        <v>0</v>
      </c>
      <c r="G82" s="46">
        <f t="shared" si="32"/>
        <v>16335</v>
      </c>
      <c r="H82" s="46">
        <v>16335</v>
      </c>
      <c r="I82" s="46">
        <f t="shared" si="33"/>
        <v>0</v>
      </c>
    </row>
    <row r="83" spans="1:27" ht="14.25" customHeight="1" x14ac:dyDescent="0.25">
      <c r="A83" s="41" t="s">
        <v>282</v>
      </c>
      <c r="B83" s="41" t="s">
        <v>15</v>
      </c>
      <c r="C83" s="42" t="s">
        <v>283</v>
      </c>
      <c r="D83" s="46">
        <v>10000</v>
      </c>
      <c r="E83" s="46">
        <f t="shared" si="34"/>
        <v>100</v>
      </c>
      <c r="F83" s="46">
        <v>0</v>
      </c>
      <c r="G83" s="46">
        <f t="shared" si="32"/>
        <v>9900</v>
      </c>
      <c r="H83" s="46">
        <v>9900</v>
      </c>
      <c r="I83" s="46">
        <f t="shared" si="33"/>
        <v>0</v>
      </c>
    </row>
    <row r="84" spans="1:27" ht="14.25" customHeight="1" x14ac:dyDescent="0.25">
      <c r="A84" s="41" t="s">
        <v>284</v>
      </c>
      <c r="B84" s="41" t="s">
        <v>162</v>
      </c>
      <c r="C84" s="42" t="s">
        <v>285</v>
      </c>
      <c r="D84" s="46">
        <v>10000</v>
      </c>
      <c r="E84" s="46">
        <f t="shared" si="34"/>
        <v>100</v>
      </c>
      <c r="F84" s="46">
        <v>0</v>
      </c>
      <c r="G84" s="46">
        <f t="shared" si="32"/>
        <v>9900</v>
      </c>
      <c r="H84" s="46">
        <v>9900</v>
      </c>
      <c r="I84" s="46">
        <f t="shared" si="33"/>
        <v>0</v>
      </c>
    </row>
    <row r="85" spans="1:27" ht="14.25" customHeight="1" x14ac:dyDescent="0.25">
      <c r="A85" s="41" t="s">
        <v>286</v>
      </c>
      <c r="B85" s="41" t="s">
        <v>23</v>
      </c>
      <c r="C85" s="42" t="s">
        <v>287</v>
      </c>
      <c r="D85" s="46">
        <v>33000</v>
      </c>
      <c r="E85" s="46">
        <f t="shared" si="34"/>
        <v>330</v>
      </c>
      <c r="F85" s="46">
        <v>0</v>
      </c>
      <c r="G85" s="46">
        <f t="shared" si="32"/>
        <v>32670</v>
      </c>
      <c r="H85" s="46">
        <v>32670</v>
      </c>
      <c r="I85" s="46">
        <f t="shared" si="33"/>
        <v>0</v>
      </c>
      <c r="J85" s="62"/>
    </row>
    <row r="86" spans="1:27" ht="14.25" customHeight="1" x14ac:dyDescent="0.25">
      <c r="A86" s="40"/>
      <c r="B86" s="40"/>
      <c r="C86" s="48"/>
      <c r="D86" s="49">
        <f t="shared" ref="D86:I86" si="35">SUM(D77:D85)</f>
        <v>216000</v>
      </c>
      <c r="E86" s="49">
        <f t="shared" si="35"/>
        <v>2160</v>
      </c>
      <c r="F86" s="49">
        <f t="shared" si="35"/>
        <v>0</v>
      </c>
      <c r="G86" s="49">
        <f t="shared" si="35"/>
        <v>213840</v>
      </c>
      <c r="H86" s="49">
        <f t="shared" si="35"/>
        <v>213840</v>
      </c>
      <c r="I86" s="49">
        <f t="shared" si="35"/>
        <v>0</v>
      </c>
    </row>
    <row r="87" spans="1:27" ht="14.25" customHeight="1" x14ac:dyDescent="0.25">
      <c r="G87" s="46"/>
      <c r="I87" s="46"/>
    </row>
    <row r="88" spans="1:27" ht="14.25" customHeight="1" x14ac:dyDescent="0.25">
      <c r="A88" s="40" t="s">
        <v>122</v>
      </c>
      <c r="B88" s="41"/>
      <c r="C88" s="42"/>
      <c r="D88" s="41"/>
      <c r="E88" s="41"/>
      <c r="F88" s="41"/>
      <c r="G88" s="46">
        <f t="shared" ref="G88:G97" si="36">SUM(D88,F88)-E88</f>
        <v>0</v>
      </c>
      <c r="H88" s="41"/>
      <c r="I88" s="46">
        <f t="shared" ref="I88:I97" si="37">G88-H88</f>
        <v>0</v>
      </c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 spans="1:27" ht="14.25" customHeight="1" x14ac:dyDescent="0.25">
      <c r="A89" s="41" t="s">
        <v>268</v>
      </c>
      <c r="B89" s="41" t="s">
        <v>162</v>
      </c>
      <c r="C89" s="42" t="s">
        <v>269</v>
      </c>
      <c r="D89" s="46">
        <v>50000</v>
      </c>
      <c r="E89" s="46">
        <f t="shared" ref="E89:E97" si="38">D89*0.01</f>
        <v>500</v>
      </c>
      <c r="F89" s="46">
        <v>0</v>
      </c>
      <c r="G89" s="46">
        <f t="shared" si="36"/>
        <v>49500</v>
      </c>
      <c r="H89" s="46">
        <v>49500</v>
      </c>
      <c r="I89" s="46">
        <f t="shared" si="37"/>
        <v>0</v>
      </c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 spans="1:27" ht="14.25" customHeight="1" x14ac:dyDescent="0.25">
      <c r="A90" s="41" t="s">
        <v>239</v>
      </c>
      <c r="B90" s="41" t="s">
        <v>23</v>
      </c>
      <c r="C90" s="42" t="s">
        <v>189</v>
      </c>
      <c r="D90" s="46">
        <v>45000</v>
      </c>
      <c r="E90" s="46">
        <f t="shared" si="38"/>
        <v>450</v>
      </c>
      <c r="F90" s="46">
        <v>0</v>
      </c>
      <c r="G90" s="46">
        <f t="shared" si="36"/>
        <v>44550</v>
      </c>
      <c r="H90" s="46">
        <v>44550</v>
      </c>
      <c r="I90" s="46">
        <f t="shared" si="37"/>
        <v>0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 spans="1:27" ht="14.25" customHeight="1" x14ac:dyDescent="0.25">
      <c r="A91" s="41" t="s">
        <v>288</v>
      </c>
      <c r="B91" s="41" t="s">
        <v>277</v>
      </c>
      <c r="C91" s="42" t="s">
        <v>278</v>
      </c>
      <c r="D91" s="46">
        <v>45000</v>
      </c>
      <c r="E91" s="46">
        <f t="shared" si="38"/>
        <v>450</v>
      </c>
      <c r="F91" s="46">
        <v>0</v>
      </c>
      <c r="G91" s="46">
        <f t="shared" si="36"/>
        <v>44550</v>
      </c>
      <c r="H91" s="46">
        <v>44550</v>
      </c>
      <c r="I91" s="46">
        <f t="shared" si="37"/>
        <v>0</v>
      </c>
    </row>
    <row r="92" spans="1:27" ht="14.25" customHeight="1" x14ac:dyDescent="0.25">
      <c r="A92" s="41" t="s">
        <v>270</v>
      </c>
      <c r="B92" s="41" t="s">
        <v>162</v>
      </c>
      <c r="C92" s="42" t="s">
        <v>279</v>
      </c>
      <c r="D92" s="46">
        <v>45000</v>
      </c>
      <c r="E92" s="46">
        <f t="shared" si="38"/>
        <v>450</v>
      </c>
      <c r="F92" s="46">
        <v>0</v>
      </c>
      <c r="G92" s="46">
        <f t="shared" si="36"/>
        <v>44550</v>
      </c>
      <c r="H92" s="46">
        <v>44550</v>
      </c>
      <c r="I92" s="46">
        <f t="shared" si="37"/>
        <v>0</v>
      </c>
    </row>
    <row r="93" spans="1:27" ht="14.25" customHeight="1" x14ac:dyDescent="0.25">
      <c r="A93" s="41" t="s">
        <v>272</v>
      </c>
      <c r="B93" s="41" t="s">
        <v>23</v>
      </c>
      <c r="C93" s="42" t="s">
        <v>273</v>
      </c>
      <c r="D93" s="46">
        <v>45000</v>
      </c>
      <c r="E93" s="46">
        <f t="shared" si="38"/>
        <v>450</v>
      </c>
      <c r="F93" s="46">
        <v>0</v>
      </c>
      <c r="G93" s="46">
        <f t="shared" si="36"/>
        <v>44550</v>
      </c>
      <c r="H93" s="46">
        <v>44550</v>
      </c>
      <c r="I93" s="46">
        <f t="shared" si="37"/>
        <v>0</v>
      </c>
    </row>
    <row r="94" spans="1:27" ht="14.25" customHeight="1" x14ac:dyDescent="0.25">
      <c r="A94" s="41" t="s">
        <v>289</v>
      </c>
      <c r="B94" s="41" t="s">
        <v>162</v>
      </c>
      <c r="C94" s="42" t="s">
        <v>281</v>
      </c>
      <c r="D94" s="46">
        <v>33000</v>
      </c>
      <c r="E94" s="46">
        <f t="shared" si="38"/>
        <v>330</v>
      </c>
      <c r="F94" s="46">
        <v>0</v>
      </c>
      <c r="G94" s="46">
        <f t="shared" si="36"/>
        <v>32670</v>
      </c>
      <c r="H94" s="46">
        <v>32670</v>
      </c>
      <c r="I94" s="46">
        <f t="shared" si="37"/>
        <v>0</v>
      </c>
    </row>
    <row r="95" spans="1:27" ht="14.25" customHeight="1" x14ac:dyDescent="0.25">
      <c r="A95" s="41" t="s">
        <v>290</v>
      </c>
      <c r="B95" s="41" t="s">
        <v>162</v>
      </c>
      <c r="C95" s="42" t="s">
        <v>187</v>
      </c>
      <c r="D95" s="46">
        <v>45000</v>
      </c>
      <c r="E95" s="46">
        <f t="shared" si="38"/>
        <v>450</v>
      </c>
      <c r="F95" s="46">
        <v>0</v>
      </c>
      <c r="G95" s="46">
        <f t="shared" si="36"/>
        <v>44550</v>
      </c>
      <c r="H95" s="46">
        <v>44550</v>
      </c>
      <c r="I95" s="46">
        <f t="shared" si="37"/>
        <v>0</v>
      </c>
    </row>
    <row r="96" spans="1:27" ht="14.25" customHeight="1" x14ac:dyDescent="0.25">
      <c r="A96" s="41" t="s">
        <v>291</v>
      </c>
      <c r="B96" s="41" t="s">
        <v>15</v>
      </c>
      <c r="C96" s="42" t="s">
        <v>283</v>
      </c>
      <c r="D96" s="46">
        <v>20000</v>
      </c>
      <c r="E96" s="46">
        <f t="shared" si="38"/>
        <v>200</v>
      </c>
      <c r="F96" s="46">
        <v>0</v>
      </c>
      <c r="G96" s="46">
        <f t="shared" si="36"/>
        <v>19800</v>
      </c>
      <c r="H96" s="46">
        <v>19800</v>
      </c>
      <c r="I96" s="46">
        <f t="shared" si="37"/>
        <v>0</v>
      </c>
    </row>
    <row r="97" spans="1:9" ht="14.25" customHeight="1" x14ac:dyDescent="0.25">
      <c r="A97" s="41" t="s">
        <v>284</v>
      </c>
      <c r="B97" s="41" t="s">
        <v>162</v>
      </c>
      <c r="C97" s="42" t="s">
        <v>285</v>
      </c>
      <c r="D97" s="46">
        <v>20000</v>
      </c>
      <c r="E97" s="46">
        <f t="shared" si="38"/>
        <v>200</v>
      </c>
      <c r="F97" s="46">
        <v>0</v>
      </c>
      <c r="G97" s="46">
        <f t="shared" si="36"/>
        <v>19800</v>
      </c>
      <c r="H97" s="46">
        <v>19800</v>
      </c>
      <c r="I97" s="46">
        <f t="shared" si="37"/>
        <v>0</v>
      </c>
    </row>
    <row r="98" spans="1:9" ht="14.25" customHeight="1" x14ac:dyDescent="0.25">
      <c r="A98" s="40"/>
      <c r="B98" s="40"/>
      <c r="C98" s="48"/>
      <c r="D98" s="49">
        <f t="shared" ref="D98:I98" si="39">SUM(D89:D97)</f>
        <v>348000</v>
      </c>
      <c r="E98" s="49">
        <f t="shared" si="39"/>
        <v>3480</v>
      </c>
      <c r="F98" s="49">
        <f t="shared" si="39"/>
        <v>0</v>
      </c>
      <c r="G98" s="49">
        <f t="shared" si="39"/>
        <v>344520</v>
      </c>
      <c r="H98" s="49">
        <f t="shared" si="39"/>
        <v>344520</v>
      </c>
      <c r="I98" s="49">
        <f t="shared" si="39"/>
        <v>0</v>
      </c>
    </row>
    <row r="99" spans="1:9" ht="14.25" customHeight="1" x14ac:dyDescent="0.25">
      <c r="G99" s="46"/>
      <c r="I99" s="46"/>
    </row>
    <row r="100" spans="1:9" ht="14.25" customHeight="1" x14ac:dyDescent="0.25">
      <c r="A100" s="40" t="s">
        <v>125</v>
      </c>
      <c r="B100" s="41"/>
      <c r="C100" s="42"/>
      <c r="D100" s="41"/>
      <c r="E100" s="41"/>
      <c r="F100" s="41"/>
      <c r="G100" s="46">
        <f t="shared" ref="G100:G109" si="40">SUM(D100,F100)-E100</f>
        <v>0</v>
      </c>
      <c r="H100" s="41"/>
      <c r="I100" s="46">
        <f t="shared" ref="I100:I109" si="41">G100-H100</f>
        <v>0</v>
      </c>
    </row>
    <row r="101" spans="1:9" ht="14.25" customHeight="1" x14ac:dyDescent="0.25">
      <c r="A101" s="41" t="s">
        <v>268</v>
      </c>
      <c r="B101" s="41" t="s">
        <v>162</v>
      </c>
      <c r="C101" s="42" t="s">
        <v>269</v>
      </c>
      <c r="D101" s="46">
        <v>50000</v>
      </c>
      <c r="E101" s="46">
        <f t="shared" ref="E101:E109" si="42">D101*0.01</f>
        <v>500</v>
      </c>
      <c r="F101" s="46">
        <v>0</v>
      </c>
      <c r="G101" s="46">
        <f t="shared" si="40"/>
        <v>49500</v>
      </c>
      <c r="H101" s="46">
        <v>49500</v>
      </c>
      <c r="I101" s="46">
        <f t="shared" si="41"/>
        <v>0</v>
      </c>
    </row>
    <row r="102" spans="1:9" ht="14.25" customHeight="1" x14ac:dyDescent="0.25">
      <c r="A102" s="41" t="s">
        <v>239</v>
      </c>
      <c r="B102" s="41" t="s">
        <v>23</v>
      </c>
      <c r="C102" s="42" t="s">
        <v>189</v>
      </c>
      <c r="D102" s="46">
        <v>45000</v>
      </c>
      <c r="E102" s="46">
        <f t="shared" si="42"/>
        <v>450</v>
      </c>
      <c r="F102" s="46">
        <v>0</v>
      </c>
      <c r="G102" s="46">
        <f t="shared" si="40"/>
        <v>44550</v>
      </c>
      <c r="H102" s="46">
        <v>44550</v>
      </c>
      <c r="I102" s="46">
        <f t="shared" si="41"/>
        <v>0</v>
      </c>
    </row>
    <row r="103" spans="1:9" ht="14.25" customHeight="1" x14ac:dyDescent="0.25">
      <c r="A103" s="41" t="s">
        <v>288</v>
      </c>
      <c r="B103" s="41" t="s">
        <v>277</v>
      </c>
      <c r="C103" s="42" t="s">
        <v>278</v>
      </c>
      <c r="D103" s="46">
        <v>45000</v>
      </c>
      <c r="E103" s="46">
        <f t="shared" si="42"/>
        <v>450</v>
      </c>
      <c r="F103" s="46">
        <v>7500</v>
      </c>
      <c r="G103" s="46">
        <f t="shared" si="40"/>
        <v>52050</v>
      </c>
      <c r="H103" s="46">
        <v>52050</v>
      </c>
      <c r="I103" s="46">
        <f t="shared" si="41"/>
        <v>0</v>
      </c>
    </row>
    <row r="104" spans="1:9" ht="14.25" customHeight="1" x14ac:dyDescent="0.25">
      <c r="A104" s="41" t="s">
        <v>270</v>
      </c>
      <c r="B104" s="41" t="s">
        <v>162</v>
      </c>
      <c r="C104" s="42" t="s">
        <v>279</v>
      </c>
      <c r="D104" s="46">
        <v>45000</v>
      </c>
      <c r="E104" s="46">
        <f t="shared" si="42"/>
        <v>450</v>
      </c>
      <c r="F104" s="46">
        <v>0</v>
      </c>
      <c r="G104" s="46">
        <f t="shared" si="40"/>
        <v>44550</v>
      </c>
      <c r="H104" s="46">
        <v>44550</v>
      </c>
      <c r="I104" s="46">
        <f t="shared" si="41"/>
        <v>0</v>
      </c>
    </row>
    <row r="105" spans="1:9" ht="14.25" customHeight="1" x14ac:dyDescent="0.25">
      <c r="A105" s="41" t="s">
        <v>272</v>
      </c>
      <c r="B105" s="41" t="s">
        <v>23</v>
      </c>
      <c r="C105" s="42" t="s">
        <v>273</v>
      </c>
      <c r="D105" s="46">
        <v>45000</v>
      </c>
      <c r="E105" s="46">
        <f t="shared" si="42"/>
        <v>450</v>
      </c>
      <c r="F105" s="46">
        <v>6000</v>
      </c>
      <c r="G105" s="46">
        <f t="shared" si="40"/>
        <v>50550</v>
      </c>
      <c r="H105" s="46">
        <v>50550</v>
      </c>
      <c r="I105" s="46">
        <f t="shared" si="41"/>
        <v>0</v>
      </c>
    </row>
    <row r="106" spans="1:9" ht="14.25" customHeight="1" x14ac:dyDescent="0.25">
      <c r="A106" s="41" t="s">
        <v>289</v>
      </c>
      <c r="B106" s="41" t="s">
        <v>162</v>
      </c>
      <c r="C106" s="42" t="s">
        <v>281</v>
      </c>
      <c r="D106" s="46">
        <v>33000</v>
      </c>
      <c r="E106" s="46">
        <f t="shared" si="42"/>
        <v>330</v>
      </c>
      <c r="F106" s="46">
        <v>0</v>
      </c>
      <c r="G106" s="46">
        <f t="shared" si="40"/>
        <v>32670</v>
      </c>
      <c r="H106" s="46">
        <v>32670</v>
      </c>
      <c r="I106" s="46">
        <f t="shared" si="41"/>
        <v>0</v>
      </c>
    </row>
    <row r="107" spans="1:9" ht="14.25" customHeight="1" x14ac:dyDescent="0.25">
      <c r="A107" s="41" t="s">
        <v>290</v>
      </c>
      <c r="B107" s="41" t="s">
        <v>162</v>
      </c>
      <c r="C107" s="42" t="s">
        <v>187</v>
      </c>
      <c r="D107" s="46">
        <v>45000</v>
      </c>
      <c r="E107" s="46">
        <f t="shared" si="42"/>
        <v>450</v>
      </c>
      <c r="F107" s="46">
        <v>0</v>
      </c>
      <c r="G107" s="46">
        <f t="shared" si="40"/>
        <v>44550</v>
      </c>
      <c r="H107" s="46">
        <v>44550</v>
      </c>
      <c r="I107" s="46">
        <f t="shared" si="41"/>
        <v>0</v>
      </c>
    </row>
    <row r="108" spans="1:9" ht="14.25" customHeight="1" x14ac:dyDescent="0.25">
      <c r="A108" s="41" t="s">
        <v>291</v>
      </c>
      <c r="B108" s="41" t="s">
        <v>15</v>
      </c>
      <c r="C108" s="42" t="s">
        <v>283</v>
      </c>
      <c r="D108" s="46">
        <v>20000</v>
      </c>
      <c r="E108" s="46">
        <f t="shared" si="42"/>
        <v>200</v>
      </c>
      <c r="F108" s="46">
        <v>0</v>
      </c>
      <c r="G108" s="46">
        <f t="shared" si="40"/>
        <v>19800</v>
      </c>
      <c r="H108" s="46">
        <v>19800</v>
      </c>
      <c r="I108" s="46">
        <f t="shared" si="41"/>
        <v>0</v>
      </c>
    </row>
    <row r="109" spans="1:9" ht="14.25" customHeight="1" x14ac:dyDescent="0.25">
      <c r="A109" s="41" t="s">
        <v>284</v>
      </c>
      <c r="B109" s="41" t="s">
        <v>162</v>
      </c>
      <c r="C109" s="42" t="s">
        <v>285</v>
      </c>
      <c r="D109" s="46">
        <v>20000</v>
      </c>
      <c r="E109" s="46">
        <f t="shared" si="42"/>
        <v>200</v>
      </c>
      <c r="F109" s="46">
        <v>0</v>
      </c>
      <c r="G109" s="46">
        <f t="shared" si="40"/>
        <v>19800</v>
      </c>
      <c r="H109" s="46">
        <v>19800</v>
      </c>
      <c r="I109" s="46">
        <f t="shared" si="41"/>
        <v>0</v>
      </c>
    </row>
    <row r="110" spans="1:9" ht="14.25" customHeight="1" x14ac:dyDescent="0.25">
      <c r="A110" s="40"/>
      <c r="B110" s="40"/>
      <c r="C110" s="48"/>
      <c r="D110" s="49">
        <f t="shared" ref="D110:I110" si="43">SUM(D101:D109)</f>
        <v>348000</v>
      </c>
      <c r="E110" s="49">
        <f t="shared" si="43"/>
        <v>3480</v>
      </c>
      <c r="F110" s="49">
        <f t="shared" si="43"/>
        <v>13500</v>
      </c>
      <c r="G110" s="49">
        <f t="shared" si="43"/>
        <v>358020</v>
      </c>
      <c r="H110" s="49">
        <f t="shared" si="43"/>
        <v>358020</v>
      </c>
      <c r="I110" s="49">
        <f t="shared" si="43"/>
        <v>0</v>
      </c>
    </row>
    <row r="111" spans="1:9" ht="14.25" customHeight="1" x14ac:dyDescent="0.25"/>
    <row r="112" spans="1:9" ht="14.25" customHeight="1" x14ac:dyDescent="0.25">
      <c r="A112" s="40" t="s">
        <v>130</v>
      </c>
      <c r="B112" s="41"/>
      <c r="C112" s="42"/>
      <c r="D112" s="41"/>
      <c r="E112" s="41"/>
      <c r="F112" s="41"/>
      <c r="G112" s="46">
        <f>SUM(D112,F112)-E112</f>
        <v>0</v>
      </c>
      <c r="H112" s="41"/>
      <c r="I112" s="46">
        <f t="shared" ref="I112:I120" si="44">G112-H112</f>
        <v>0</v>
      </c>
    </row>
    <row r="113" spans="1:9" ht="14.25" customHeight="1" x14ac:dyDescent="0.25">
      <c r="A113" s="41" t="s">
        <v>268</v>
      </c>
      <c r="B113" s="41" t="s">
        <v>162</v>
      </c>
      <c r="C113" s="42" t="s">
        <v>269</v>
      </c>
      <c r="D113" s="46">
        <v>50000</v>
      </c>
      <c r="E113" s="46">
        <f t="shared" ref="E113:E120" si="45">D113*0.01</f>
        <v>500</v>
      </c>
      <c r="F113" s="46">
        <v>0</v>
      </c>
      <c r="G113" s="46">
        <f t="shared" ref="G113:G120" si="46">(SUM(D113,F113)-E113)/2</f>
        <v>24750</v>
      </c>
      <c r="H113" s="46">
        <v>24750</v>
      </c>
      <c r="I113" s="46">
        <f t="shared" si="44"/>
        <v>0</v>
      </c>
    </row>
    <row r="114" spans="1:9" ht="14.25" customHeight="1" x14ac:dyDescent="0.25">
      <c r="A114" s="41" t="s">
        <v>288</v>
      </c>
      <c r="B114" s="41" t="s">
        <v>277</v>
      </c>
      <c r="C114" s="42" t="s">
        <v>278</v>
      </c>
      <c r="D114" s="46">
        <v>45000</v>
      </c>
      <c r="E114" s="46">
        <f t="shared" si="45"/>
        <v>450</v>
      </c>
      <c r="F114" s="46">
        <v>7500</v>
      </c>
      <c r="G114" s="46">
        <f t="shared" si="46"/>
        <v>26025</v>
      </c>
      <c r="H114" s="46">
        <v>26025</v>
      </c>
      <c r="I114" s="46">
        <f t="shared" si="44"/>
        <v>0</v>
      </c>
    </row>
    <row r="115" spans="1:9" ht="14.25" customHeight="1" x14ac:dyDescent="0.25">
      <c r="A115" s="41" t="s">
        <v>270</v>
      </c>
      <c r="B115" s="41" t="s">
        <v>162</v>
      </c>
      <c r="C115" s="42" t="s">
        <v>279</v>
      </c>
      <c r="D115" s="46">
        <v>45000</v>
      </c>
      <c r="E115" s="46">
        <f t="shared" si="45"/>
        <v>450</v>
      </c>
      <c r="F115" s="46">
        <v>0</v>
      </c>
      <c r="G115" s="46">
        <f t="shared" si="46"/>
        <v>22275</v>
      </c>
      <c r="H115" s="46">
        <v>22275</v>
      </c>
      <c r="I115" s="46">
        <f t="shared" si="44"/>
        <v>0</v>
      </c>
    </row>
    <row r="116" spans="1:9" ht="14.25" customHeight="1" x14ac:dyDescent="0.25">
      <c r="A116" s="41" t="s">
        <v>272</v>
      </c>
      <c r="B116" s="41" t="s">
        <v>23</v>
      </c>
      <c r="C116" s="42" t="s">
        <v>273</v>
      </c>
      <c r="D116" s="46">
        <v>45000</v>
      </c>
      <c r="E116" s="46">
        <f t="shared" si="45"/>
        <v>450</v>
      </c>
      <c r="F116" s="46">
        <v>6000</v>
      </c>
      <c r="G116" s="46">
        <f t="shared" si="46"/>
        <v>25275</v>
      </c>
      <c r="H116" s="46">
        <v>25275</v>
      </c>
      <c r="I116" s="46">
        <f t="shared" si="44"/>
        <v>0</v>
      </c>
    </row>
    <row r="117" spans="1:9" ht="14.25" customHeight="1" x14ac:dyDescent="0.25">
      <c r="A117" s="41" t="s">
        <v>289</v>
      </c>
      <c r="B117" s="41" t="s">
        <v>162</v>
      </c>
      <c r="C117" s="42" t="s">
        <v>281</v>
      </c>
      <c r="D117" s="46">
        <v>33000</v>
      </c>
      <c r="E117" s="46">
        <f t="shared" si="45"/>
        <v>330</v>
      </c>
      <c r="F117" s="46">
        <v>0</v>
      </c>
      <c r="G117" s="46">
        <f t="shared" si="46"/>
        <v>16335</v>
      </c>
      <c r="H117" s="46">
        <v>16335</v>
      </c>
      <c r="I117" s="46">
        <f t="shared" si="44"/>
        <v>0</v>
      </c>
    </row>
    <row r="118" spans="1:9" ht="14.25" customHeight="1" x14ac:dyDescent="0.25">
      <c r="A118" s="41" t="s">
        <v>290</v>
      </c>
      <c r="B118" s="41" t="s">
        <v>162</v>
      </c>
      <c r="C118" s="42" t="s">
        <v>187</v>
      </c>
      <c r="D118" s="46">
        <v>45000</v>
      </c>
      <c r="E118" s="46">
        <f t="shared" si="45"/>
        <v>450</v>
      </c>
      <c r="F118" s="46">
        <v>0</v>
      </c>
      <c r="G118" s="46">
        <f t="shared" si="46"/>
        <v>22275</v>
      </c>
      <c r="H118" s="46">
        <v>22275</v>
      </c>
      <c r="I118" s="46">
        <f t="shared" si="44"/>
        <v>0</v>
      </c>
    </row>
    <row r="119" spans="1:9" ht="14.25" customHeight="1" x14ac:dyDescent="0.25">
      <c r="A119" s="41" t="s">
        <v>291</v>
      </c>
      <c r="B119" s="41" t="s">
        <v>15</v>
      </c>
      <c r="C119" s="42" t="s">
        <v>283</v>
      </c>
      <c r="D119" s="46">
        <v>20000</v>
      </c>
      <c r="E119" s="46">
        <f t="shared" si="45"/>
        <v>200</v>
      </c>
      <c r="F119" s="46">
        <v>0</v>
      </c>
      <c r="G119" s="46">
        <f t="shared" si="46"/>
        <v>9900</v>
      </c>
      <c r="H119" s="46">
        <v>9900</v>
      </c>
      <c r="I119" s="46">
        <f t="shared" si="44"/>
        <v>0</v>
      </c>
    </row>
    <row r="120" spans="1:9" ht="14.25" customHeight="1" x14ac:dyDescent="0.25">
      <c r="A120" s="41" t="s">
        <v>284</v>
      </c>
      <c r="B120" s="41" t="s">
        <v>162</v>
      </c>
      <c r="C120" s="42" t="s">
        <v>285</v>
      </c>
      <c r="D120" s="46">
        <v>20000</v>
      </c>
      <c r="E120" s="46">
        <f t="shared" si="45"/>
        <v>200</v>
      </c>
      <c r="F120" s="46">
        <v>0</v>
      </c>
      <c r="G120" s="46">
        <f t="shared" si="46"/>
        <v>9900</v>
      </c>
      <c r="H120" s="46">
        <v>9900</v>
      </c>
      <c r="I120" s="46">
        <f t="shared" si="44"/>
        <v>0</v>
      </c>
    </row>
    <row r="121" spans="1:9" ht="14.25" customHeight="1" x14ac:dyDescent="0.25">
      <c r="A121" s="40"/>
      <c r="B121" s="40"/>
      <c r="C121" s="48"/>
      <c r="D121" s="49">
        <f t="shared" ref="D121:I121" si="47">SUM(D113:D120)</f>
        <v>303000</v>
      </c>
      <c r="E121" s="49">
        <f t="shared" si="47"/>
        <v>3030</v>
      </c>
      <c r="F121" s="49">
        <f t="shared" si="47"/>
        <v>13500</v>
      </c>
      <c r="G121" s="49">
        <f t="shared" si="47"/>
        <v>156735</v>
      </c>
      <c r="H121" s="49">
        <f t="shared" si="47"/>
        <v>156735</v>
      </c>
      <c r="I121" s="49">
        <f t="shared" si="47"/>
        <v>0</v>
      </c>
    </row>
    <row r="122" spans="1:9" ht="14.25" customHeight="1" x14ac:dyDescent="0.25"/>
    <row r="123" spans="1:9" ht="14.25" customHeight="1" x14ac:dyDescent="0.25"/>
    <row r="124" spans="1:9" ht="14.25" customHeight="1" x14ac:dyDescent="0.25"/>
    <row r="125" spans="1:9" ht="14.25" customHeight="1" x14ac:dyDescent="0.25"/>
    <row r="126" spans="1:9" ht="14.25" customHeight="1" x14ac:dyDescent="0.25"/>
    <row r="127" spans="1:9" ht="14.25" customHeight="1" x14ac:dyDescent="0.25"/>
    <row r="128" spans="1:9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36.5703125" customWidth="1"/>
    <col min="2" max="2" width="10.42578125" customWidth="1"/>
    <col min="3" max="3" width="20.5703125" customWidth="1"/>
    <col min="4" max="4" width="16.140625" customWidth="1"/>
    <col min="5" max="5" width="22.7109375" customWidth="1"/>
    <col min="6" max="6" width="16" customWidth="1"/>
    <col min="7" max="7" width="20.7109375" customWidth="1"/>
    <col min="8" max="8" width="16" customWidth="1"/>
    <col min="9" max="9" width="12.42578125" customWidth="1"/>
    <col min="10" max="10" width="12.140625" customWidth="1"/>
    <col min="11" max="13" width="8.7109375" customWidth="1"/>
  </cols>
  <sheetData>
    <row r="1" spans="1:13" ht="14.2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39"/>
      <c r="K2" s="39"/>
      <c r="L2" s="39"/>
      <c r="M2" s="39"/>
    </row>
    <row r="3" spans="1:13" ht="14.25" customHeight="1" x14ac:dyDescent="0.25">
      <c r="A3" s="41" t="s">
        <v>245</v>
      </c>
      <c r="B3" s="41" t="s">
        <v>233</v>
      </c>
      <c r="C3" s="42" t="s">
        <v>246</v>
      </c>
      <c r="D3" s="46">
        <v>25000</v>
      </c>
      <c r="E3" s="46">
        <f t="shared" ref="E3:E6" si="0">D3*0.01</f>
        <v>250</v>
      </c>
      <c r="F3" s="46">
        <v>0</v>
      </c>
      <c r="G3" s="46">
        <f t="shared" ref="G3:G6" si="1">SUM(D3,F3)-E3</f>
        <v>24750</v>
      </c>
      <c r="H3" s="46">
        <v>25000</v>
      </c>
      <c r="I3" s="46">
        <f t="shared" ref="I3:I6" si="2">G3-H3</f>
        <v>-250</v>
      </c>
      <c r="J3" s="39"/>
      <c r="K3" s="39"/>
      <c r="L3" s="39"/>
      <c r="M3" s="39"/>
    </row>
    <row r="4" spans="1:13" ht="14.25" customHeight="1" x14ac:dyDescent="0.25">
      <c r="A4" s="41" t="s">
        <v>243</v>
      </c>
      <c r="B4" s="41" t="s">
        <v>35</v>
      </c>
      <c r="C4" s="42" t="s">
        <v>129</v>
      </c>
      <c r="D4" s="46">
        <v>20000</v>
      </c>
      <c r="E4" s="46">
        <f t="shared" si="0"/>
        <v>200</v>
      </c>
      <c r="F4" s="46">
        <v>0</v>
      </c>
      <c r="G4" s="46">
        <f t="shared" si="1"/>
        <v>19800</v>
      </c>
      <c r="H4" s="46">
        <v>19800</v>
      </c>
      <c r="I4" s="46">
        <f t="shared" si="2"/>
        <v>0</v>
      </c>
      <c r="J4" s="39"/>
      <c r="K4" s="39"/>
      <c r="L4" s="39"/>
      <c r="M4" s="39"/>
    </row>
    <row r="5" spans="1:13" ht="14.25" customHeight="1" x14ac:dyDescent="0.25">
      <c r="A5" s="41" t="s">
        <v>211</v>
      </c>
      <c r="B5" s="41" t="s">
        <v>95</v>
      </c>
      <c r="C5" s="42" t="s">
        <v>199</v>
      </c>
      <c r="D5" s="46">
        <v>38000</v>
      </c>
      <c r="E5" s="46">
        <f t="shared" si="0"/>
        <v>380</v>
      </c>
      <c r="F5" s="46">
        <v>0</v>
      </c>
      <c r="G5" s="46">
        <f t="shared" si="1"/>
        <v>37620</v>
      </c>
      <c r="H5" s="46">
        <v>38000</v>
      </c>
      <c r="I5" s="46">
        <f t="shared" si="2"/>
        <v>-380</v>
      </c>
      <c r="J5" s="39"/>
      <c r="K5" s="39"/>
      <c r="L5" s="39"/>
      <c r="M5" s="39"/>
    </row>
    <row r="6" spans="1:13" ht="14.25" customHeight="1" x14ac:dyDescent="0.25">
      <c r="A6" s="41" t="s">
        <v>241</v>
      </c>
      <c r="B6" s="41" t="s">
        <v>162</v>
      </c>
      <c r="C6" s="42" t="s">
        <v>201</v>
      </c>
      <c r="D6" s="46">
        <v>30000</v>
      </c>
      <c r="E6" s="46">
        <f t="shared" si="0"/>
        <v>300</v>
      </c>
      <c r="F6" s="46">
        <v>0</v>
      </c>
      <c r="G6" s="46">
        <f t="shared" si="1"/>
        <v>29700</v>
      </c>
      <c r="H6" s="46">
        <v>30000</v>
      </c>
      <c r="I6" s="46">
        <f t="shared" si="2"/>
        <v>-300</v>
      </c>
      <c r="J6" s="39"/>
      <c r="K6" s="39"/>
      <c r="L6" s="39"/>
      <c r="M6" s="39"/>
    </row>
    <row r="7" spans="1:13" ht="14.25" customHeight="1" x14ac:dyDescent="0.25">
      <c r="A7" s="40"/>
      <c r="B7" s="40"/>
      <c r="C7" s="48"/>
      <c r="D7" s="49">
        <f t="shared" ref="D7:I7" si="3">SUM(D3:D6)</f>
        <v>113000</v>
      </c>
      <c r="E7" s="49">
        <f t="shared" si="3"/>
        <v>1130</v>
      </c>
      <c r="F7" s="49">
        <f t="shared" si="3"/>
        <v>0</v>
      </c>
      <c r="G7" s="49">
        <f t="shared" si="3"/>
        <v>111870</v>
      </c>
      <c r="H7" s="49">
        <f t="shared" si="3"/>
        <v>112800</v>
      </c>
      <c r="I7" s="49">
        <f t="shared" si="3"/>
        <v>-930</v>
      </c>
      <c r="J7" s="39"/>
      <c r="K7" s="39"/>
      <c r="L7" s="39"/>
      <c r="M7" s="39"/>
    </row>
    <row r="8" spans="1:13" ht="14.25" customHeight="1" x14ac:dyDescent="0.25">
      <c r="A8" s="39"/>
      <c r="B8" s="39"/>
      <c r="C8" s="54"/>
      <c r="D8" s="39"/>
      <c r="E8" s="39"/>
      <c r="F8" s="39"/>
      <c r="G8" s="46"/>
      <c r="H8" s="39"/>
      <c r="I8" s="46"/>
      <c r="J8" s="39"/>
      <c r="K8" s="39"/>
      <c r="L8" s="39"/>
      <c r="M8" s="39"/>
    </row>
    <row r="9" spans="1:13" ht="14.25" customHeight="1" x14ac:dyDescent="0.25">
      <c r="A9" s="40" t="s">
        <v>72</v>
      </c>
      <c r="B9" s="41"/>
      <c r="C9" s="42"/>
      <c r="D9" s="41"/>
      <c r="E9" s="41"/>
      <c r="F9" s="41"/>
      <c r="G9" s="46">
        <f t="shared" ref="G9:G13" si="4">SUM(D9,F9)-E9</f>
        <v>0</v>
      </c>
      <c r="H9" s="41"/>
      <c r="I9" s="46">
        <f t="shared" ref="I9:I13" si="5">G9-H9</f>
        <v>0</v>
      </c>
      <c r="J9" s="39"/>
      <c r="K9" s="39"/>
      <c r="L9" s="39"/>
      <c r="M9" s="39"/>
    </row>
    <row r="10" spans="1:13" ht="14.25" customHeight="1" x14ac:dyDescent="0.25">
      <c r="A10" s="41" t="s">
        <v>245</v>
      </c>
      <c r="B10" s="41" t="s">
        <v>233</v>
      </c>
      <c r="C10" s="42" t="s">
        <v>246</v>
      </c>
      <c r="D10" s="46">
        <v>30000</v>
      </c>
      <c r="E10" s="46">
        <f t="shared" ref="E10:E13" si="6">D10*0.01</f>
        <v>300</v>
      </c>
      <c r="F10" s="46">
        <v>0</v>
      </c>
      <c r="G10" s="46">
        <f t="shared" si="4"/>
        <v>29700</v>
      </c>
      <c r="H10" s="46">
        <v>29700</v>
      </c>
      <c r="I10" s="46">
        <f t="shared" si="5"/>
        <v>0</v>
      </c>
      <c r="J10" s="39"/>
      <c r="K10" s="39"/>
      <c r="L10" s="39"/>
      <c r="M10" s="39"/>
    </row>
    <row r="11" spans="1:13" ht="14.25" customHeight="1" x14ac:dyDescent="0.25">
      <c r="A11" s="41" t="s">
        <v>243</v>
      </c>
      <c r="B11" s="41" t="s">
        <v>35</v>
      </c>
      <c r="C11" s="42" t="s">
        <v>129</v>
      </c>
      <c r="D11" s="46">
        <v>20000</v>
      </c>
      <c r="E11" s="46">
        <f t="shared" si="6"/>
        <v>200</v>
      </c>
      <c r="F11" s="46">
        <v>0</v>
      </c>
      <c r="G11" s="46">
        <f t="shared" si="4"/>
        <v>19800</v>
      </c>
      <c r="H11" s="46">
        <v>19800</v>
      </c>
      <c r="I11" s="46">
        <f t="shared" si="5"/>
        <v>0</v>
      </c>
      <c r="J11" s="39"/>
      <c r="K11" s="39"/>
      <c r="L11" s="39"/>
      <c r="M11" s="39"/>
    </row>
    <row r="12" spans="1:13" ht="14.25" customHeight="1" x14ac:dyDescent="0.25">
      <c r="A12" s="41" t="s">
        <v>211</v>
      </c>
      <c r="B12" s="41" t="s">
        <v>95</v>
      </c>
      <c r="C12" s="42" t="s">
        <v>199</v>
      </c>
      <c r="D12" s="46">
        <v>0</v>
      </c>
      <c r="E12" s="46">
        <f t="shared" si="6"/>
        <v>0</v>
      </c>
      <c r="F12" s="46">
        <v>0</v>
      </c>
      <c r="G12" s="46">
        <f t="shared" si="4"/>
        <v>0</v>
      </c>
      <c r="H12" s="46">
        <v>0</v>
      </c>
      <c r="I12" s="46">
        <f t="shared" si="5"/>
        <v>0</v>
      </c>
      <c r="J12" s="39"/>
      <c r="K12" s="39"/>
      <c r="L12" s="39"/>
      <c r="M12" s="39"/>
    </row>
    <row r="13" spans="1:13" ht="14.25" customHeight="1" x14ac:dyDescent="0.25">
      <c r="A13" s="41" t="s">
        <v>241</v>
      </c>
      <c r="B13" s="41" t="s">
        <v>162</v>
      </c>
      <c r="C13" s="42" t="s">
        <v>201</v>
      </c>
      <c r="D13" s="46">
        <v>0</v>
      </c>
      <c r="E13" s="46">
        <f t="shared" si="6"/>
        <v>0</v>
      </c>
      <c r="F13" s="46">
        <v>0</v>
      </c>
      <c r="G13" s="46">
        <f t="shared" si="4"/>
        <v>0</v>
      </c>
      <c r="H13" s="46">
        <v>0</v>
      </c>
      <c r="I13" s="46">
        <f t="shared" si="5"/>
        <v>0</v>
      </c>
      <c r="J13" s="39"/>
      <c r="K13" s="39"/>
      <c r="L13" s="39"/>
      <c r="M13" s="39"/>
    </row>
    <row r="14" spans="1:13" ht="14.25" customHeight="1" x14ac:dyDescent="0.25">
      <c r="A14" s="40"/>
      <c r="B14" s="40"/>
      <c r="C14" s="48"/>
      <c r="D14" s="49">
        <f t="shared" ref="D14:I14" si="7">SUM(D10:D13)</f>
        <v>50000</v>
      </c>
      <c r="E14" s="49">
        <f t="shared" si="7"/>
        <v>500</v>
      </c>
      <c r="F14" s="49">
        <f t="shared" si="7"/>
        <v>0</v>
      </c>
      <c r="G14" s="49">
        <f t="shared" si="7"/>
        <v>49500</v>
      </c>
      <c r="H14" s="49">
        <f t="shared" si="7"/>
        <v>49500</v>
      </c>
      <c r="I14" s="49">
        <f t="shared" si="7"/>
        <v>0</v>
      </c>
      <c r="J14" s="39"/>
      <c r="K14" s="39"/>
      <c r="L14" s="39"/>
      <c r="M14" s="39"/>
    </row>
    <row r="15" spans="1:13" ht="14.25" customHeight="1" x14ac:dyDescent="0.25">
      <c r="A15" s="39"/>
      <c r="B15" s="39"/>
      <c r="C15" s="54"/>
      <c r="D15" s="39"/>
      <c r="E15" s="39"/>
      <c r="F15" s="39"/>
      <c r="G15" s="46"/>
      <c r="H15" s="39"/>
      <c r="I15" s="46"/>
      <c r="J15" s="39"/>
      <c r="K15" s="39"/>
      <c r="L15" s="39"/>
      <c r="M15" s="39"/>
    </row>
    <row r="16" spans="1:13" ht="14.25" customHeight="1" x14ac:dyDescent="0.25">
      <c r="A16" s="40" t="s">
        <v>73</v>
      </c>
      <c r="B16" s="41"/>
      <c r="C16" s="42"/>
      <c r="D16" s="41"/>
      <c r="E16" s="41"/>
      <c r="F16" s="41"/>
      <c r="G16" s="46">
        <f t="shared" ref="G16:G20" si="8">SUM(D16,F16)-E16</f>
        <v>0</v>
      </c>
      <c r="H16" s="41"/>
      <c r="I16" s="46">
        <f t="shared" ref="I16:I20" si="9">G16-H16</f>
        <v>0</v>
      </c>
      <c r="J16" s="39"/>
      <c r="K16" s="39"/>
      <c r="L16" s="39"/>
      <c r="M16" s="39"/>
    </row>
    <row r="17" spans="1:13" ht="14.25" customHeight="1" x14ac:dyDescent="0.25">
      <c r="A17" s="41" t="s">
        <v>245</v>
      </c>
      <c r="B17" s="41" t="s">
        <v>233</v>
      </c>
      <c r="C17" s="42" t="s">
        <v>246</v>
      </c>
      <c r="D17" s="46">
        <v>30000</v>
      </c>
      <c r="E17" s="46">
        <f t="shared" ref="E17:E20" si="10">D17*0.01</f>
        <v>300</v>
      </c>
      <c r="F17" s="46">
        <v>0</v>
      </c>
      <c r="G17" s="46">
        <f t="shared" si="8"/>
        <v>29700</v>
      </c>
      <c r="H17" s="46">
        <v>29700</v>
      </c>
      <c r="I17" s="46">
        <f t="shared" si="9"/>
        <v>0</v>
      </c>
      <c r="J17" s="39"/>
      <c r="K17" s="39"/>
      <c r="L17" s="39"/>
      <c r="M17" s="39"/>
    </row>
    <row r="18" spans="1:13" ht="14.25" customHeight="1" x14ac:dyDescent="0.25">
      <c r="A18" s="41" t="s">
        <v>243</v>
      </c>
      <c r="B18" s="41" t="s">
        <v>35</v>
      </c>
      <c r="C18" s="42" t="s">
        <v>129</v>
      </c>
      <c r="D18" s="46">
        <v>20000</v>
      </c>
      <c r="E18" s="46">
        <f t="shared" si="10"/>
        <v>200</v>
      </c>
      <c r="F18" s="46">
        <v>0</v>
      </c>
      <c r="G18" s="46">
        <f t="shared" si="8"/>
        <v>19800</v>
      </c>
      <c r="H18" s="46">
        <v>19800</v>
      </c>
      <c r="I18" s="46">
        <f t="shared" si="9"/>
        <v>0</v>
      </c>
      <c r="J18" s="39"/>
      <c r="K18" s="39"/>
      <c r="L18" s="39"/>
      <c r="M18" s="39"/>
    </row>
    <row r="19" spans="1:13" ht="14.25" customHeight="1" x14ac:dyDescent="0.25">
      <c r="A19" s="41" t="s">
        <v>211</v>
      </c>
      <c r="B19" s="41" t="s">
        <v>95</v>
      </c>
      <c r="C19" s="42" t="s">
        <v>199</v>
      </c>
      <c r="D19" s="46">
        <v>37600</v>
      </c>
      <c r="E19" s="46">
        <f t="shared" si="10"/>
        <v>376</v>
      </c>
      <c r="F19" s="46">
        <v>0</v>
      </c>
      <c r="G19" s="46">
        <f t="shared" si="8"/>
        <v>37224</v>
      </c>
      <c r="H19" s="46">
        <v>37224</v>
      </c>
      <c r="I19" s="46">
        <f t="shared" si="9"/>
        <v>0</v>
      </c>
      <c r="J19" s="39"/>
      <c r="K19" s="39"/>
      <c r="L19" s="39"/>
      <c r="M19" s="39"/>
    </row>
    <row r="20" spans="1:13" ht="14.25" customHeight="1" x14ac:dyDescent="0.25">
      <c r="A20" s="41" t="s">
        <v>241</v>
      </c>
      <c r="B20" s="41" t="s">
        <v>162</v>
      </c>
      <c r="C20" s="42" t="s">
        <v>201</v>
      </c>
      <c r="D20" s="46">
        <v>34000</v>
      </c>
      <c r="E20" s="46">
        <f t="shared" si="10"/>
        <v>340</v>
      </c>
      <c r="F20" s="46">
        <v>0</v>
      </c>
      <c r="G20" s="46">
        <f t="shared" si="8"/>
        <v>33660</v>
      </c>
      <c r="H20" s="46">
        <v>33660</v>
      </c>
      <c r="I20" s="46">
        <f t="shared" si="9"/>
        <v>0</v>
      </c>
      <c r="J20" s="39"/>
      <c r="K20" s="39"/>
      <c r="L20" s="39"/>
      <c r="M20" s="39"/>
    </row>
    <row r="21" spans="1:13" ht="14.25" customHeight="1" x14ac:dyDescent="0.25">
      <c r="A21" s="40"/>
      <c r="B21" s="40"/>
      <c r="C21" s="48"/>
      <c r="D21" s="49">
        <f t="shared" ref="D21:I21" si="11">SUM(D17:D20)</f>
        <v>121600</v>
      </c>
      <c r="E21" s="49">
        <f t="shared" si="11"/>
        <v>1216</v>
      </c>
      <c r="F21" s="49">
        <f t="shared" si="11"/>
        <v>0</v>
      </c>
      <c r="G21" s="49">
        <f t="shared" si="11"/>
        <v>120384</v>
      </c>
      <c r="H21" s="49">
        <f t="shared" si="11"/>
        <v>120384</v>
      </c>
      <c r="I21" s="49">
        <f t="shared" si="11"/>
        <v>0</v>
      </c>
      <c r="J21" s="39"/>
      <c r="K21" s="39"/>
      <c r="L21" s="39"/>
      <c r="M21" s="39"/>
    </row>
    <row r="22" spans="1:13" ht="14.25" customHeight="1" x14ac:dyDescent="0.25">
      <c r="A22" s="39"/>
      <c r="B22" s="39"/>
      <c r="C22" s="54"/>
      <c r="D22" s="39"/>
      <c r="E22" s="39"/>
      <c r="F22" s="39"/>
      <c r="G22" s="46"/>
      <c r="H22" s="39"/>
      <c r="I22" s="46"/>
      <c r="J22" s="39"/>
      <c r="K22" s="39"/>
      <c r="L22" s="39"/>
      <c r="M22" s="39"/>
    </row>
    <row r="23" spans="1:13" ht="14.25" customHeight="1" x14ac:dyDescent="0.25">
      <c r="A23" s="40" t="s">
        <v>78</v>
      </c>
      <c r="B23" s="41"/>
      <c r="C23" s="42"/>
      <c r="D23" s="41"/>
      <c r="E23" s="41"/>
      <c r="F23" s="41"/>
      <c r="G23" s="46">
        <f t="shared" ref="G23:G27" si="12">SUM(D23,F23)-E23</f>
        <v>0</v>
      </c>
      <c r="H23" s="41"/>
      <c r="I23" s="46">
        <f t="shared" ref="I23:I27" si="13">G23-H23</f>
        <v>0</v>
      </c>
      <c r="J23" s="39"/>
      <c r="K23" s="39"/>
      <c r="L23" s="39"/>
      <c r="M23" s="39"/>
    </row>
    <row r="24" spans="1:13" ht="14.25" customHeight="1" x14ac:dyDescent="0.25">
      <c r="A24" s="41" t="s">
        <v>245</v>
      </c>
      <c r="B24" s="41" t="s">
        <v>233</v>
      </c>
      <c r="C24" s="42" t="s">
        <v>246</v>
      </c>
      <c r="D24" s="46">
        <v>0</v>
      </c>
      <c r="E24" s="46">
        <f t="shared" ref="E24:E27" si="14">D24*0.01</f>
        <v>0</v>
      </c>
      <c r="F24" s="46">
        <v>0</v>
      </c>
      <c r="G24" s="46">
        <f t="shared" si="12"/>
        <v>0</v>
      </c>
      <c r="H24" s="46">
        <v>0</v>
      </c>
      <c r="I24" s="46">
        <f t="shared" si="13"/>
        <v>0</v>
      </c>
      <c r="J24" s="61"/>
      <c r="K24" s="39"/>
      <c r="L24" s="39"/>
      <c r="M24" s="39"/>
    </row>
    <row r="25" spans="1:13" ht="14.25" customHeight="1" x14ac:dyDescent="0.25">
      <c r="A25" s="41" t="s">
        <v>243</v>
      </c>
      <c r="B25" s="41" t="s">
        <v>35</v>
      </c>
      <c r="C25" s="42" t="s">
        <v>129</v>
      </c>
      <c r="D25" s="46">
        <v>5454.545454545454</v>
      </c>
      <c r="E25" s="46">
        <f t="shared" si="14"/>
        <v>54.54545454545454</v>
      </c>
      <c r="F25" s="46">
        <v>3000</v>
      </c>
      <c r="G25" s="46">
        <f t="shared" si="12"/>
        <v>8400</v>
      </c>
      <c r="H25" s="46">
        <v>8400</v>
      </c>
      <c r="I25" s="46">
        <f t="shared" si="13"/>
        <v>0</v>
      </c>
      <c r="J25" s="61"/>
      <c r="K25" s="39"/>
      <c r="L25" s="39"/>
      <c r="M25" s="39"/>
    </row>
    <row r="26" spans="1:13" ht="14.25" customHeight="1" x14ac:dyDescent="0.25">
      <c r="A26" s="41" t="s">
        <v>211</v>
      </c>
      <c r="B26" s="41" t="s">
        <v>95</v>
      </c>
      <c r="C26" s="42" t="s">
        <v>199</v>
      </c>
      <c r="D26" s="46">
        <v>0</v>
      </c>
      <c r="E26" s="46">
        <f t="shared" si="14"/>
        <v>0</v>
      </c>
      <c r="F26" s="46">
        <v>0</v>
      </c>
      <c r="G26" s="46">
        <f t="shared" si="12"/>
        <v>0</v>
      </c>
      <c r="H26" s="46">
        <v>0</v>
      </c>
      <c r="I26" s="46">
        <f t="shared" si="13"/>
        <v>0</v>
      </c>
      <c r="J26" s="61"/>
      <c r="K26" s="39"/>
      <c r="L26" s="39"/>
      <c r="M26" s="39"/>
    </row>
    <row r="27" spans="1:13" ht="14.25" customHeight="1" x14ac:dyDescent="0.25">
      <c r="A27" s="41" t="s">
        <v>241</v>
      </c>
      <c r="B27" s="41" t="s">
        <v>162</v>
      </c>
      <c r="C27" s="42" t="s">
        <v>201</v>
      </c>
      <c r="D27" s="46">
        <v>0</v>
      </c>
      <c r="E27" s="46">
        <f t="shared" si="14"/>
        <v>0</v>
      </c>
      <c r="F27" s="46">
        <v>0</v>
      </c>
      <c r="G27" s="46">
        <f t="shared" si="12"/>
        <v>0</v>
      </c>
      <c r="H27" s="46">
        <v>0</v>
      </c>
      <c r="I27" s="46">
        <f t="shared" si="13"/>
        <v>0</v>
      </c>
      <c r="J27" s="61"/>
      <c r="K27" s="39"/>
      <c r="L27" s="39"/>
      <c r="M27" s="39"/>
    </row>
    <row r="28" spans="1:13" ht="14.25" customHeight="1" x14ac:dyDescent="0.25">
      <c r="A28" s="40"/>
      <c r="B28" s="40"/>
      <c r="C28" s="48"/>
      <c r="D28" s="49">
        <f t="shared" ref="D28:I28" si="15">SUM(D24:D27)</f>
        <v>5454.545454545454</v>
      </c>
      <c r="E28" s="49">
        <f t="shared" si="15"/>
        <v>54.54545454545454</v>
      </c>
      <c r="F28" s="49">
        <f t="shared" si="15"/>
        <v>3000</v>
      </c>
      <c r="G28" s="49">
        <f t="shared" si="15"/>
        <v>8400</v>
      </c>
      <c r="H28" s="49">
        <f t="shared" si="15"/>
        <v>8400</v>
      </c>
      <c r="I28" s="49">
        <f t="shared" si="15"/>
        <v>0</v>
      </c>
      <c r="J28" s="39"/>
      <c r="K28" s="39"/>
      <c r="L28" s="39"/>
      <c r="M28" s="39"/>
    </row>
    <row r="29" spans="1:13" ht="14.25" customHeight="1" x14ac:dyDescent="0.25">
      <c r="A29" s="39"/>
      <c r="B29" s="39"/>
      <c r="C29" s="54"/>
      <c r="D29" s="39"/>
      <c r="E29" s="39"/>
      <c r="F29" s="39"/>
      <c r="G29" s="46"/>
      <c r="H29" s="39"/>
      <c r="I29" s="46"/>
      <c r="J29" s="39"/>
      <c r="K29" s="39"/>
      <c r="L29" s="39"/>
      <c r="M29" s="39"/>
    </row>
    <row r="30" spans="1:13" ht="14.25" customHeight="1" x14ac:dyDescent="0.25">
      <c r="A30" s="40" t="s">
        <v>79</v>
      </c>
      <c r="B30" s="41"/>
      <c r="C30" s="42"/>
      <c r="D30" s="41"/>
      <c r="E30" s="41"/>
      <c r="F30" s="41"/>
      <c r="G30" s="46">
        <f t="shared" ref="G30:G34" si="16">SUM(D30,F30)-E30</f>
        <v>0</v>
      </c>
      <c r="H30" s="41"/>
      <c r="I30" s="46">
        <f t="shared" ref="I30:I34" si="17">G30-H30</f>
        <v>0</v>
      </c>
      <c r="J30" s="39"/>
      <c r="K30" s="39"/>
      <c r="L30" s="39"/>
      <c r="M30" s="39"/>
    </row>
    <row r="31" spans="1:13" ht="14.25" customHeight="1" x14ac:dyDescent="0.25">
      <c r="A31" s="41" t="s">
        <v>245</v>
      </c>
      <c r="B31" s="41" t="s">
        <v>233</v>
      </c>
      <c r="C31" s="42" t="s">
        <v>246</v>
      </c>
      <c r="D31" s="46">
        <v>30000</v>
      </c>
      <c r="E31" s="46">
        <f t="shared" ref="E31:E34" si="18">D31*0.01</f>
        <v>300</v>
      </c>
      <c r="F31" s="46">
        <v>0</v>
      </c>
      <c r="G31" s="46">
        <f t="shared" si="16"/>
        <v>29700</v>
      </c>
      <c r="H31" s="46">
        <v>29700</v>
      </c>
      <c r="I31" s="46">
        <f t="shared" si="17"/>
        <v>0</v>
      </c>
      <c r="J31" s="39"/>
      <c r="K31" s="39"/>
      <c r="L31" s="39"/>
      <c r="M31" s="39"/>
    </row>
    <row r="32" spans="1:13" ht="14.25" customHeight="1" x14ac:dyDescent="0.25">
      <c r="A32" s="41" t="s">
        <v>243</v>
      </c>
      <c r="B32" s="41" t="s">
        <v>35</v>
      </c>
      <c r="C32" s="42" t="s">
        <v>129</v>
      </c>
      <c r="D32" s="46">
        <v>20000</v>
      </c>
      <c r="E32" s="46">
        <f t="shared" si="18"/>
        <v>200</v>
      </c>
      <c r="F32" s="46">
        <v>0</v>
      </c>
      <c r="G32" s="46">
        <f t="shared" si="16"/>
        <v>19800</v>
      </c>
      <c r="H32" s="46">
        <v>19800</v>
      </c>
      <c r="I32" s="46">
        <f t="shared" si="17"/>
        <v>0</v>
      </c>
      <c r="J32" s="39"/>
      <c r="K32" s="39"/>
      <c r="L32" s="39"/>
      <c r="M32" s="39"/>
    </row>
    <row r="33" spans="1:13" ht="14.25" customHeight="1" x14ac:dyDescent="0.25">
      <c r="A33" s="41" t="s">
        <v>211</v>
      </c>
      <c r="B33" s="41" t="s">
        <v>95</v>
      </c>
      <c r="C33" s="42" t="s">
        <v>199</v>
      </c>
      <c r="D33" s="46">
        <v>37600</v>
      </c>
      <c r="E33" s="46">
        <f t="shared" si="18"/>
        <v>376</v>
      </c>
      <c r="F33" s="46">
        <v>9400</v>
      </c>
      <c r="G33" s="46">
        <f t="shared" si="16"/>
        <v>46624</v>
      </c>
      <c r="H33" s="46">
        <v>46624</v>
      </c>
      <c r="I33" s="46">
        <f t="shared" si="17"/>
        <v>0</v>
      </c>
      <c r="J33" s="39"/>
      <c r="K33" s="39"/>
      <c r="L33" s="39"/>
      <c r="M33" s="39"/>
    </row>
    <row r="34" spans="1:13" ht="14.25" customHeight="1" x14ac:dyDescent="0.25">
      <c r="A34" s="41" t="s">
        <v>241</v>
      </c>
      <c r="B34" s="41" t="s">
        <v>162</v>
      </c>
      <c r="C34" s="42" t="s">
        <v>201</v>
      </c>
      <c r="D34" s="46">
        <v>29750</v>
      </c>
      <c r="E34" s="46">
        <f t="shared" si="18"/>
        <v>297.5</v>
      </c>
      <c r="F34" s="46">
        <v>0</v>
      </c>
      <c r="G34" s="46">
        <f t="shared" si="16"/>
        <v>29452.5</v>
      </c>
      <c r="H34" s="46">
        <v>29452.5</v>
      </c>
      <c r="I34" s="46">
        <f t="shared" si="17"/>
        <v>0</v>
      </c>
      <c r="J34" s="39"/>
      <c r="K34" s="39"/>
      <c r="L34" s="39"/>
      <c r="M34" s="39"/>
    </row>
    <row r="35" spans="1:13" ht="14.25" customHeight="1" x14ac:dyDescent="0.25">
      <c r="A35" s="40"/>
      <c r="B35" s="40"/>
      <c r="C35" s="48"/>
      <c r="D35" s="49">
        <f t="shared" ref="D35:I35" si="19">SUM(D31:D34)</f>
        <v>117350</v>
      </c>
      <c r="E35" s="49">
        <f t="shared" si="19"/>
        <v>1173.5</v>
      </c>
      <c r="F35" s="49">
        <f t="shared" si="19"/>
        <v>9400</v>
      </c>
      <c r="G35" s="49">
        <f t="shared" si="19"/>
        <v>125576.5</v>
      </c>
      <c r="H35" s="49">
        <f t="shared" si="19"/>
        <v>125576.5</v>
      </c>
      <c r="I35" s="49">
        <f t="shared" si="19"/>
        <v>0</v>
      </c>
      <c r="J35" s="39"/>
      <c r="K35" s="39"/>
      <c r="L35" s="39"/>
      <c r="M35" s="39"/>
    </row>
    <row r="36" spans="1:13" ht="14.25" customHeight="1" x14ac:dyDescent="0.25">
      <c r="A36" s="39"/>
      <c r="B36" s="39"/>
      <c r="C36" s="54"/>
      <c r="D36" s="39"/>
      <c r="E36" s="39"/>
      <c r="F36" s="39"/>
      <c r="G36" s="46"/>
      <c r="H36" s="39"/>
      <c r="I36" s="46"/>
      <c r="J36" s="39"/>
      <c r="K36" s="39"/>
      <c r="L36" s="39"/>
      <c r="M36" s="39"/>
    </row>
    <row r="37" spans="1:13" ht="14.25" customHeight="1" x14ac:dyDescent="0.25">
      <c r="A37" s="40" t="s">
        <v>97</v>
      </c>
      <c r="B37" s="41"/>
      <c r="C37" s="42"/>
      <c r="D37" s="41"/>
      <c r="E37" s="41"/>
      <c r="F37" s="41"/>
      <c r="G37" s="46">
        <f t="shared" ref="G37:G41" si="20">SUM(D37,F37)-E37</f>
        <v>0</v>
      </c>
      <c r="H37" s="41"/>
      <c r="I37" s="46">
        <f t="shared" ref="I37:I41" si="21">G37-H37</f>
        <v>0</v>
      </c>
      <c r="J37" s="39"/>
      <c r="K37" s="39"/>
      <c r="L37" s="39"/>
      <c r="M37" s="39"/>
    </row>
    <row r="38" spans="1:13" ht="14.25" customHeight="1" x14ac:dyDescent="0.25">
      <c r="A38" s="41" t="s">
        <v>245</v>
      </c>
      <c r="B38" s="41" t="s">
        <v>233</v>
      </c>
      <c r="C38" s="42" t="s">
        <v>246</v>
      </c>
      <c r="D38" s="46">
        <v>40000</v>
      </c>
      <c r="E38" s="46">
        <f t="shared" ref="E38:E41" si="22">D38*0.01</f>
        <v>400</v>
      </c>
      <c r="F38" s="46">
        <v>0</v>
      </c>
      <c r="G38" s="46">
        <f t="shared" si="20"/>
        <v>39600</v>
      </c>
      <c r="H38" s="46">
        <v>39600</v>
      </c>
      <c r="I38" s="46">
        <f t="shared" si="21"/>
        <v>0</v>
      </c>
      <c r="J38" s="39"/>
      <c r="K38" s="39"/>
      <c r="L38" s="39"/>
      <c r="M38" s="39"/>
    </row>
    <row r="39" spans="1:13" ht="14.25" customHeight="1" x14ac:dyDescent="0.25">
      <c r="A39" s="41" t="s">
        <v>243</v>
      </c>
      <c r="B39" s="41" t="s">
        <v>35</v>
      </c>
      <c r="C39" s="42" t="s">
        <v>129</v>
      </c>
      <c r="D39" s="46">
        <v>20000</v>
      </c>
      <c r="E39" s="46">
        <f t="shared" si="22"/>
        <v>200</v>
      </c>
      <c r="F39" s="46">
        <v>0</v>
      </c>
      <c r="G39" s="46">
        <f t="shared" si="20"/>
        <v>19800</v>
      </c>
      <c r="H39" s="46">
        <v>19800</v>
      </c>
      <c r="I39" s="46">
        <f t="shared" si="21"/>
        <v>0</v>
      </c>
      <c r="J39" s="39"/>
      <c r="K39" s="39"/>
      <c r="L39" s="39"/>
      <c r="M39" s="39"/>
    </row>
    <row r="40" spans="1:13" ht="14.25" customHeight="1" x14ac:dyDescent="0.25">
      <c r="A40" s="41" t="s">
        <v>211</v>
      </c>
      <c r="B40" s="41" t="s">
        <v>31</v>
      </c>
      <c r="C40" s="42" t="s">
        <v>292</v>
      </c>
      <c r="D40" s="46">
        <v>37600</v>
      </c>
      <c r="E40" s="46">
        <f t="shared" si="22"/>
        <v>376</v>
      </c>
      <c r="F40" s="46">
        <v>0</v>
      </c>
      <c r="G40" s="46">
        <f t="shared" si="20"/>
        <v>37224</v>
      </c>
      <c r="H40" s="46">
        <v>37224</v>
      </c>
      <c r="I40" s="46">
        <f t="shared" si="21"/>
        <v>0</v>
      </c>
      <c r="J40" s="39"/>
      <c r="K40" s="39"/>
      <c r="L40" s="39"/>
      <c r="M40" s="39"/>
    </row>
    <row r="41" spans="1:13" ht="14.25" customHeight="1" x14ac:dyDescent="0.25">
      <c r="A41" s="41" t="s">
        <v>241</v>
      </c>
      <c r="B41" s="41" t="s">
        <v>162</v>
      </c>
      <c r="C41" s="42" t="s">
        <v>201</v>
      </c>
      <c r="D41" s="46">
        <v>34000</v>
      </c>
      <c r="E41" s="46">
        <f t="shared" si="22"/>
        <v>340</v>
      </c>
      <c r="F41" s="46">
        <v>0</v>
      </c>
      <c r="G41" s="46">
        <f t="shared" si="20"/>
        <v>33660</v>
      </c>
      <c r="H41" s="46">
        <v>33660</v>
      </c>
      <c r="I41" s="46">
        <f t="shared" si="21"/>
        <v>0</v>
      </c>
      <c r="J41" s="39"/>
      <c r="K41" s="39"/>
      <c r="L41" s="39"/>
      <c r="M41" s="39"/>
    </row>
    <row r="42" spans="1:13" ht="14.25" customHeight="1" x14ac:dyDescent="0.25">
      <c r="A42" s="40"/>
      <c r="B42" s="40"/>
      <c r="C42" s="48"/>
      <c r="D42" s="49">
        <f t="shared" ref="D42:I42" si="23">SUM(D38:D41)</f>
        <v>131600</v>
      </c>
      <c r="E42" s="49">
        <f t="shared" si="23"/>
        <v>1316</v>
      </c>
      <c r="F42" s="49">
        <f t="shared" si="23"/>
        <v>0</v>
      </c>
      <c r="G42" s="49">
        <f t="shared" si="23"/>
        <v>130284</v>
      </c>
      <c r="H42" s="49">
        <f t="shared" si="23"/>
        <v>130284</v>
      </c>
      <c r="I42" s="49">
        <f t="shared" si="23"/>
        <v>0</v>
      </c>
      <c r="J42" s="39"/>
      <c r="K42" s="39"/>
      <c r="L42" s="39"/>
      <c r="M42" s="39"/>
    </row>
    <row r="43" spans="1:13" ht="14.25" customHeight="1" x14ac:dyDescent="0.25">
      <c r="A43" s="39"/>
      <c r="B43" s="39"/>
      <c r="C43" s="54"/>
      <c r="D43" s="39"/>
      <c r="E43" s="39"/>
      <c r="F43" s="39"/>
      <c r="G43" s="46"/>
      <c r="H43" s="39"/>
      <c r="I43" s="46"/>
      <c r="J43" s="39"/>
      <c r="K43" s="39"/>
      <c r="L43" s="39"/>
      <c r="M43" s="39"/>
    </row>
    <row r="44" spans="1:13" ht="14.25" customHeight="1" x14ac:dyDescent="0.25">
      <c r="A44" s="40" t="s">
        <v>101</v>
      </c>
      <c r="B44" s="41"/>
      <c r="C44" s="42"/>
      <c r="D44" s="41"/>
      <c r="E44" s="41"/>
      <c r="F44" s="41"/>
      <c r="G44" s="46">
        <f t="shared" ref="G44:G48" si="24">SUM(D44,F44)-E44</f>
        <v>0</v>
      </c>
      <c r="H44" s="41"/>
      <c r="I44" s="46">
        <f t="shared" ref="I44:I48" si="25">G44-H44</f>
        <v>0</v>
      </c>
      <c r="J44" s="39"/>
      <c r="K44" s="39"/>
      <c r="L44" s="39"/>
      <c r="M44" s="39"/>
    </row>
    <row r="45" spans="1:13" ht="14.25" customHeight="1" x14ac:dyDescent="0.25">
      <c r="A45" s="41" t="s">
        <v>245</v>
      </c>
      <c r="B45" s="41" t="s">
        <v>233</v>
      </c>
      <c r="C45" s="42" t="s">
        <v>246</v>
      </c>
      <c r="D45" s="46">
        <v>40000</v>
      </c>
      <c r="E45" s="46">
        <f t="shared" ref="E45:E48" si="26">D45*0.01</f>
        <v>400</v>
      </c>
      <c r="F45" s="46">
        <v>0</v>
      </c>
      <c r="G45" s="46">
        <f t="shared" si="24"/>
        <v>39600</v>
      </c>
      <c r="H45" s="46">
        <v>39600</v>
      </c>
      <c r="I45" s="46">
        <f t="shared" si="25"/>
        <v>0</v>
      </c>
      <c r="J45" s="39"/>
      <c r="K45" s="39"/>
      <c r="L45" s="39"/>
      <c r="M45" s="39"/>
    </row>
    <row r="46" spans="1:13" ht="14.25" customHeight="1" x14ac:dyDescent="0.25">
      <c r="A46" s="41" t="s">
        <v>243</v>
      </c>
      <c r="B46" s="41" t="s">
        <v>35</v>
      </c>
      <c r="C46" s="42" t="s">
        <v>129</v>
      </c>
      <c r="D46" s="46">
        <v>20000</v>
      </c>
      <c r="E46" s="46">
        <f t="shared" si="26"/>
        <v>200</v>
      </c>
      <c r="F46" s="46">
        <v>0</v>
      </c>
      <c r="G46" s="46">
        <f t="shared" si="24"/>
        <v>19800</v>
      </c>
      <c r="H46" s="46">
        <v>19800</v>
      </c>
      <c r="I46" s="46">
        <f t="shared" si="25"/>
        <v>0</v>
      </c>
      <c r="J46" s="39"/>
      <c r="K46" s="39"/>
      <c r="L46" s="39"/>
      <c r="M46" s="39"/>
    </row>
    <row r="47" spans="1:13" ht="14.25" customHeight="1" x14ac:dyDescent="0.25">
      <c r="A47" s="41" t="s">
        <v>211</v>
      </c>
      <c r="B47" s="41" t="s">
        <v>31</v>
      </c>
      <c r="C47" s="42" t="s">
        <v>292</v>
      </c>
      <c r="D47" s="46">
        <v>37600</v>
      </c>
      <c r="E47" s="46">
        <f t="shared" si="26"/>
        <v>376</v>
      </c>
      <c r="F47" s="46">
        <v>0</v>
      </c>
      <c r="G47" s="46">
        <f t="shared" si="24"/>
        <v>37224</v>
      </c>
      <c r="H47" s="46">
        <v>37224</v>
      </c>
      <c r="I47" s="46">
        <f t="shared" si="25"/>
        <v>0</v>
      </c>
      <c r="J47" s="39"/>
      <c r="K47" s="39"/>
      <c r="L47" s="39"/>
      <c r="M47" s="39"/>
    </row>
    <row r="48" spans="1:13" ht="14.25" customHeight="1" x14ac:dyDescent="0.25">
      <c r="A48" s="41" t="s">
        <v>241</v>
      </c>
      <c r="B48" s="41" t="s">
        <v>162</v>
      </c>
      <c r="C48" s="42" t="s">
        <v>201</v>
      </c>
      <c r="D48" s="46">
        <v>34000</v>
      </c>
      <c r="E48" s="46">
        <f t="shared" si="26"/>
        <v>340</v>
      </c>
      <c r="F48" s="46">
        <v>0</v>
      </c>
      <c r="G48" s="46">
        <f t="shared" si="24"/>
        <v>33660</v>
      </c>
      <c r="H48" s="46">
        <v>33660</v>
      </c>
      <c r="I48" s="46">
        <f t="shared" si="25"/>
        <v>0</v>
      </c>
      <c r="J48" s="39"/>
      <c r="K48" s="39"/>
      <c r="L48" s="39"/>
      <c r="M48" s="39"/>
    </row>
    <row r="49" spans="1:13" ht="14.25" customHeight="1" x14ac:dyDescent="0.25">
      <c r="A49" s="40"/>
      <c r="B49" s="40"/>
      <c r="C49" s="48"/>
      <c r="D49" s="49">
        <f t="shared" ref="D49:I49" si="27">SUM(D45:D48)</f>
        <v>131600</v>
      </c>
      <c r="E49" s="49">
        <f t="shared" si="27"/>
        <v>1316</v>
      </c>
      <c r="F49" s="49">
        <f t="shared" si="27"/>
        <v>0</v>
      </c>
      <c r="G49" s="49">
        <f t="shared" si="27"/>
        <v>130284</v>
      </c>
      <c r="H49" s="49">
        <f t="shared" si="27"/>
        <v>130284</v>
      </c>
      <c r="I49" s="49">
        <f t="shared" si="27"/>
        <v>0</v>
      </c>
      <c r="J49" s="39"/>
      <c r="K49" s="39"/>
      <c r="L49" s="39"/>
      <c r="M49" s="39"/>
    </row>
    <row r="50" spans="1:13" ht="14.25" customHeight="1" x14ac:dyDescent="0.25">
      <c r="A50" s="39"/>
      <c r="B50" s="39"/>
      <c r="C50" s="54"/>
      <c r="D50" s="39"/>
      <c r="E50" s="39"/>
      <c r="F50" s="39"/>
      <c r="G50" s="46"/>
      <c r="H50" s="39"/>
      <c r="I50" s="46"/>
      <c r="J50" s="39"/>
      <c r="K50" s="39"/>
      <c r="L50" s="39"/>
      <c r="M50" s="39"/>
    </row>
    <row r="51" spans="1:13" ht="14.25" customHeight="1" x14ac:dyDescent="0.25">
      <c r="A51" s="40" t="s">
        <v>105</v>
      </c>
      <c r="B51" s="41"/>
      <c r="C51" s="42"/>
      <c r="D51" s="41"/>
      <c r="E51" s="41"/>
      <c r="F51" s="41"/>
      <c r="G51" s="46">
        <f t="shared" ref="G51:G54" si="28">SUM(D51,F51)-E51</f>
        <v>0</v>
      </c>
      <c r="H51" s="41"/>
      <c r="I51" s="46">
        <f t="shared" ref="I51:I54" si="29">G51-H51</f>
        <v>0</v>
      </c>
      <c r="J51" s="39"/>
      <c r="K51" s="39"/>
      <c r="L51" s="39"/>
      <c r="M51" s="39"/>
    </row>
    <row r="52" spans="1:13" ht="14.25" customHeight="1" x14ac:dyDescent="0.25">
      <c r="A52" s="41" t="s">
        <v>245</v>
      </c>
      <c r="B52" s="41" t="s">
        <v>233</v>
      </c>
      <c r="C52" s="42" t="s">
        <v>246</v>
      </c>
      <c r="D52" s="46">
        <v>29333.333333333332</v>
      </c>
      <c r="E52" s="46">
        <f t="shared" ref="E52:E54" si="30">D52*0.01</f>
        <v>293.33333333333331</v>
      </c>
      <c r="F52" s="46">
        <v>0</v>
      </c>
      <c r="G52" s="46">
        <f t="shared" si="28"/>
        <v>29040</v>
      </c>
      <c r="H52" s="46">
        <v>29040</v>
      </c>
      <c r="I52" s="46">
        <f t="shared" si="29"/>
        <v>0</v>
      </c>
      <c r="J52" s="39"/>
      <c r="K52" s="39"/>
      <c r="L52" s="39"/>
      <c r="M52" s="39"/>
    </row>
    <row r="53" spans="1:13" ht="14.25" customHeight="1" x14ac:dyDescent="0.25">
      <c r="A53" s="41" t="s">
        <v>243</v>
      </c>
      <c r="B53" s="41" t="s">
        <v>35</v>
      </c>
      <c r="C53" s="42" t="s">
        <v>129</v>
      </c>
      <c r="D53" s="46">
        <v>14666.666666666666</v>
      </c>
      <c r="E53" s="46">
        <f t="shared" si="30"/>
        <v>146.66666666666666</v>
      </c>
      <c r="F53" s="46">
        <v>0</v>
      </c>
      <c r="G53" s="46">
        <f t="shared" si="28"/>
        <v>14520</v>
      </c>
      <c r="H53" s="46">
        <v>14520</v>
      </c>
      <c r="I53" s="46">
        <f t="shared" si="29"/>
        <v>0</v>
      </c>
      <c r="J53" s="39"/>
      <c r="K53" s="39"/>
      <c r="L53" s="39"/>
      <c r="M53" s="39"/>
    </row>
    <row r="54" spans="1:13" ht="14.25" customHeight="1" x14ac:dyDescent="0.25">
      <c r="A54" s="41" t="s">
        <v>293</v>
      </c>
      <c r="B54" s="41" t="s">
        <v>162</v>
      </c>
      <c r="C54" s="42" t="s">
        <v>294</v>
      </c>
      <c r="D54" s="46">
        <v>0</v>
      </c>
      <c r="E54" s="46">
        <f t="shared" si="30"/>
        <v>0</v>
      </c>
      <c r="F54" s="46">
        <v>0</v>
      </c>
      <c r="G54" s="46">
        <f t="shared" si="28"/>
        <v>0</v>
      </c>
      <c r="H54" s="46">
        <v>0</v>
      </c>
      <c r="I54" s="46">
        <f t="shared" si="29"/>
        <v>0</v>
      </c>
      <c r="J54" s="39"/>
      <c r="K54" s="39"/>
      <c r="L54" s="39"/>
      <c r="M54" s="39"/>
    </row>
    <row r="55" spans="1:13" ht="14.25" customHeight="1" x14ac:dyDescent="0.25">
      <c r="A55" s="40"/>
      <c r="B55" s="40"/>
      <c r="C55" s="48"/>
      <c r="D55" s="49">
        <f t="shared" ref="D55:I55" si="31">SUM(D52:D54)</f>
        <v>44000</v>
      </c>
      <c r="E55" s="49">
        <f t="shared" si="31"/>
        <v>440</v>
      </c>
      <c r="F55" s="49">
        <f t="shared" si="31"/>
        <v>0</v>
      </c>
      <c r="G55" s="49">
        <f t="shared" si="31"/>
        <v>43560</v>
      </c>
      <c r="H55" s="49">
        <f t="shared" si="31"/>
        <v>43560</v>
      </c>
      <c r="I55" s="49">
        <f t="shared" si="31"/>
        <v>0</v>
      </c>
      <c r="J55" s="39"/>
      <c r="K55" s="39"/>
      <c r="L55" s="39"/>
      <c r="M55" s="39"/>
    </row>
    <row r="56" spans="1:13" ht="14.25" customHeight="1" x14ac:dyDescent="0.25">
      <c r="A56" s="39"/>
      <c r="B56" s="39"/>
      <c r="C56" s="54"/>
      <c r="D56" s="39"/>
      <c r="E56" s="39"/>
      <c r="F56" s="39"/>
      <c r="G56" s="46"/>
      <c r="H56" s="39"/>
      <c r="I56" s="46"/>
      <c r="J56" s="39"/>
      <c r="K56" s="39"/>
      <c r="L56" s="39"/>
      <c r="M56" s="39"/>
    </row>
    <row r="57" spans="1:13" ht="14.25" customHeight="1" x14ac:dyDescent="0.25">
      <c r="A57" s="40" t="s">
        <v>122</v>
      </c>
      <c r="B57" s="41"/>
      <c r="C57" s="42"/>
      <c r="D57" s="41"/>
      <c r="E57" s="41"/>
      <c r="F57" s="41"/>
      <c r="G57" s="46">
        <f t="shared" ref="G57:G60" si="32">SUM(D57,F57)-E57</f>
        <v>0</v>
      </c>
      <c r="H57" s="41"/>
      <c r="I57" s="46">
        <f t="shared" ref="I57:I60" si="33">G57-H57</f>
        <v>0</v>
      </c>
    </row>
    <row r="58" spans="1:13" ht="14.25" customHeight="1" x14ac:dyDescent="0.25">
      <c r="A58" s="41" t="s">
        <v>245</v>
      </c>
      <c r="B58" s="41" t="s">
        <v>233</v>
      </c>
      <c r="C58" s="42" t="s">
        <v>295</v>
      </c>
      <c r="D58" s="46">
        <v>45000</v>
      </c>
      <c r="E58" s="46">
        <f t="shared" ref="E58:E60" si="34">D58*0.01</f>
        <v>450</v>
      </c>
      <c r="F58" s="46">
        <v>0</v>
      </c>
      <c r="G58" s="46">
        <f t="shared" si="32"/>
        <v>44550</v>
      </c>
      <c r="H58" s="46">
        <v>44550</v>
      </c>
      <c r="I58" s="46">
        <f t="shared" si="33"/>
        <v>0</v>
      </c>
      <c r="J58" s="62"/>
    </row>
    <row r="59" spans="1:13" ht="14.25" customHeight="1" x14ac:dyDescent="0.25">
      <c r="A59" s="41" t="s">
        <v>243</v>
      </c>
      <c r="B59" s="41" t="s">
        <v>35</v>
      </c>
      <c r="C59" s="42" t="s">
        <v>129</v>
      </c>
      <c r="D59" s="46">
        <v>20000</v>
      </c>
      <c r="E59" s="46">
        <f t="shared" si="34"/>
        <v>200</v>
      </c>
      <c r="F59" s="46">
        <v>0</v>
      </c>
      <c r="G59" s="46">
        <f t="shared" si="32"/>
        <v>19800</v>
      </c>
      <c r="H59" s="46">
        <v>19800</v>
      </c>
      <c r="I59" s="46">
        <f t="shared" si="33"/>
        <v>0</v>
      </c>
    </row>
    <row r="60" spans="1:13" ht="14.25" customHeight="1" x14ac:dyDescent="0.25">
      <c r="A60" s="41" t="s">
        <v>293</v>
      </c>
      <c r="B60" s="41" t="s">
        <v>162</v>
      </c>
      <c r="C60" s="42" t="s">
        <v>294</v>
      </c>
      <c r="D60" s="46">
        <v>0</v>
      </c>
      <c r="E60" s="46">
        <f t="shared" si="34"/>
        <v>0</v>
      </c>
      <c r="F60" s="46">
        <v>0</v>
      </c>
      <c r="G60" s="46">
        <f t="shared" si="32"/>
        <v>0</v>
      </c>
      <c r="H60" s="46">
        <v>0</v>
      </c>
      <c r="I60" s="46">
        <f t="shared" si="33"/>
        <v>0</v>
      </c>
    </row>
    <row r="61" spans="1:13" ht="14.25" customHeight="1" x14ac:dyDescent="0.25">
      <c r="A61" s="40"/>
      <c r="B61" s="40"/>
      <c r="C61" s="48"/>
      <c r="D61" s="49">
        <f t="shared" ref="D61:I61" si="35">SUM(D58:D60)</f>
        <v>65000</v>
      </c>
      <c r="E61" s="49">
        <f t="shared" si="35"/>
        <v>650</v>
      </c>
      <c r="F61" s="49">
        <f t="shared" si="35"/>
        <v>0</v>
      </c>
      <c r="G61" s="49">
        <f t="shared" si="35"/>
        <v>64350</v>
      </c>
      <c r="H61" s="49">
        <f t="shared" si="35"/>
        <v>64350</v>
      </c>
      <c r="I61" s="49">
        <f t="shared" si="35"/>
        <v>0</v>
      </c>
    </row>
    <row r="62" spans="1:13" ht="14.25" customHeight="1" x14ac:dyDescent="0.25">
      <c r="G62" s="46"/>
      <c r="I62" s="46"/>
    </row>
    <row r="63" spans="1:13" ht="14.25" customHeight="1" x14ac:dyDescent="0.25">
      <c r="A63" s="40" t="s">
        <v>125</v>
      </c>
      <c r="B63" s="41"/>
      <c r="C63" s="42"/>
      <c r="D63" s="41"/>
      <c r="E63" s="41"/>
      <c r="F63" s="41"/>
      <c r="G63" s="46">
        <f t="shared" ref="G63:G66" si="36">SUM(D63,F63)-E63</f>
        <v>0</v>
      </c>
      <c r="H63" s="41"/>
      <c r="I63" s="46">
        <f t="shared" ref="I63:I66" si="37">G63-H63</f>
        <v>0</v>
      </c>
    </row>
    <row r="64" spans="1:13" ht="14.25" customHeight="1" x14ac:dyDescent="0.25">
      <c r="A64" s="41" t="s">
        <v>245</v>
      </c>
      <c r="B64" s="41" t="s">
        <v>162</v>
      </c>
      <c r="C64" s="42" t="s">
        <v>295</v>
      </c>
      <c r="D64" s="46">
        <v>45000</v>
      </c>
      <c r="E64" s="46">
        <f t="shared" ref="E64:E66" si="38">D64*0.01</f>
        <v>450</v>
      </c>
      <c r="F64" s="46">
        <v>5500</v>
      </c>
      <c r="G64" s="46">
        <f t="shared" si="36"/>
        <v>50050</v>
      </c>
      <c r="H64" s="46">
        <v>50050</v>
      </c>
      <c r="I64" s="46">
        <f t="shared" si="37"/>
        <v>0</v>
      </c>
    </row>
    <row r="65" spans="1:9" ht="14.25" customHeight="1" x14ac:dyDescent="0.25">
      <c r="A65" s="41" t="s">
        <v>243</v>
      </c>
      <c r="B65" s="41" t="s">
        <v>35</v>
      </c>
      <c r="C65" s="42" t="s">
        <v>129</v>
      </c>
      <c r="D65" s="46">
        <v>20000</v>
      </c>
      <c r="E65" s="46">
        <f t="shared" si="38"/>
        <v>200</v>
      </c>
      <c r="F65" s="46">
        <v>0</v>
      </c>
      <c r="G65" s="46">
        <f t="shared" si="36"/>
        <v>19800</v>
      </c>
      <c r="H65" s="46">
        <v>19800</v>
      </c>
      <c r="I65" s="46">
        <f t="shared" si="37"/>
        <v>0</v>
      </c>
    </row>
    <row r="66" spans="1:9" ht="14.25" customHeight="1" x14ac:dyDescent="0.25">
      <c r="A66" s="41" t="s">
        <v>293</v>
      </c>
      <c r="B66" s="41" t="s">
        <v>162</v>
      </c>
      <c r="C66" s="42" t="s">
        <v>294</v>
      </c>
      <c r="D66" s="46">
        <v>0</v>
      </c>
      <c r="E66" s="46">
        <f t="shared" si="38"/>
        <v>0</v>
      </c>
      <c r="F66" s="46">
        <v>0</v>
      </c>
      <c r="G66" s="46">
        <f t="shared" si="36"/>
        <v>0</v>
      </c>
      <c r="H66" s="46">
        <v>0</v>
      </c>
      <c r="I66" s="46">
        <f t="shared" si="37"/>
        <v>0</v>
      </c>
    </row>
    <row r="67" spans="1:9" ht="14.25" customHeight="1" x14ac:dyDescent="0.25">
      <c r="A67" s="40"/>
      <c r="B67" s="40"/>
      <c r="C67" s="48"/>
      <c r="D67" s="49">
        <f t="shared" ref="D67:I67" si="39">SUM(D64:D66)</f>
        <v>65000</v>
      </c>
      <c r="E67" s="49">
        <f t="shared" si="39"/>
        <v>650</v>
      </c>
      <c r="F67" s="49">
        <f t="shared" si="39"/>
        <v>5500</v>
      </c>
      <c r="G67" s="49">
        <f t="shared" si="39"/>
        <v>69850</v>
      </c>
      <c r="H67" s="49">
        <f t="shared" si="39"/>
        <v>69850</v>
      </c>
      <c r="I67" s="49">
        <f t="shared" si="39"/>
        <v>0</v>
      </c>
    </row>
    <row r="68" spans="1:9" ht="14.25" customHeight="1" x14ac:dyDescent="0.25"/>
    <row r="69" spans="1:9" ht="14.25" customHeight="1" x14ac:dyDescent="0.25">
      <c r="A69" s="40" t="s">
        <v>130</v>
      </c>
      <c r="B69" s="41"/>
      <c r="C69" s="42"/>
      <c r="D69" s="41"/>
      <c r="E69" s="41"/>
      <c r="F69" s="41"/>
      <c r="G69" s="46">
        <f>SUM(D69,F69)-E69</f>
        <v>0</v>
      </c>
      <c r="H69" s="41"/>
      <c r="I69" s="46">
        <f t="shared" ref="I69:I72" si="40">G69-H69</f>
        <v>0</v>
      </c>
    </row>
    <row r="70" spans="1:9" ht="14.25" customHeight="1" x14ac:dyDescent="0.25">
      <c r="A70" s="41" t="s">
        <v>245</v>
      </c>
      <c r="B70" s="41" t="s">
        <v>162</v>
      </c>
      <c r="C70" s="42" t="s">
        <v>295</v>
      </c>
      <c r="D70" s="46">
        <v>45000</v>
      </c>
      <c r="E70" s="46">
        <f t="shared" ref="E70:E72" si="41">D70*0.01</f>
        <v>450</v>
      </c>
      <c r="F70" s="46">
        <v>5500</v>
      </c>
      <c r="G70" s="46">
        <f t="shared" ref="G70:G71" si="42">(SUM(D70,F70)-E70)/2</f>
        <v>25025</v>
      </c>
      <c r="H70" s="46">
        <v>25025</v>
      </c>
      <c r="I70" s="46">
        <f t="shared" si="40"/>
        <v>0</v>
      </c>
    </row>
    <row r="71" spans="1:9" ht="14.25" customHeight="1" x14ac:dyDescent="0.25">
      <c r="A71" s="41" t="s">
        <v>243</v>
      </c>
      <c r="B71" s="41" t="s">
        <v>35</v>
      </c>
      <c r="C71" s="42" t="s">
        <v>129</v>
      </c>
      <c r="D71" s="46">
        <v>20000</v>
      </c>
      <c r="E71" s="46">
        <f t="shared" si="41"/>
        <v>200</v>
      </c>
      <c r="F71" s="46">
        <v>0</v>
      </c>
      <c r="G71" s="46">
        <f t="shared" si="42"/>
        <v>9900</v>
      </c>
      <c r="H71" s="46">
        <v>9900</v>
      </c>
      <c r="I71" s="46">
        <f t="shared" si="40"/>
        <v>0</v>
      </c>
    </row>
    <row r="72" spans="1:9" ht="14.25" customHeight="1" x14ac:dyDescent="0.25">
      <c r="A72" s="41" t="s">
        <v>293</v>
      </c>
      <c r="B72" s="41" t="s">
        <v>162</v>
      </c>
      <c r="C72" s="42" t="s">
        <v>294</v>
      </c>
      <c r="D72" s="46">
        <v>0</v>
      </c>
      <c r="E72" s="46">
        <f t="shared" si="41"/>
        <v>0</v>
      </c>
      <c r="F72" s="46">
        <v>0</v>
      </c>
      <c r="G72" s="46">
        <f>SUM(D72,F72)-E72</f>
        <v>0</v>
      </c>
      <c r="H72" s="46">
        <v>0</v>
      </c>
      <c r="I72" s="46">
        <f t="shared" si="40"/>
        <v>0</v>
      </c>
    </row>
    <row r="73" spans="1:9" ht="14.25" customHeight="1" x14ac:dyDescent="0.25">
      <c r="A73" s="40"/>
      <c r="B73" s="40"/>
      <c r="C73" s="48"/>
      <c r="D73" s="49">
        <f t="shared" ref="D73:I73" si="43">SUM(D70:D72)</f>
        <v>65000</v>
      </c>
      <c r="E73" s="49">
        <f t="shared" si="43"/>
        <v>650</v>
      </c>
      <c r="F73" s="49">
        <f t="shared" si="43"/>
        <v>5500</v>
      </c>
      <c r="G73" s="49">
        <f t="shared" si="43"/>
        <v>34925</v>
      </c>
      <c r="H73" s="49">
        <f t="shared" si="43"/>
        <v>34925</v>
      </c>
      <c r="I73" s="49">
        <f t="shared" si="43"/>
        <v>0</v>
      </c>
    </row>
    <row r="74" spans="1:9" ht="14.25" customHeight="1" x14ac:dyDescent="0.25"/>
    <row r="75" spans="1:9" ht="14.25" customHeight="1" x14ac:dyDescent="0.25"/>
    <row r="76" spans="1:9" ht="14.25" customHeight="1" x14ac:dyDescent="0.25"/>
    <row r="77" spans="1:9" ht="14.25" customHeight="1" x14ac:dyDescent="0.25"/>
    <row r="78" spans="1:9" ht="14.25" customHeight="1" x14ac:dyDescent="0.25"/>
    <row r="79" spans="1:9" ht="14.25" customHeight="1" x14ac:dyDescent="0.25"/>
    <row r="80" spans="1: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63"/>
  <sheetViews>
    <sheetView workbookViewId="0">
      <pane xSplit="4" ySplit="1" topLeftCell="E65" activePane="bottomRight" state="frozen"/>
      <selection pane="topRight" activeCell="E1" sqref="E1"/>
      <selection pane="bottomLeft" activeCell="A2" sqref="A2"/>
      <selection pane="bottomRight" activeCell="A79" sqref="A79"/>
    </sheetView>
  </sheetViews>
  <sheetFormatPr defaultColWidth="14.42578125" defaultRowHeight="15" customHeight="1" x14ac:dyDescent="0.25"/>
  <cols>
    <col min="1" max="1" width="35.85546875" customWidth="1"/>
    <col min="2" max="2" width="11.7109375" customWidth="1"/>
    <col min="3" max="3" width="20.5703125" bestFit="1" customWidth="1"/>
    <col min="4" max="4" width="16.140625" bestFit="1" customWidth="1"/>
    <col min="5" max="5" width="22.7109375" customWidth="1"/>
    <col min="6" max="6" width="16" customWidth="1"/>
    <col min="7" max="7" width="20.7109375" customWidth="1"/>
    <col min="8" max="8" width="16" customWidth="1"/>
    <col min="9" max="9" width="16" bestFit="1" customWidth="1"/>
    <col min="10" max="27" width="33.42578125" customWidth="1"/>
  </cols>
  <sheetData>
    <row r="1" spans="1:27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0" t="s">
        <v>11</v>
      </c>
      <c r="H1" s="31" t="s">
        <v>255</v>
      </c>
      <c r="I1" s="30" t="s">
        <v>256</v>
      </c>
      <c r="J1" s="38"/>
      <c r="K1" s="39"/>
    </row>
    <row r="2" spans="1:27" x14ac:dyDescent="0.25">
      <c r="A2" s="40" t="s">
        <v>12</v>
      </c>
      <c r="B2" s="41"/>
      <c r="C2" s="42"/>
      <c r="D2" s="41"/>
      <c r="E2" s="41"/>
      <c r="F2" s="41"/>
      <c r="G2" s="46"/>
      <c r="H2" s="41"/>
      <c r="I2" s="46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x14ac:dyDescent="0.25">
      <c r="A3" s="41" t="s">
        <v>236</v>
      </c>
      <c r="B3" s="41" t="s">
        <v>162</v>
      </c>
      <c r="C3" s="42" t="s">
        <v>207</v>
      </c>
      <c r="D3" s="46">
        <v>50000</v>
      </c>
      <c r="E3" s="46">
        <f t="shared" ref="E3:E10" si="0">D3*0.01</f>
        <v>500</v>
      </c>
      <c r="F3" s="46">
        <v>5000</v>
      </c>
      <c r="G3" s="46">
        <f t="shared" ref="G3:G10" si="1">SUM(D3,F3)-E3</f>
        <v>54500</v>
      </c>
      <c r="H3" s="46">
        <v>54500</v>
      </c>
      <c r="I3" s="46">
        <f t="shared" ref="I3:I10" si="2">G3-H3</f>
        <v>0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 spans="1:27" x14ac:dyDescent="0.25">
      <c r="A4" s="41" t="s">
        <v>226</v>
      </c>
      <c r="B4" s="41" t="s">
        <v>53</v>
      </c>
      <c r="C4" s="42" t="s">
        <v>227</v>
      </c>
      <c r="D4" s="46">
        <v>45000</v>
      </c>
      <c r="E4" s="46">
        <f t="shared" si="0"/>
        <v>450</v>
      </c>
      <c r="F4" s="46">
        <v>0</v>
      </c>
      <c r="G4" s="46">
        <f t="shared" si="1"/>
        <v>44550</v>
      </c>
      <c r="H4" s="46">
        <v>44550</v>
      </c>
      <c r="I4" s="46">
        <f t="shared" si="2"/>
        <v>0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x14ac:dyDescent="0.25">
      <c r="A5" s="41" t="s">
        <v>228</v>
      </c>
      <c r="B5" s="41" t="s">
        <v>162</v>
      </c>
      <c r="C5" s="42" t="s">
        <v>257</v>
      </c>
      <c r="D5" s="46">
        <v>40000</v>
      </c>
      <c r="E5" s="46">
        <f t="shared" si="0"/>
        <v>400</v>
      </c>
      <c r="F5" s="46">
        <v>0</v>
      </c>
      <c r="G5" s="46">
        <f t="shared" si="1"/>
        <v>39600</v>
      </c>
      <c r="H5" s="46">
        <v>39600</v>
      </c>
      <c r="I5" s="46">
        <f t="shared" si="2"/>
        <v>0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x14ac:dyDescent="0.25">
      <c r="A6" s="41" t="s">
        <v>296</v>
      </c>
      <c r="B6" s="41" t="s">
        <v>162</v>
      </c>
      <c r="C6" s="42" t="s">
        <v>297</v>
      </c>
      <c r="D6" s="46">
        <v>30000</v>
      </c>
      <c r="E6" s="46">
        <f t="shared" si="0"/>
        <v>300</v>
      </c>
      <c r="F6" s="46">
        <v>0</v>
      </c>
      <c r="G6" s="46">
        <f t="shared" si="1"/>
        <v>29700</v>
      </c>
      <c r="H6" s="46">
        <v>29700</v>
      </c>
      <c r="I6" s="46">
        <f t="shared" si="2"/>
        <v>0</v>
      </c>
    </row>
    <row r="7" spans="1:27" x14ac:dyDescent="0.25">
      <c r="A7" s="41" t="s">
        <v>266</v>
      </c>
      <c r="B7" s="41" t="s">
        <v>162</v>
      </c>
      <c r="C7" s="42" t="s">
        <v>267</v>
      </c>
      <c r="D7" s="46">
        <v>40000</v>
      </c>
      <c r="E7" s="46">
        <f t="shared" si="0"/>
        <v>400</v>
      </c>
      <c r="F7" s="46">
        <v>0</v>
      </c>
      <c r="G7" s="46">
        <f t="shared" si="1"/>
        <v>39600</v>
      </c>
      <c r="H7" s="46">
        <v>39600</v>
      </c>
      <c r="I7" s="46">
        <f t="shared" si="2"/>
        <v>0</v>
      </c>
    </row>
    <row r="8" spans="1:27" x14ac:dyDescent="0.25">
      <c r="A8" s="41" t="s">
        <v>298</v>
      </c>
      <c r="B8" s="41" t="s">
        <v>162</v>
      </c>
      <c r="C8" s="42" t="s">
        <v>299</v>
      </c>
      <c r="D8" s="46">
        <v>40000</v>
      </c>
      <c r="E8" s="46">
        <f t="shared" si="0"/>
        <v>400</v>
      </c>
      <c r="F8" s="46">
        <v>5000</v>
      </c>
      <c r="G8" s="46">
        <f t="shared" si="1"/>
        <v>44600</v>
      </c>
      <c r="H8" s="46">
        <v>44600</v>
      </c>
      <c r="I8" s="46">
        <f t="shared" si="2"/>
        <v>0</v>
      </c>
    </row>
    <row r="9" spans="1:27" x14ac:dyDescent="0.25">
      <c r="A9" s="41" t="s">
        <v>259</v>
      </c>
      <c r="B9" s="41" t="s">
        <v>162</v>
      </c>
      <c r="C9" s="42" t="s">
        <v>260</v>
      </c>
      <c r="D9" s="46">
        <v>30000</v>
      </c>
      <c r="E9" s="46">
        <f t="shared" si="0"/>
        <v>300</v>
      </c>
      <c r="F9" s="46">
        <v>0</v>
      </c>
      <c r="G9" s="46">
        <f t="shared" si="1"/>
        <v>29700</v>
      </c>
      <c r="H9" s="46">
        <v>29700</v>
      </c>
      <c r="I9" s="46">
        <f t="shared" si="2"/>
        <v>0</v>
      </c>
    </row>
    <row r="10" spans="1:27" x14ac:dyDescent="0.25">
      <c r="A10" s="41" t="s">
        <v>263</v>
      </c>
      <c r="B10" s="41" t="s">
        <v>95</v>
      </c>
      <c r="C10" s="42" t="s">
        <v>265</v>
      </c>
      <c r="D10" s="46">
        <v>20000</v>
      </c>
      <c r="E10" s="46">
        <f t="shared" si="0"/>
        <v>200</v>
      </c>
      <c r="F10" s="46">
        <v>0</v>
      </c>
      <c r="G10" s="46">
        <f t="shared" si="1"/>
        <v>19800</v>
      </c>
      <c r="H10" s="46">
        <v>19800</v>
      </c>
      <c r="I10" s="46">
        <f t="shared" si="2"/>
        <v>0</v>
      </c>
    </row>
    <row r="11" spans="1:27" x14ac:dyDescent="0.25">
      <c r="A11" s="40"/>
      <c r="B11" s="40"/>
      <c r="C11" s="48"/>
      <c r="D11" s="49">
        <f t="shared" ref="D11:I11" si="3">SUM(D3:D10)</f>
        <v>295000</v>
      </c>
      <c r="E11" s="49">
        <f t="shared" si="3"/>
        <v>2950</v>
      </c>
      <c r="F11" s="49">
        <f t="shared" si="3"/>
        <v>10000</v>
      </c>
      <c r="G11" s="49">
        <f t="shared" si="3"/>
        <v>302050</v>
      </c>
      <c r="H11" s="49">
        <f t="shared" si="3"/>
        <v>302050</v>
      </c>
      <c r="I11" s="49">
        <f t="shared" si="3"/>
        <v>0</v>
      </c>
    </row>
    <row r="12" spans="1:27" x14ac:dyDescent="0.25">
      <c r="C12" s="57"/>
    </row>
    <row r="13" spans="1:27" x14ac:dyDescent="0.25">
      <c r="A13" s="40" t="s">
        <v>72</v>
      </c>
      <c r="B13" s="41"/>
      <c r="C13" s="42"/>
      <c r="D13" s="41"/>
      <c r="E13" s="41"/>
      <c r="F13" s="41"/>
      <c r="G13" s="46"/>
      <c r="H13" s="41"/>
      <c r="I13" s="46"/>
    </row>
    <row r="14" spans="1:27" x14ac:dyDescent="0.25">
      <c r="A14" s="41" t="s">
        <v>236</v>
      </c>
      <c r="B14" s="41" t="s">
        <v>162</v>
      </c>
      <c r="C14" s="42" t="s">
        <v>207</v>
      </c>
      <c r="D14" s="46">
        <v>50000</v>
      </c>
      <c r="E14" s="46">
        <f t="shared" ref="E14:E23" si="4">D14*0.01</f>
        <v>500</v>
      </c>
      <c r="F14" s="46">
        <v>5000</v>
      </c>
      <c r="G14" s="46">
        <f t="shared" ref="G14:G23" si="5">SUM(D14,F14)-E14</f>
        <v>54500</v>
      </c>
      <c r="H14" s="46">
        <v>54500</v>
      </c>
      <c r="I14" s="46">
        <f t="shared" ref="I14:I23" si="6">G14-H14</f>
        <v>0</v>
      </c>
    </row>
    <row r="15" spans="1:27" x14ac:dyDescent="0.25">
      <c r="A15" s="41" t="s">
        <v>226</v>
      </c>
      <c r="B15" s="41" t="s">
        <v>53</v>
      </c>
      <c r="C15" s="42" t="s">
        <v>227</v>
      </c>
      <c r="D15" s="46">
        <v>45000</v>
      </c>
      <c r="E15" s="46">
        <f t="shared" si="4"/>
        <v>450</v>
      </c>
      <c r="F15" s="46">
        <v>1400</v>
      </c>
      <c r="G15" s="46">
        <f t="shared" si="5"/>
        <v>45950</v>
      </c>
      <c r="H15" s="46">
        <v>45950</v>
      </c>
      <c r="I15" s="46">
        <f t="shared" si="6"/>
        <v>0</v>
      </c>
    </row>
    <row r="16" spans="1:27" x14ac:dyDescent="0.25">
      <c r="A16" s="41" t="s">
        <v>228</v>
      </c>
      <c r="B16" s="41" t="s">
        <v>162</v>
      </c>
      <c r="C16" s="42" t="s">
        <v>257</v>
      </c>
      <c r="D16" s="46">
        <v>40000</v>
      </c>
      <c r="E16" s="46">
        <f t="shared" si="4"/>
        <v>400</v>
      </c>
      <c r="F16" s="46">
        <v>0</v>
      </c>
      <c r="G16" s="46">
        <f t="shared" si="5"/>
        <v>39600</v>
      </c>
      <c r="H16" s="46">
        <v>39600</v>
      </c>
      <c r="I16" s="46">
        <f t="shared" si="6"/>
        <v>0</v>
      </c>
    </row>
    <row r="17" spans="1:9" x14ac:dyDescent="0.25">
      <c r="A17" s="41" t="s">
        <v>296</v>
      </c>
      <c r="B17" s="41" t="s">
        <v>162</v>
      </c>
      <c r="C17" s="42" t="s">
        <v>297</v>
      </c>
      <c r="D17" s="46">
        <v>30000</v>
      </c>
      <c r="E17" s="46">
        <f t="shared" si="4"/>
        <v>300</v>
      </c>
      <c r="F17" s="46">
        <v>0</v>
      </c>
      <c r="G17" s="46">
        <f t="shared" si="5"/>
        <v>29700</v>
      </c>
      <c r="H17" s="46">
        <v>29700</v>
      </c>
      <c r="I17" s="46">
        <f t="shared" si="6"/>
        <v>0</v>
      </c>
    </row>
    <row r="18" spans="1:9" x14ac:dyDescent="0.25">
      <c r="A18" s="41" t="s">
        <v>266</v>
      </c>
      <c r="B18" s="41" t="s">
        <v>162</v>
      </c>
      <c r="C18" s="42" t="s">
        <v>267</v>
      </c>
      <c r="D18" s="46">
        <v>40000</v>
      </c>
      <c r="E18" s="46">
        <f t="shared" si="4"/>
        <v>400</v>
      </c>
      <c r="F18" s="46">
        <v>0</v>
      </c>
      <c r="G18" s="46">
        <f t="shared" si="5"/>
        <v>39600</v>
      </c>
      <c r="H18" s="46">
        <v>39600</v>
      </c>
      <c r="I18" s="46">
        <f t="shared" si="6"/>
        <v>0</v>
      </c>
    </row>
    <row r="19" spans="1:9" x14ac:dyDescent="0.25">
      <c r="A19" s="41" t="s">
        <v>298</v>
      </c>
      <c r="B19" s="41" t="s">
        <v>162</v>
      </c>
      <c r="C19" s="42" t="s">
        <v>299</v>
      </c>
      <c r="D19" s="46">
        <v>40000</v>
      </c>
      <c r="E19" s="46">
        <f t="shared" si="4"/>
        <v>400</v>
      </c>
      <c r="F19" s="46">
        <v>5000</v>
      </c>
      <c r="G19" s="46">
        <f t="shared" si="5"/>
        <v>44600</v>
      </c>
      <c r="H19" s="46">
        <v>44600</v>
      </c>
      <c r="I19" s="46">
        <f t="shared" si="6"/>
        <v>0</v>
      </c>
    </row>
    <row r="20" spans="1:9" x14ac:dyDescent="0.25">
      <c r="A20" s="41" t="s">
        <v>300</v>
      </c>
      <c r="B20" s="41" t="s">
        <v>162</v>
      </c>
      <c r="C20" s="42" t="s">
        <v>301</v>
      </c>
      <c r="D20" s="46">
        <v>30000</v>
      </c>
      <c r="E20" s="46">
        <f t="shared" si="4"/>
        <v>300</v>
      </c>
      <c r="F20" s="46">
        <v>0</v>
      </c>
      <c r="G20" s="46">
        <f t="shared" si="5"/>
        <v>29700</v>
      </c>
      <c r="H20" s="46">
        <v>29700</v>
      </c>
      <c r="I20" s="46">
        <f t="shared" si="6"/>
        <v>0</v>
      </c>
    </row>
    <row r="21" spans="1:9" x14ac:dyDescent="0.25">
      <c r="A21" s="41" t="s">
        <v>302</v>
      </c>
      <c r="B21" s="41" t="s">
        <v>162</v>
      </c>
      <c r="C21" s="42" t="s">
        <v>303</v>
      </c>
      <c r="D21" s="46">
        <v>30000</v>
      </c>
      <c r="E21" s="46">
        <f t="shared" si="4"/>
        <v>300</v>
      </c>
      <c r="F21" s="46">
        <v>0</v>
      </c>
      <c r="G21" s="46">
        <f t="shared" si="5"/>
        <v>29700</v>
      </c>
      <c r="H21" s="46">
        <v>29700</v>
      </c>
      <c r="I21" s="46">
        <f t="shared" si="6"/>
        <v>0</v>
      </c>
    </row>
    <row r="22" spans="1:9" x14ac:dyDescent="0.25">
      <c r="A22" s="41" t="s">
        <v>259</v>
      </c>
      <c r="B22" s="41" t="s">
        <v>162</v>
      </c>
      <c r="C22" s="42" t="s">
        <v>260</v>
      </c>
      <c r="D22" s="46">
        <v>30000</v>
      </c>
      <c r="E22" s="46">
        <f t="shared" si="4"/>
        <v>300</v>
      </c>
      <c r="F22" s="46">
        <v>0</v>
      </c>
      <c r="G22" s="46">
        <f t="shared" si="5"/>
        <v>29700</v>
      </c>
      <c r="H22" s="46">
        <v>29700</v>
      </c>
      <c r="I22" s="46">
        <f t="shared" si="6"/>
        <v>0</v>
      </c>
    </row>
    <row r="23" spans="1:9" x14ac:dyDescent="0.25">
      <c r="A23" s="41" t="s">
        <v>263</v>
      </c>
      <c r="B23" s="41" t="s">
        <v>95</v>
      </c>
      <c r="C23" s="42" t="s">
        <v>265</v>
      </c>
      <c r="D23" s="46">
        <v>20000</v>
      </c>
      <c r="E23" s="46">
        <f t="shared" si="4"/>
        <v>200</v>
      </c>
      <c r="F23" s="46">
        <v>0</v>
      </c>
      <c r="G23" s="46">
        <f t="shared" si="5"/>
        <v>19800</v>
      </c>
      <c r="H23" s="46">
        <v>19800</v>
      </c>
      <c r="I23" s="46">
        <f t="shared" si="6"/>
        <v>0</v>
      </c>
    </row>
    <row r="24" spans="1:9" x14ac:dyDescent="0.25">
      <c r="A24" s="40"/>
      <c r="B24" s="40"/>
      <c r="C24" s="48"/>
      <c r="D24" s="49">
        <f t="shared" ref="D24:I24" si="7">SUM(D14:D23)</f>
        <v>355000</v>
      </c>
      <c r="E24" s="49">
        <f t="shared" si="7"/>
        <v>3550</v>
      </c>
      <c r="F24" s="49">
        <f t="shared" si="7"/>
        <v>11400</v>
      </c>
      <c r="G24" s="49">
        <f t="shared" si="7"/>
        <v>362850</v>
      </c>
      <c r="H24" s="49">
        <f t="shared" si="7"/>
        <v>362850</v>
      </c>
      <c r="I24" s="49">
        <f t="shared" si="7"/>
        <v>0</v>
      </c>
    </row>
    <row r="25" spans="1:9" x14ac:dyDescent="0.25">
      <c r="C25" s="57"/>
    </row>
    <row r="26" spans="1:9" x14ac:dyDescent="0.25">
      <c r="A26" s="40" t="s">
        <v>73</v>
      </c>
      <c r="B26" s="41"/>
      <c r="C26" s="42"/>
      <c r="D26" s="41"/>
      <c r="E26" s="41"/>
      <c r="F26" s="41"/>
      <c r="G26" s="46"/>
      <c r="H26" s="41"/>
      <c r="I26" s="46"/>
    </row>
    <row r="27" spans="1:9" x14ac:dyDescent="0.25">
      <c r="A27" s="41" t="s">
        <v>236</v>
      </c>
      <c r="B27" s="41" t="s">
        <v>162</v>
      </c>
      <c r="C27" s="42" t="s">
        <v>207</v>
      </c>
      <c r="D27" s="46">
        <v>50000</v>
      </c>
      <c r="E27" s="46">
        <f t="shared" ref="E27:E36" si="8">D27*0.01</f>
        <v>500</v>
      </c>
      <c r="F27" s="46">
        <v>5000</v>
      </c>
      <c r="G27" s="46">
        <f t="shared" ref="G27:G36" si="9">SUM(D27,F27)-E27</f>
        <v>54500</v>
      </c>
      <c r="H27" s="46">
        <v>54500</v>
      </c>
      <c r="I27" s="46">
        <f t="shared" ref="I27:I36" si="10">G27-H27</f>
        <v>0</v>
      </c>
    </row>
    <row r="28" spans="1:9" x14ac:dyDescent="0.25">
      <c r="A28" s="41" t="s">
        <v>226</v>
      </c>
      <c r="B28" s="41" t="s">
        <v>53</v>
      </c>
      <c r="C28" s="42" t="s">
        <v>227</v>
      </c>
      <c r="D28" s="46">
        <v>45000</v>
      </c>
      <c r="E28" s="46">
        <f t="shared" si="8"/>
        <v>450</v>
      </c>
      <c r="F28" s="46">
        <v>0</v>
      </c>
      <c r="G28" s="46">
        <f t="shared" si="9"/>
        <v>44550</v>
      </c>
      <c r="H28" s="46">
        <v>44550</v>
      </c>
      <c r="I28" s="46">
        <f t="shared" si="10"/>
        <v>0</v>
      </c>
    </row>
    <row r="29" spans="1:9" x14ac:dyDescent="0.25">
      <c r="A29" s="41" t="s">
        <v>228</v>
      </c>
      <c r="B29" s="41" t="s">
        <v>162</v>
      </c>
      <c r="C29" s="42" t="s">
        <v>257</v>
      </c>
      <c r="D29" s="46">
        <v>40000</v>
      </c>
      <c r="E29" s="46">
        <f t="shared" si="8"/>
        <v>400</v>
      </c>
      <c r="F29" s="46">
        <v>0</v>
      </c>
      <c r="G29" s="46">
        <f t="shared" si="9"/>
        <v>39600</v>
      </c>
      <c r="H29" s="46">
        <v>39600</v>
      </c>
      <c r="I29" s="46">
        <f t="shared" si="10"/>
        <v>0</v>
      </c>
    </row>
    <row r="30" spans="1:9" x14ac:dyDescent="0.25">
      <c r="A30" s="41" t="s">
        <v>296</v>
      </c>
      <c r="B30" s="41" t="s">
        <v>162</v>
      </c>
      <c r="C30" s="42" t="s">
        <v>297</v>
      </c>
      <c r="D30" s="46">
        <v>30000</v>
      </c>
      <c r="E30" s="46">
        <f t="shared" si="8"/>
        <v>300</v>
      </c>
      <c r="F30" s="46">
        <v>0</v>
      </c>
      <c r="G30" s="46">
        <f t="shared" si="9"/>
        <v>29700</v>
      </c>
      <c r="H30" s="46">
        <v>29700</v>
      </c>
      <c r="I30" s="46">
        <f t="shared" si="10"/>
        <v>0</v>
      </c>
    </row>
    <row r="31" spans="1:9" x14ac:dyDescent="0.25">
      <c r="A31" s="41" t="s">
        <v>266</v>
      </c>
      <c r="B31" s="41" t="s">
        <v>162</v>
      </c>
      <c r="C31" s="42" t="s">
        <v>267</v>
      </c>
      <c r="D31" s="46">
        <v>40000</v>
      </c>
      <c r="E31" s="46">
        <f t="shared" si="8"/>
        <v>400</v>
      </c>
      <c r="F31" s="46">
        <v>0</v>
      </c>
      <c r="G31" s="46">
        <f t="shared" si="9"/>
        <v>39600</v>
      </c>
      <c r="H31" s="46">
        <v>39600</v>
      </c>
      <c r="I31" s="46">
        <f t="shared" si="10"/>
        <v>0</v>
      </c>
    </row>
    <row r="32" spans="1:9" x14ac:dyDescent="0.25">
      <c r="A32" s="41" t="s">
        <v>298</v>
      </c>
      <c r="B32" s="41" t="s">
        <v>162</v>
      </c>
      <c r="C32" s="42" t="s">
        <v>299</v>
      </c>
      <c r="D32" s="46">
        <v>40000</v>
      </c>
      <c r="E32" s="46">
        <f t="shared" si="8"/>
        <v>400</v>
      </c>
      <c r="F32" s="46">
        <v>5000</v>
      </c>
      <c r="G32" s="46">
        <f t="shared" si="9"/>
        <v>44600</v>
      </c>
      <c r="H32" s="46">
        <v>44600</v>
      </c>
      <c r="I32" s="46">
        <f t="shared" si="10"/>
        <v>0</v>
      </c>
    </row>
    <row r="33" spans="1:9" x14ac:dyDescent="0.25">
      <c r="A33" s="41" t="s">
        <v>300</v>
      </c>
      <c r="B33" s="41" t="s">
        <v>162</v>
      </c>
      <c r="C33" s="42" t="s">
        <v>301</v>
      </c>
      <c r="D33" s="46">
        <v>30000</v>
      </c>
      <c r="E33" s="46">
        <f t="shared" si="8"/>
        <v>300</v>
      </c>
      <c r="F33" s="46">
        <v>0</v>
      </c>
      <c r="G33" s="46">
        <f t="shared" si="9"/>
        <v>29700</v>
      </c>
      <c r="H33" s="46">
        <v>29700</v>
      </c>
      <c r="I33" s="46">
        <f t="shared" si="10"/>
        <v>0</v>
      </c>
    </row>
    <row r="34" spans="1:9" x14ac:dyDescent="0.25">
      <c r="A34" s="41" t="s">
        <v>302</v>
      </c>
      <c r="B34" s="41" t="s">
        <v>162</v>
      </c>
      <c r="C34" s="42" t="s">
        <v>303</v>
      </c>
      <c r="D34" s="46">
        <v>30000</v>
      </c>
      <c r="E34" s="46">
        <f t="shared" si="8"/>
        <v>300</v>
      </c>
      <c r="F34" s="46">
        <v>0</v>
      </c>
      <c r="G34" s="46">
        <f t="shared" si="9"/>
        <v>29700</v>
      </c>
      <c r="H34" s="46">
        <v>29700</v>
      </c>
      <c r="I34" s="46">
        <f t="shared" si="10"/>
        <v>0</v>
      </c>
    </row>
    <row r="35" spans="1:9" x14ac:dyDescent="0.25">
      <c r="A35" s="41" t="s">
        <v>259</v>
      </c>
      <c r="B35" s="41" t="s">
        <v>162</v>
      </c>
      <c r="C35" s="42" t="s">
        <v>260</v>
      </c>
      <c r="D35" s="46">
        <v>30000</v>
      </c>
      <c r="E35" s="46">
        <f t="shared" si="8"/>
        <v>300</v>
      </c>
      <c r="F35" s="46">
        <v>-7000</v>
      </c>
      <c r="G35" s="46">
        <f t="shared" si="9"/>
        <v>22700</v>
      </c>
      <c r="H35" s="46">
        <v>22700</v>
      </c>
      <c r="I35" s="46">
        <f t="shared" si="10"/>
        <v>0</v>
      </c>
    </row>
    <row r="36" spans="1:9" x14ac:dyDescent="0.25">
      <c r="A36" s="41" t="s">
        <v>263</v>
      </c>
      <c r="B36" s="41" t="s">
        <v>95</v>
      </c>
      <c r="C36" s="42" t="s">
        <v>265</v>
      </c>
      <c r="D36" s="46">
        <v>20000</v>
      </c>
      <c r="E36" s="46">
        <f t="shared" si="8"/>
        <v>200</v>
      </c>
      <c r="F36" s="46">
        <v>0</v>
      </c>
      <c r="G36" s="46">
        <f t="shared" si="9"/>
        <v>19800</v>
      </c>
      <c r="H36" s="46">
        <v>19800</v>
      </c>
      <c r="I36" s="46">
        <f t="shared" si="10"/>
        <v>0</v>
      </c>
    </row>
    <row r="37" spans="1:9" x14ac:dyDescent="0.25">
      <c r="A37" s="40"/>
      <c r="B37" s="40"/>
      <c r="C37" s="48"/>
      <c r="D37" s="49">
        <f t="shared" ref="D37:I37" si="11">SUM(D27:D36)</f>
        <v>355000</v>
      </c>
      <c r="E37" s="49">
        <f t="shared" si="11"/>
        <v>3550</v>
      </c>
      <c r="F37" s="49">
        <f t="shared" si="11"/>
        <v>3000</v>
      </c>
      <c r="G37" s="49">
        <f t="shared" si="11"/>
        <v>354450</v>
      </c>
      <c r="H37" s="49">
        <f t="shared" si="11"/>
        <v>354450</v>
      </c>
      <c r="I37" s="49">
        <f t="shared" si="11"/>
        <v>0</v>
      </c>
    </row>
    <row r="38" spans="1:9" x14ac:dyDescent="0.25">
      <c r="C38" s="57"/>
    </row>
    <row r="39" spans="1:9" x14ac:dyDescent="0.25">
      <c r="A39" s="40" t="s">
        <v>78</v>
      </c>
      <c r="B39" s="41"/>
      <c r="C39" s="42"/>
      <c r="D39" s="41"/>
      <c r="E39" s="41"/>
      <c r="F39" s="41"/>
      <c r="G39" s="46"/>
      <c r="H39" s="41"/>
      <c r="I39" s="46"/>
    </row>
    <row r="40" spans="1:9" x14ac:dyDescent="0.25">
      <c r="A40" s="41" t="s">
        <v>236</v>
      </c>
      <c r="B40" s="41" t="s">
        <v>162</v>
      </c>
      <c r="C40" s="42" t="s">
        <v>207</v>
      </c>
      <c r="D40" s="46">
        <f>D27*(9/22)</f>
        <v>20454.545454545456</v>
      </c>
      <c r="E40" s="46">
        <f t="shared" ref="E40:E49" si="12">D40*0.01</f>
        <v>204.54545454545456</v>
      </c>
      <c r="F40" s="46">
        <v>0</v>
      </c>
      <c r="G40" s="46">
        <f t="shared" ref="G40:G49" si="13">SUM(D40,F40)-E40</f>
        <v>20250</v>
      </c>
      <c r="H40" s="46">
        <v>20250</v>
      </c>
      <c r="I40" s="46">
        <f t="shared" ref="I40:I49" si="14">G40-H40</f>
        <v>0</v>
      </c>
    </row>
    <row r="41" spans="1:9" x14ac:dyDescent="0.25">
      <c r="A41" s="41" t="s">
        <v>226</v>
      </c>
      <c r="B41" s="41" t="s">
        <v>53</v>
      </c>
      <c r="C41" s="42" t="s">
        <v>227</v>
      </c>
      <c r="D41" s="46">
        <f>D28*(8/22)</f>
        <v>16363.636363636364</v>
      </c>
      <c r="E41" s="46">
        <f t="shared" si="12"/>
        <v>163.63636363636365</v>
      </c>
      <c r="F41" s="46">
        <v>0</v>
      </c>
      <c r="G41" s="46">
        <f t="shared" si="13"/>
        <v>16200</v>
      </c>
      <c r="H41" s="46">
        <v>16200</v>
      </c>
      <c r="I41" s="46">
        <f t="shared" si="14"/>
        <v>0</v>
      </c>
    </row>
    <row r="42" spans="1:9" x14ac:dyDescent="0.25">
      <c r="A42" s="41" t="s">
        <v>228</v>
      </c>
      <c r="B42" s="41" t="s">
        <v>162</v>
      </c>
      <c r="C42" s="42" t="s">
        <v>257</v>
      </c>
      <c r="D42" s="46">
        <f>D29*(9/22)</f>
        <v>16363.636363636364</v>
      </c>
      <c r="E42" s="46">
        <f t="shared" si="12"/>
        <v>163.63636363636365</v>
      </c>
      <c r="F42" s="46">
        <v>0</v>
      </c>
      <c r="G42" s="46">
        <f t="shared" si="13"/>
        <v>16200</v>
      </c>
      <c r="H42" s="46">
        <v>16200</v>
      </c>
      <c r="I42" s="46">
        <f t="shared" si="14"/>
        <v>0</v>
      </c>
    </row>
    <row r="43" spans="1:9" x14ac:dyDescent="0.25">
      <c r="A43" s="41" t="s">
        <v>296</v>
      </c>
      <c r="B43" s="41" t="s">
        <v>162</v>
      </c>
      <c r="C43" s="42" t="s">
        <v>297</v>
      </c>
      <c r="D43" s="46">
        <f>D30*(8/22)</f>
        <v>10909.09090909091</v>
      </c>
      <c r="E43" s="46">
        <f t="shared" si="12"/>
        <v>109.09090909090911</v>
      </c>
      <c r="F43" s="46">
        <v>0</v>
      </c>
      <c r="G43" s="46">
        <f t="shared" si="13"/>
        <v>10800</v>
      </c>
      <c r="H43" s="46">
        <v>10800</v>
      </c>
      <c r="I43" s="46">
        <f t="shared" si="14"/>
        <v>0</v>
      </c>
    </row>
    <row r="44" spans="1:9" x14ac:dyDescent="0.25">
      <c r="A44" s="41" t="s">
        <v>266</v>
      </c>
      <c r="B44" s="41" t="s">
        <v>162</v>
      </c>
      <c r="C44" s="42" t="s">
        <v>267</v>
      </c>
      <c r="D44" s="46">
        <f>D31*(7/22)</f>
        <v>12727.272727272728</v>
      </c>
      <c r="E44" s="46">
        <f t="shared" si="12"/>
        <v>127.27272727272728</v>
      </c>
      <c r="F44" s="46">
        <v>0</v>
      </c>
      <c r="G44" s="46">
        <f t="shared" si="13"/>
        <v>12600</v>
      </c>
      <c r="H44" s="46">
        <v>12600</v>
      </c>
      <c r="I44" s="46">
        <f t="shared" si="14"/>
        <v>0</v>
      </c>
    </row>
    <row r="45" spans="1:9" x14ac:dyDescent="0.25">
      <c r="A45" s="41" t="s">
        <v>298</v>
      </c>
      <c r="B45" s="41" t="s">
        <v>162</v>
      </c>
      <c r="C45" s="42" t="s">
        <v>299</v>
      </c>
      <c r="D45" s="46">
        <f>D32*(4/22)</f>
        <v>7272.727272727273</v>
      </c>
      <c r="E45" s="46">
        <f t="shared" si="12"/>
        <v>72.727272727272734</v>
      </c>
      <c r="F45" s="46">
        <v>0</v>
      </c>
      <c r="G45" s="46">
        <f t="shared" si="13"/>
        <v>7200</v>
      </c>
      <c r="H45" s="46">
        <v>7200</v>
      </c>
      <c r="I45" s="46">
        <f t="shared" si="14"/>
        <v>0</v>
      </c>
    </row>
    <row r="46" spans="1:9" x14ac:dyDescent="0.25">
      <c r="A46" s="41" t="s">
        <v>300</v>
      </c>
      <c r="B46" s="41" t="s">
        <v>162</v>
      </c>
      <c r="C46" s="42" t="s">
        <v>301</v>
      </c>
      <c r="D46" s="46">
        <f>D33*(8/22)</f>
        <v>10909.09090909091</v>
      </c>
      <c r="E46" s="46">
        <f t="shared" si="12"/>
        <v>109.09090909090911</v>
      </c>
      <c r="F46" s="46">
        <v>0</v>
      </c>
      <c r="G46" s="46">
        <f t="shared" si="13"/>
        <v>10800</v>
      </c>
      <c r="H46" s="46">
        <v>10800</v>
      </c>
      <c r="I46" s="46">
        <f t="shared" si="14"/>
        <v>0</v>
      </c>
    </row>
    <row r="47" spans="1:9" x14ac:dyDescent="0.25">
      <c r="A47" s="41" t="s">
        <v>302</v>
      </c>
      <c r="B47" s="41" t="s">
        <v>162</v>
      </c>
      <c r="C47" s="42" t="s">
        <v>303</v>
      </c>
      <c r="D47" s="46">
        <f>D34*(7/22)</f>
        <v>9545.454545454546</v>
      </c>
      <c r="E47" s="46">
        <f t="shared" si="12"/>
        <v>95.454545454545467</v>
      </c>
      <c r="F47" s="46">
        <v>0</v>
      </c>
      <c r="G47" s="46">
        <f t="shared" si="13"/>
        <v>9450</v>
      </c>
      <c r="H47" s="46">
        <v>9450</v>
      </c>
      <c r="I47" s="46">
        <f t="shared" si="14"/>
        <v>0</v>
      </c>
    </row>
    <row r="48" spans="1:9" x14ac:dyDescent="0.25">
      <c r="A48" s="41" t="s">
        <v>259</v>
      </c>
      <c r="B48" s="41" t="s">
        <v>162</v>
      </c>
      <c r="C48" s="42" t="s">
        <v>260</v>
      </c>
      <c r="D48" s="46">
        <f>D35*(9/22)</f>
        <v>12272.727272727274</v>
      </c>
      <c r="E48" s="46">
        <f t="shared" si="12"/>
        <v>122.72727272727275</v>
      </c>
      <c r="F48" s="46">
        <v>0</v>
      </c>
      <c r="G48" s="46">
        <f t="shared" si="13"/>
        <v>12150.000000000002</v>
      </c>
      <c r="H48" s="46">
        <v>12150</v>
      </c>
      <c r="I48" s="46">
        <f t="shared" si="14"/>
        <v>0</v>
      </c>
    </row>
    <row r="49" spans="1:9" x14ac:dyDescent="0.25">
      <c r="A49" s="41" t="s">
        <v>263</v>
      </c>
      <c r="B49" s="41" t="s">
        <v>95</v>
      </c>
      <c r="C49" s="42" t="s">
        <v>265</v>
      </c>
      <c r="D49" s="46">
        <f>D36*(3/22)</f>
        <v>2727.272727272727</v>
      </c>
      <c r="E49" s="46">
        <f t="shared" si="12"/>
        <v>27.27272727272727</v>
      </c>
      <c r="F49" s="46">
        <v>0</v>
      </c>
      <c r="G49" s="46">
        <f t="shared" si="13"/>
        <v>2699.9999999999995</v>
      </c>
      <c r="H49" s="46">
        <v>2700</v>
      </c>
      <c r="I49" s="46">
        <f t="shared" si="14"/>
        <v>0</v>
      </c>
    </row>
    <row r="50" spans="1:9" x14ac:dyDescent="0.25">
      <c r="A50" s="40"/>
      <c r="B50" s="40"/>
      <c r="C50" s="48"/>
      <c r="D50" s="49">
        <f t="shared" ref="D50:I50" si="15">SUM(D40:D49)</f>
        <v>119545.45454545456</v>
      </c>
      <c r="E50" s="49">
        <f t="shared" si="15"/>
        <v>1195.4545454545455</v>
      </c>
      <c r="F50" s="49">
        <f t="shared" si="15"/>
        <v>0</v>
      </c>
      <c r="G50" s="49">
        <f t="shared" si="15"/>
        <v>118350</v>
      </c>
      <c r="H50" s="49">
        <f t="shared" si="15"/>
        <v>118350</v>
      </c>
      <c r="I50" s="49">
        <f t="shared" si="15"/>
        <v>0</v>
      </c>
    </row>
    <row r="51" spans="1:9" x14ac:dyDescent="0.25">
      <c r="C51" s="57"/>
    </row>
    <row r="52" spans="1:9" x14ac:dyDescent="0.25">
      <c r="A52" s="40" t="s">
        <v>79</v>
      </c>
      <c r="B52" s="41"/>
      <c r="C52" s="42"/>
      <c r="D52" s="41"/>
      <c r="E52" s="41"/>
      <c r="F52" s="41"/>
      <c r="G52" s="46"/>
      <c r="H52" s="41"/>
      <c r="I52" s="46"/>
    </row>
    <row r="53" spans="1:9" x14ac:dyDescent="0.25">
      <c r="A53" s="41" t="s">
        <v>236</v>
      </c>
      <c r="B53" s="41" t="s">
        <v>162</v>
      </c>
      <c r="C53" s="42" t="s">
        <v>207</v>
      </c>
      <c r="D53" s="46">
        <v>50000</v>
      </c>
      <c r="E53" s="46">
        <f t="shared" ref="E53:E62" si="16">D53*0.01</f>
        <v>500</v>
      </c>
      <c r="F53" s="46">
        <v>10000</v>
      </c>
      <c r="G53" s="46">
        <f t="shared" ref="G53:G62" si="17">SUM(D53,F53)-E53</f>
        <v>59500</v>
      </c>
      <c r="H53" s="46">
        <v>59500</v>
      </c>
      <c r="I53" s="46">
        <f t="shared" ref="I53:I62" si="18">G53-H53</f>
        <v>0</v>
      </c>
    </row>
    <row r="54" spans="1:9" x14ac:dyDescent="0.25">
      <c r="A54" s="41" t="s">
        <v>226</v>
      </c>
      <c r="B54" s="41" t="s">
        <v>53</v>
      </c>
      <c r="C54" s="42" t="s">
        <v>227</v>
      </c>
      <c r="D54" s="46">
        <v>45000</v>
      </c>
      <c r="E54" s="46">
        <f t="shared" si="16"/>
        <v>450</v>
      </c>
      <c r="F54" s="46">
        <v>0</v>
      </c>
      <c r="G54" s="46">
        <f t="shared" si="17"/>
        <v>44550</v>
      </c>
      <c r="H54" s="46">
        <v>44550</v>
      </c>
      <c r="I54" s="46">
        <f t="shared" si="18"/>
        <v>0</v>
      </c>
    </row>
    <row r="55" spans="1:9" x14ac:dyDescent="0.25">
      <c r="A55" s="41" t="s">
        <v>228</v>
      </c>
      <c r="B55" s="41" t="s">
        <v>162</v>
      </c>
      <c r="C55" s="42" t="s">
        <v>257</v>
      </c>
      <c r="D55" s="46">
        <v>40000</v>
      </c>
      <c r="E55" s="46">
        <f t="shared" si="16"/>
        <v>400</v>
      </c>
      <c r="F55" s="46">
        <v>0</v>
      </c>
      <c r="G55" s="46">
        <f t="shared" si="17"/>
        <v>39600</v>
      </c>
      <c r="H55" s="46">
        <v>39600</v>
      </c>
      <c r="I55" s="46">
        <f t="shared" si="18"/>
        <v>0</v>
      </c>
    </row>
    <row r="56" spans="1:9" x14ac:dyDescent="0.25">
      <c r="A56" s="41" t="s">
        <v>296</v>
      </c>
      <c r="B56" s="41" t="s">
        <v>162</v>
      </c>
      <c r="C56" s="42" t="s">
        <v>297</v>
      </c>
      <c r="D56" s="46">
        <v>30000</v>
      </c>
      <c r="E56" s="46">
        <f t="shared" si="16"/>
        <v>300</v>
      </c>
      <c r="F56" s="46">
        <v>0</v>
      </c>
      <c r="G56" s="46">
        <f t="shared" si="17"/>
        <v>29700</v>
      </c>
      <c r="H56" s="46">
        <v>29700</v>
      </c>
      <c r="I56" s="46">
        <f t="shared" si="18"/>
        <v>0</v>
      </c>
    </row>
    <row r="57" spans="1:9" x14ac:dyDescent="0.25">
      <c r="A57" s="41" t="s">
        <v>266</v>
      </c>
      <c r="B57" s="41" t="s">
        <v>162</v>
      </c>
      <c r="C57" s="42" t="s">
        <v>267</v>
      </c>
      <c r="D57" s="46">
        <v>40000</v>
      </c>
      <c r="E57" s="46">
        <f t="shared" si="16"/>
        <v>400</v>
      </c>
      <c r="F57" s="46">
        <v>0</v>
      </c>
      <c r="G57" s="46">
        <f t="shared" si="17"/>
        <v>39600</v>
      </c>
      <c r="H57" s="46">
        <v>39600</v>
      </c>
      <c r="I57" s="46">
        <f t="shared" si="18"/>
        <v>0</v>
      </c>
    </row>
    <row r="58" spans="1:9" x14ac:dyDescent="0.25">
      <c r="A58" s="41" t="s">
        <v>298</v>
      </c>
      <c r="B58" s="41" t="s">
        <v>162</v>
      </c>
      <c r="C58" s="42" t="s">
        <v>299</v>
      </c>
      <c r="D58" s="46">
        <v>45000</v>
      </c>
      <c r="E58" s="46">
        <f t="shared" si="16"/>
        <v>450</v>
      </c>
      <c r="F58" s="46">
        <v>0</v>
      </c>
      <c r="G58" s="46">
        <f t="shared" si="17"/>
        <v>44550</v>
      </c>
      <c r="H58" s="46">
        <v>44550</v>
      </c>
      <c r="I58" s="46">
        <f t="shared" si="18"/>
        <v>0</v>
      </c>
    </row>
    <row r="59" spans="1:9" x14ac:dyDescent="0.25">
      <c r="A59" s="41" t="s">
        <v>300</v>
      </c>
      <c r="B59" s="41" t="s">
        <v>162</v>
      </c>
      <c r="C59" s="42" t="s">
        <v>301</v>
      </c>
      <c r="D59" s="46">
        <v>30000</v>
      </c>
      <c r="E59" s="46">
        <f t="shared" si="16"/>
        <v>300</v>
      </c>
      <c r="F59" s="46">
        <v>0</v>
      </c>
      <c r="G59" s="46">
        <f t="shared" si="17"/>
        <v>29700</v>
      </c>
      <c r="H59" s="46">
        <v>29700</v>
      </c>
      <c r="I59" s="46">
        <f t="shared" si="18"/>
        <v>0</v>
      </c>
    </row>
    <row r="60" spans="1:9" x14ac:dyDescent="0.25">
      <c r="A60" s="41" t="s">
        <v>302</v>
      </c>
      <c r="B60" s="41" t="s">
        <v>162</v>
      </c>
      <c r="C60" s="42" t="s">
        <v>303</v>
      </c>
      <c r="D60" s="46">
        <v>30000</v>
      </c>
      <c r="E60" s="46">
        <f t="shared" si="16"/>
        <v>300</v>
      </c>
      <c r="F60" s="46">
        <v>0</v>
      </c>
      <c r="G60" s="46">
        <f t="shared" si="17"/>
        <v>29700</v>
      </c>
      <c r="H60" s="46">
        <v>29700</v>
      </c>
      <c r="I60" s="46">
        <f t="shared" si="18"/>
        <v>0</v>
      </c>
    </row>
    <row r="61" spans="1:9" x14ac:dyDescent="0.25">
      <c r="A61" s="41" t="s">
        <v>259</v>
      </c>
      <c r="B61" s="41" t="s">
        <v>162</v>
      </c>
      <c r="C61" s="42" t="s">
        <v>260</v>
      </c>
      <c r="D61" s="46">
        <v>30000</v>
      </c>
      <c r="E61" s="46">
        <f t="shared" si="16"/>
        <v>300</v>
      </c>
      <c r="F61" s="46">
        <v>0</v>
      </c>
      <c r="G61" s="46">
        <f t="shared" si="17"/>
        <v>29700</v>
      </c>
      <c r="H61" s="46">
        <v>29700</v>
      </c>
      <c r="I61" s="46">
        <f t="shared" si="18"/>
        <v>0</v>
      </c>
    </row>
    <row r="62" spans="1:9" x14ac:dyDescent="0.25">
      <c r="A62" s="41" t="s">
        <v>263</v>
      </c>
      <c r="B62" s="41" t="s">
        <v>95</v>
      </c>
      <c r="C62" s="42" t="s">
        <v>265</v>
      </c>
      <c r="D62" s="46">
        <v>25000</v>
      </c>
      <c r="E62" s="46">
        <f t="shared" si="16"/>
        <v>250</v>
      </c>
      <c r="F62" s="46">
        <v>0</v>
      </c>
      <c r="G62" s="46">
        <f t="shared" si="17"/>
        <v>24750</v>
      </c>
      <c r="H62" s="46">
        <v>24750</v>
      </c>
      <c r="I62" s="46">
        <f t="shared" si="18"/>
        <v>0</v>
      </c>
    </row>
    <row r="63" spans="1:9" x14ac:dyDescent="0.25">
      <c r="A63" s="40"/>
      <c r="B63" s="40"/>
      <c r="C63" s="48"/>
      <c r="D63" s="49">
        <f t="shared" ref="D63:I63" si="19">SUM(D53:D62)</f>
        <v>365000</v>
      </c>
      <c r="E63" s="49">
        <f t="shared" si="19"/>
        <v>3650</v>
      </c>
      <c r="F63" s="49">
        <f t="shared" si="19"/>
        <v>10000</v>
      </c>
      <c r="G63" s="49">
        <f t="shared" si="19"/>
        <v>371350</v>
      </c>
      <c r="H63" s="49">
        <f t="shared" si="19"/>
        <v>371350</v>
      </c>
      <c r="I63" s="49">
        <f t="shared" si="19"/>
        <v>0</v>
      </c>
    </row>
    <row r="64" spans="1:9" x14ac:dyDescent="0.25">
      <c r="C64" s="57"/>
    </row>
    <row r="65" spans="1:9" x14ac:dyDescent="0.25">
      <c r="A65" s="40" t="s">
        <v>97</v>
      </c>
      <c r="B65" s="41"/>
      <c r="C65" s="42"/>
      <c r="D65" s="41"/>
      <c r="E65" s="41"/>
      <c r="F65" s="41"/>
      <c r="G65" s="46"/>
      <c r="H65" s="41"/>
      <c r="I65" s="46"/>
    </row>
    <row r="66" spans="1:9" x14ac:dyDescent="0.25">
      <c r="A66" s="41" t="s">
        <v>236</v>
      </c>
      <c r="B66" s="41" t="s">
        <v>162</v>
      </c>
      <c r="C66" s="42" t="s">
        <v>207</v>
      </c>
      <c r="D66" s="46">
        <v>50000</v>
      </c>
      <c r="E66" s="46">
        <f t="shared" ref="E66:E75" si="20">D66*0.01</f>
        <v>500</v>
      </c>
      <c r="F66" s="46">
        <v>10000</v>
      </c>
      <c r="G66" s="46">
        <f t="shared" ref="G66:G75" si="21">SUM(D66,F66)-E66</f>
        <v>59500</v>
      </c>
      <c r="H66" s="46">
        <v>59500</v>
      </c>
      <c r="I66" s="46">
        <f t="shared" ref="I66:I75" si="22">G66-H66</f>
        <v>0</v>
      </c>
    </row>
    <row r="67" spans="1:9" x14ac:dyDescent="0.25">
      <c r="A67" s="41" t="s">
        <v>226</v>
      </c>
      <c r="B67" s="41" t="s">
        <v>53</v>
      </c>
      <c r="C67" s="42" t="s">
        <v>227</v>
      </c>
      <c r="D67" s="46">
        <v>45000</v>
      </c>
      <c r="E67" s="46">
        <f t="shared" si="20"/>
        <v>450</v>
      </c>
      <c r="F67" s="46">
        <v>0</v>
      </c>
      <c r="G67" s="46">
        <f t="shared" si="21"/>
        <v>44550</v>
      </c>
      <c r="H67" s="46">
        <v>44550</v>
      </c>
      <c r="I67" s="46">
        <f t="shared" si="22"/>
        <v>0</v>
      </c>
    </row>
    <row r="68" spans="1:9" x14ac:dyDescent="0.25">
      <c r="A68" s="41" t="s">
        <v>228</v>
      </c>
      <c r="B68" s="41" t="s">
        <v>162</v>
      </c>
      <c r="C68" s="42" t="s">
        <v>257</v>
      </c>
      <c r="D68" s="46">
        <v>40000</v>
      </c>
      <c r="E68" s="46">
        <f t="shared" si="20"/>
        <v>400</v>
      </c>
      <c r="F68" s="46">
        <v>0</v>
      </c>
      <c r="G68" s="46">
        <f t="shared" si="21"/>
        <v>39600</v>
      </c>
      <c r="H68" s="46">
        <v>39600</v>
      </c>
      <c r="I68" s="46">
        <f t="shared" si="22"/>
        <v>0</v>
      </c>
    </row>
    <row r="69" spans="1:9" x14ac:dyDescent="0.25">
      <c r="A69" s="41" t="s">
        <v>296</v>
      </c>
      <c r="B69" s="41" t="s">
        <v>162</v>
      </c>
      <c r="C69" s="42" t="s">
        <v>297</v>
      </c>
      <c r="D69" s="46">
        <v>30000</v>
      </c>
      <c r="E69" s="46">
        <f t="shared" si="20"/>
        <v>300</v>
      </c>
      <c r="F69" s="46">
        <v>0</v>
      </c>
      <c r="G69" s="46">
        <f t="shared" si="21"/>
        <v>29700</v>
      </c>
      <c r="H69" s="46">
        <v>29700</v>
      </c>
      <c r="I69" s="46">
        <f t="shared" si="22"/>
        <v>0</v>
      </c>
    </row>
    <row r="70" spans="1:9" x14ac:dyDescent="0.25">
      <c r="A70" s="41" t="s">
        <v>266</v>
      </c>
      <c r="B70" s="41" t="s">
        <v>162</v>
      </c>
      <c r="C70" s="42" t="s">
        <v>267</v>
      </c>
      <c r="D70" s="46">
        <v>40000</v>
      </c>
      <c r="E70" s="46">
        <f t="shared" si="20"/>
        <v>400</v>
      </c>
      <c r="F70" s="46">
        <v>0</v>
      </c>
      <c r="G70" s="46">
        <f t="shared" si="21"/>
        <v>39600</v>
      </c>
      <c r="H70" s="46">
        <v>39600</v>
      </c>
      <c r="I70" s="46">
        <f t="shared" si="22"/>
        <v>0</v>
      </c>
    </row>
    <row r="71" spans="1:9" x14ac:dyDescent="0.25">
      <c r="A71" s="41" t="s">
        <v>298</v>
      </c>
      <c r="B71" s="41" t="s">
        <v>162</v>
      </c>
      <c r="C71" s="42" t="s">
        <v>299</v>
      </c>
      <c r="D71" s="46">
        <v>45000</v>
      </c>
      <c r="E71" s="46">
        <f t="shared" si="20"/>
        <v>450</v>
      </c>
      <c r="F71" s="46">
        <v>0</v>
      </c>
      <c r="G71" s="46">
        <f t="shared" si="21"/>
        <v>44550</v>
      </c>
      <c r="H71" s="46">
        <v>44550</v>
      </c>
      <c r="I71" s="46">
        <f t="shared" si="22"/>
        <v>0</v>
      </c>
    </row>
    <row r="72" spans="1:9" x14ac:dyDescent="0.25">
      <c r="A72" s="41" t="s">
        <v>300</v>
      </c>
      <c r="B72" s="41" t="s">
        <v>162</v>
      </c>
      <c r="C72" s="42" t="s">
        <v>301</v>
      </c>
      <c r="D72" s="46">
        <v>30000</v>
      </c>
      <c r="E72" s="46">
        <f t="shared" si="20"/>
        <v>300</v>
      </c>
      <c r="F72" s="46">
        <v>0</v>
      </c>
      <c r="G72" s="46">
        <f t="shared" si="21"/>
        <v>29700</v>
      </c>
      <c r="H72" s="46">
        <v>29700</v>
      </c>
      <c r="I72" s="46">
        <f t="shared" si="22"/>
        <v>0</v>
      </c>
    </row>
    <row r="73" spans="1:9" x14ac:dyDescent="0.25">
      <c r="A73" s="41" t="s">
        <v>302</v>
      </c>
      <c r="B73" s="41" t="s">
        <v>162</v>
      </c>
      <c r="C73" s="42" t="s">
        <v>303</v>
      </c>
      <c r="D73" s="46">
        <v>30000</v>
      </c>
      <c r="E73" s="46">
        <f t="shared" si="20"/>
        <v>300</v>
      </c>
      <c r="F73" s="46">
        <v>0</v>
      </c>
      <c r="G73" s="46">
        <f t="shared" si="21"/>
        <v>29700</v>
      </c>
      <c r="H73" s="46">
        <v>29700</v>
      </c>
      <c r="I73" s="46">
        <f t="shared" si="22"/>
        <v>0</v>
      </c>
    </row>
    <row r="74" spans="1:9" x14ac:dyDescent="0.25">
      <c r="A74" s="41" t="s">
        <v>259</v>
      </c>
      <c r="B74" s="41" t="s">
        <v>162</v>
      </c>
      <c r="C74" s="42" t="s">
        <v>260</v>
      </c>
      <c r="D74" s="46">
        <v>30000</v>
      </c>
      <c r="E74" s="46">
        <f t="shared" si="20"/>
        <v>300</v>
      </c>
      <c r="F74" s="46">
        <v>0</v>
      </c>
      <c r="G74" s="46">
        <f t="shared" si="21"/>
        <v>29700</v>
      </c>
      <c r="H74" s="46">
        <v>29700</v>
      </c>
      <c r="I74" s="46">
        <f t="shared" si="22"/>
        <v>0</v>
      </c>
    </row>
    <row r="75" spans="1:9" x14ac:dyDescent="0.25">
      <c r="A75" s="41" t="s">
        <v>263</v>
      </c>
      <c r="B75" s="41" t="s">
        <v>95</v>
      </c>
      <c r="C75" s="42" t="s">
        <v>265</v>
      </c>
      <c r="D75" s="46">
        <v>45000</v>
      </c>
      <c r="E75" s="46">
        <f t="shared" si="20"/>
        <v>450</v>
      </c>
      <c r="F75" s="46">
        <v>0</v>
      </c>
      <c r="G75" s="46">
        <f t="shared" si="21"/>
        <v>44550</v>
      </c>
      <c r="H75" s="46">
        <v>44550</v>
      </c>
      <c r="I75" s="46">
        <f t="shared" si="22"/>
        <v>0</v>
      </c>
    </row>
    <row r="76" spans="1:9" x14ac:dyDescent="0.25">
      <c r="A76" s="40"/>
      <c r="B76" s="40"/>
      <c r="C76" s="48"/>
      <c r="D76" s="49">
        <f t="shared" ref="D76:I76" si="23">SUM(D66:D75)</f>
        <v>385000</v>
      </c>
      <c r="E76" s="49">
        <f t="shared" si="23"/>
        <v>3850</v>
      </c>
      <c r="F76" s="49">
        <f t="shared" si="23"/>
        <v>10000</v>
      </c>
      <c r="G76" s="49">
        <f t="shared" si="23"/>
        <v>391150</v>
      </c>
      <c r="H76" s="49">
        <f t="shared" si="23"/>
        <v>391150</v>
      </c>
      <c r="I76" s="49">
        <f t="shared" si="23"/>
        <v>0</v>
      </c>
    </row>
    <row r="77" spans="1:9" x14ac:dyDescent="0.25">
      <c r="C77" s="57"/>
    </row>
    <row r="78" spans="1:9" x14ac:dyDescent="0.25">
      <c r="A78" s="40" t="s">
        <v>101</v>
      </c>
      <c r="B78" s="41"/>
      <c r="C78" s="42"/>
      <c r="D78" s="41"/>
      <c r="E78" s="41"/>
      <c r="F78" s="41"/>
      <c r="G78" s="46"/>
      <c r="H78" s="41"/>
      <c r="I78" s="46"/>
    </row>
    <row r="79" spans="1:9" x14ac:dyDescent="0.25">
      <c r="A79" s="41" t="s">
        <v>236</v>
      </c>
      <c r="B79" s="41" t="s">
        <v>162</v>
      </c>
      <c r="C79" s="42" t="s">
        <v>207</v>
      </c>
      <c r="D79" s="46">
        <v>50000</v>
      </c>
      <c r="E79" s="46">
        <f t="shared" ref="E79:E88" si="24">D79*0.01</f>
        <v>500</v>
      </c>
      <c r="F79" s="46">
        <v>10000</v>
      </c>
      <c r="G79" s="46">
        <f t="shared" ref="G79:G88" si="25">SUM(D79,F79)-E79</f>
        <v>59500</v>
      </c>
      <c r="H79" s="46">
        <v>0</v>
      </c>
      <c r="I79" s="46">
        <f t="shared" ref="I79:I88" si="26">G79-H79</f>
        <v>59500</v>
      </c>
    </row>
    <row r="80" spans="1:9" x14ac:dyDescent="0.25">
      <c r="A80" s="41" t="s">
        <v>226</v>
      </c>
      <c r="B80" s="41" t="s">
        <v>53</v>
      </c>
      <c r="C80" s="42" t="s">
        <v>227</v>
      </c>
      <c r="D80" s="46">
        <v>45000</v>
      </c>
      <c r="E80" s="46">
        <f t="shared" si="24"/>
        <v>450</v>
      </c>
      <c r="F80" s="46">
        <v>0</v>
      </c>
      <c r="G80" s="46">
        <f t="shared" si="25"/>
        <v>44550</v>
      </c>
      <c r="H80" s="46">
        <v>44550</v>
      </c>
      <c r="I80" s="46">
        <f t="shared" si="26"/>
        <v>0</v>
      </c>
    </row>
    <row r="81" spans="1:9" x14ac:dyDescent="0.25">
      <c r="A81" s="41" t="s">
        <v>228</v>
      </c>
      <c r="B81" s="41" t="s">
        <v>162</v>
      </c>
      <c r="C81" s="42" t="s">
        <v>257</v>
      </c>
      <c r="D81" s="46">
        <v>40000</v>
      </c>
      <c r="E81" s="46">
        <f t="shared" si="24"/>
        <v>400</v>
      </c>
      <c r="F81" s="46">
        <v>0</v>
      </c>
      <c r="G81" s="46">
        <f t="shared" si="25"/>
        <v>39600</v>
      </c>
      <c r="H81" s="46">
        <v>39600</v>
      </c>
      <c r="I81" s="46">
        <f t="shared" si="26"/>
        <v>0</v>
      </c>
    </row>
    <row r="82" spans="1:9" x14ac:dyDescent="0.25">
      <c r="A82" s="41" t="s">
        <v>296</v>
      </c>
      <c r="B82" s="41" t="s">
        <v>162</v>
      </c>
      <c r="C82" s="42" t="s">
        <v>297</v>
      </c>
      <c r="D82" s="46">
        <v>30000</v>
      </c>
      <c r="E82" s="46">
        <f t="shared" si="24"/>
        <v>300</v>
      </c>
      <c r="F82" s="46">
        <v>0</v>
      </c>
      <c r="G82" s="46">
        <f t="shared" si="25"/>
        <v>29700</v>
      </c>
      <c r="H82" s="46">
        <v>29700</v>
      </c>
      <c r="I82" s="46">
        <f t="shared" si="26"/>
        <v>0</v>
      </c>
    </row>
    <row r="83" spans="1:9" x14ac:dyDescent="0.25">
      <c r="A83" s="41" t="s">
        <v>266</v>
      </c>
      <c r="B83" s="41" t="s">
        <v>162</v>
      </c>
      <c r="C83" s="42" t="s">
        <v>267</v>
      </c>
      <c r="D83" s="46">
        <v>40000</v>
      </c>
      <c r="E83" s="46">
        <f t="shared" si="24"/>
        <v>400</v>
      </c>
      <c r="F83" s="46">
        <v>0</v>
      </c>
      <c r="G83" s="46">
        <f t="shared" si="25"/>
        <v>39600</v>
      </c>
      <c r="H83" s="46">
        <v>39600</v>
      </c>
      <c r="I83" s="46">
        <f t="shared" si="26"/>
        <v>0</v>
      </c>
    </row>
    <row r="84" spans="1:9" x14ac:dyDescent="0.25">
      <c r="A84" s="41" t="s">
        <v>298</v>
      </c>
      <c r="B84" s="41" t="s">
        <v>162</v>
      </c>
      <c r="C84" s="42" t="s">
        <v>299</v>
      </c>
      <c r="D84" s="46">
        <v>45000</v>
      </c>
      <c r="E84" s="46">
        <f t="shared" si="24"/>
        <v>450</v>
      </c>
      <c r="F84" s="46">
        <v>0</v>
      </c>
      <c r="G84" s="46">
        <f t="shared" si="25"/>
        <v>44550</v>
      </c>
      <c r="H84" s="46">
        <v>44550</v>
      </c>
      <c r="I84" s="46">
        <f t="shared" si="26"/>
        <v>0</v>
      </c>
    </row>
    <row r="85" spans="1:9" x14ac:dyDescent="0.25">
      <c r="A85" s="41" t="s">
        <v>300</v>
      </c>
      <c r="B85" s="41" t="s">
        <v>162</v>
      </c>
      <c r="C85" s="42" t="s">
        <v>314</v>
      </c>
      <c r="D85" s="46">
        <v>30000</v>
      </c>
      <c r="E85" s="46">
        <f t="shared" si="24"/>
        <v>300</v>
      </c>
      <c r="F85" s="46">
        <v>0</v>
      </c>
      <c r="G85" s="46">
        <f t="shared" si="25"/>
        <v>29700</v>
      </c>
      <c r="H85" s="46">
        <v>29700</v>
      </c>
      <c r="I85" s="46">
        <f t="shared" si="26"/>
        <v>0</v>
      </c>
    </row>
    <row r="86" spans="1:9" x14ac:dyDescent="0.25">
      <c r="A86" s="41" t="s">
        <v>302</v>
      </c>
      <c r="B86" s="41" t="s">
        <v>162</v>
      </c>
      <c r="C86" s="42" t="s">
        <v>303</v>
      </c>
      <c r="D86" s="46">
        <v>30000</v>
      </c>
      <c r="E86" s="46">
        <f t="shared" si="24"/>
        <v>300</v>
      </c>
      <c r="F86" s="46">
        <v>0</v>
      </c>
      <c r="G86" s="46">
        <f t="shared" si="25"/>
        <v>29700</v>
      </c>
      <c r="H86" s="46">
        <v>29700</v>
      </c>
      <c r="I86" s="46">
        <f t="shared" si="26"/>
        <v>0</v>
      </c>
    </row>
    <row r="87" spans="1:9" x14ac:dyDescent="0.25">
      <c r="A87" s="41" t="s">
        <v>259</v>
      </c>
      <c r="B87" s="41" t="s">
        <v>162</v>
      </c>
      <c r="C87" s="42" t="s">
        <v>260</v>
      </c>
      <c r="D87" s="46">
        <v>30000</v>
      </c>
      <c r="E87" s="46">
        <f t="shared" si="24"/>
        <v>300</v>
      </c>
      <c r="F87" s="46">
        <v>0</v>
      </c>
      <c r="G87" s="46">
        <f t="shared" si="25"/>
        <v>29700</v>
      </c>
      <c r="H87" s="46">
        <v>29700</v>
      </c>
      <c r="I87" s="46">
        <f t="shared" si="26"/>
        <v>0</v>
      </c>
    </row>
    <row r="88" spans="1:9" x14ac:dyDescent="0.25">
      <c r="A88" s="41" t="s">
        <v>263</v>
      </c>
      <c r="B88" s="41" t="s">
        <v>95</v>
      </c>
      <c r="C88" s="42" t="s">
        <v>265</v>
      </c>
      <c r="D88" s="46">
        <v>45000</v>
      </c>
      <c r="E88" s="46">
        <f t="shared" si="24"/>
        <v>450</v>
      </c>
      <c r="F88" s="46">
        <v>0</v>
      </c>
      <c r="G88" s="46">
        <f t="shared" si="25"/>
        <v>44550</v>
      </c>
      <c r="H88" s="46">
        <v>44550</v>
      </c>
      <c r="I88" s="46">
        <f t="shared" si="26"/>
        <v>0</v>
      </c>
    </row>
    <row r="89" spans="1:9" x14ac:dyDescent="0.25">
      <c r="A89" s="40"/>
      <c r="B89" s="40"/>
      <c r="C89" s="48"/>
      <c r="D89" s="49">
        <f t="shared" ref="D89:I89" si="27">SUM(D79:D88)</f>
        <v>385000</v>
      </c>
      <c r="E89" s="49">
        <f t="shared" si="27"/>
        <v>3850</v>
      </c>
      <c r="F89" s="49">
        <f t="shared" si="27"/>
        <v>10000</v>
      </c>
      <c r="G89" s="49">
        <f t="shared" si="27"/>
        <v>391150</v>
      </c>
      <c r="H89" s="49">
        <f t="shared" si="27"/>
        <v>331650</v>
      </c>
      <c r="I89" s="49">
        <f t="shared" si="27"/>
        <v>59500</v>
      </c>
    </row>
    <row r="90" spans="1:9" x14ac:dyDescent="0.25">
      <c r="C90" s="57"/>
    </row>
    <row r="91" spans="1:9" x14ac:dyDescent="0.25">
      <c r="C91" s="57"/>
    </row>
    <row r="92" spans="1:9" x14ac:dyDescent="0.25">
      <c r="C92" s="57"/>
    </row>
    <row r="93" spans="1:9" x14ac:dyDescent="0.25">
      <c r="C93" s="57"/>
    </row>
    <row r="94" spans="1:9" x14ac:dyDescent="0.25">
      <c r="C94" s="57"/>
    </row>
    <row r="95" spans="1:9" x14ac:dyDescent="0.25">
      <c r="C95" s="57"/>
    </row>
    <row r="96" spans="1:9" x14ac:dyDescent="0.25">
      <c r="C96" s="57"/>
    </row>
    <row r="97" spans="3:3" x14ac:dyDescent="0.25">
      <c r="C97" s="57"/>
    </row>
    <row r="98" spans="3:3" x14ac:dyDescent="0.25">
      <c r="C98" s="57"/>
    </row>
    <row r="99" spans="3:3" x14ac:dyDescent="0.25">
      <c r="C99" s="57"/>
    </row>
    <row r="100" spans="3:3" x14ac:dyDescent="0.25">
      <c r="C100" s="57"/>
    </row>
    <row r="101" spans="3:3" x14ac:dyDescent="0.25">
      <c r="C101" s="57"/>
    </row>
    <row r="102" spans="3:3" x14ac:dyDescent="0.25">
      <c r="C102" s="57"/>
    </row>
    <row r="103" spans="3:3" x14ac:dyDescent="0.25">
      <c r="C103" s="57"/>
    </row>
    <row r="104" spans="3:3" x14ac:dyDescent="0.25">
      <c r="C104" s="57"/>
    </row>
    <row r="105" spans="3:3" x14ac:dyDescent="0.25">
      <c r="C105" s="57"/>
    </row>
    <row r="106" spans="3:3" x14ac:dyDescent="0.25">
      <c r="C106" s="57"/>
    </row>
    <row r="107" spans="3:3" x14ac:dyDescent="0.25">
      <c r="C107" s="57"/>
    </row>
    <row r="108" spans="3:3" x14ac:dyDescent="0.25">
      <c r="C108" s="57"/>
    </row>
    <row r="109" spans="3:3" x14ac:dyDescent="0.25">
      <c r="C109" s="57"/>
    </row>
    <row r="110" spans="3:3" x14ac:dyDescent="0.25">
      <c r="C110" s="57"/>
    </row>
    <row r="111" spans="3:3" x14ac:dyDescent="0.25">
      <c r="C111" s="57"/>
    </row>
    <row r="112" spans="3:3" x14ac:dyDescent="0.25">
      <c r="C112" s="57"/>
    </row>
    <row r="113" spans="3:3" x14ac:dyDescent="0.25">
      <c r="C113" s="57"/>
    </row>
    <row r="114" spans="3:3" x14ac:dyDescent="0.25">
      <c r="C114" s="57"/>
    </row>
    <row r="115" spans="3:3" x14ac:dyDescent="0.25">
      <c r="C115" s="57"/>
    </row>
    <row r="116" spans="3:3" x14ac:dyDescent="0.25">
      <c r="C116" s="57"/>
    </row>
    <row r="117" spans="3:3" x14ac:dyDescent="0.25">
      <c r="C117" s="57"/>
    </row>
    <row r="118" spans="3:3" x14ac:dyDescent="0.25">
      <c r="C118" s="57"/>
    </row>
    <row r="119" spans="3:3" x14ac:dyDescent="0.25">
      <c r="C119" s="57"/>
    </row>
    <row r="120" spans="3:3" x14ac:dyDescent="0.25">
      <c r="C120" s="57"/>
    </row>
    <row r="121" spans="3:3" x14ac:dyDescent="0.25">
      <c r="C121" s="57"/>
    </row>
    <row r="122" spans="3:3" x14ac:dyDescent="0.25">
      <c r="C122" s="57"/>
    </row>
    <row r="123" spans="3:3" x14ac:dyDescent="0.25">
      <c r="C123" s="57"/>
    </row>
    <row r="124" spans="3:3" x14ac:dyDescent="0.25">
      <c r="C124" s="57"/>
    </row>
    <row r="125" spans="3:3" x14ac:dyDescent="0.25">
      <c r="C125" s="57"/>
    </row>
    <row r="126" spans="3:3" x14ac:dyDescent="0.25">
      <c r="C126" s="57"/>
    </row>
    <row r="127" spans="3:3" x14ac:dyDescent="0.25">
      <c r="C127" s="57"/>
    </row>
    <row r="128" spans="3:3" x14ac:dyDescent="0.25">
      <c r="C128" s="57"/>
    </row>
    <row r="129" spans="3:3" x14ac:dyDescent="0.25">
      <c r="C129" s="57"/>
    </row>
    <row r="130" spans="3:3" x14ac:dyDescent="0.25">
      <c r="C130" s="57"/>
    </row>
    <row r="131" spans="3:3" x14ac:dyDescent="0.25">
      <c r="C131" s="57"/>
    </row>
    <row r="132" spans="3:3" x14ac:dyDescent="0.25">
      <c r="C132" s="57"/>
    </row>
    <row r="133" spans="3:3" x14ac:dyDescent="0.25">
      <c r="C133" s="57"/>
    </row>
    <row r="134" spans="3:3" x14ac:dyDescent="0.25">
      <c r="C134" s="57"/>
    </row>
    <row r="135" spans="3:3" x14ac:dyDescent="0.25">
      <c r="C135" s="57"/>
    </row>
    <row r="136" spans="3:3" x14ac:dyDescent="0.25">
      <c r="C136" s="57"/>
    </row>
    <row r="137" spans="3:3" x14ac:dyDescent="0.25">
      <c r="C137" s="57"/>
    </row>
    <row r="138" spans="3:3" x14ac:dyDescent="0.25">
      <c r="C138" s="57"/>
    </row>
    <row r="139" spans="3:3" x14ac:dyDescent="0.25">
      <c r="C139" s="57"/>
    </row>
    <row r="140" spans="3:3" x14ac:dyDescent="0.25">
      <c r="C140" s="57"/>
    </row>
    <row r="141" spans="3:3" x14ac:dyDescent="0.25">
      <c r="C141" s="57"/>
    </row>
    <row r="142" spans="3:3" x14ac:dyDescent="0.25">
      <c r="C142" s="57"/>
    </row>
    <row r="143" spans="3:3" x14ac:dyDescent="0.25">
      <c r="C143" s="57"/>
    </row>
    <row r="144" spans="3:3" x14ac:dyDescent="0.25">
      <c r="C144" s="57"/>
    </row>
    <row r="145" spans="3:3" x14ac:dyDescent="0.25">
      <c r="C145" s="57"/>
    </row>
    <row r="146" spans="3:3" x14ac:dyDescent="0.25">
      <c r="C146" s="57"/>
    </row>
    <row r="147" spans="3:3" x14ac:dyDescent="0.25">
      <c r="C147" s="57"/>
    </row>
    <row r="148" spans="3:3" x14ac:dyDescent="0.25">
      <c r="C148" s="57"/>
    </row>
    <row r="149" spans="3:3" x14ac:dyDescent="0.25">
      <c r="C149" s="57"/>
    </row>
    <row r="150" spans="3:3" x14ac:dyDescent="0.25">
      <c r="C150" s="57"/>
    </row>
    <row r="151" spans="3:3" x14ac:dyDescent="0.25">
      <c r="C151" s="57"/>
    </row>
    <row r="152" spans="3:3" x14ac:dyDescent="0.25">
      <c r="C152" s="57"/>
    </row>
    <row r="153" spans="3:3" x14ac:dyDescent="0.25">
      <c r="C153" s="57"/>
    </row>
    <row r="154" spans="3:3" x14ac:dyDescent="0.25">
      <c r="C154" s="57"/>
    </row>
    <row r="155" spans="3:3" x14ac:dyDescent="0.25">
      <c r="C155" s="57"/>
    </row>
    <row r="156" spans="3:3" x14ac:dyDescent="0.25">
      <c r="C156" s="57"/>
    </row>
    <row r="157" spans="3:3" x14ac:dyDescent="0.25">
      <c r="C157" s="57"/>
    </row>
    <row r="158" spans="3:3" x14ac:dyDescent="0.25">
      <c r="C158" s="57"/>
    </row>
    <row r="159" spans="3:3" x14ac:dyDescent="0.25">
      <c r="C159" s="57"/>
    </row>
    <row r="160" spans="3:3" x14ac:dyDescent="0.25">
      <c r="C160" s="57"/>
    </row>
    <row r="161" spans="3:3" x14ac:dyDescent="0.25">
      <c r="C161" s="57"/>
    </row>
    <row r="162" spans="3:3" x14ac:dyDescent="0.25">
      <c r="C162" s="57"/>
    </row>
    <row r="163" spans="3:3" x14ac:dyDescent="0.25">
      <c r="C163" s="57"/>
    </row>
    <row r="164" spans="3:3" x14ac:dyDescent="0.25">
      <c r="C164" s="57"/>
    </row>
    <row r="165" spans="3:3" x14ac:dyDescent="0.25">
      <c r="C165" s="57"/>
    </row>
    <row r="166" spans="3:3" x14ac:dyDescent="0.25">
      <c r="C166" s="57"/>
    </row>
    <row r="167" spans="3:3" x14ac:dyDescent="0.25">
      <c r="C167" s="57"/>
    </row>
    <row r="168" spans="3:3" x14ac:dyDescent="0.25">
      <c r="C168" s="57"/>
    </row>
    <row r="169" spans="3:3" x14ac:dyDescent="0.25">
      <c r="C169" s="57"/>
    </row>
    <row r="170" spans="3:3" x14ac:dyDescent="0.25">
      <c r="C170" s="57"/>
    </row>
    <row r="171" spans="3:3" x14ac:dyDescent="0.25">
      <c r="C171" s="57"/>
    </row>
    <row r="172" spans="3:3" x14ac:dyDescent="0.25">
      <c r="C172" s="57"/>
    </row>
    <row r="173" spans="3:3" x14ac:dyDescent="0.25">
      <c r="C173" s="57"/>
    </row>
    <row r="174" spans="3:3" x14ac:dyDescent="0.25">
      <c r="C174" s="57"/>
    </row>
    <row r="175" spans="3:3" x14ac:dyDescent="0.25">
      <c r="C175" s="57"/>
    </row>
    <row r="176" spans="3:3" x14ac:dyDescent="0.25">
      <c r="C176" s="57"/>
    </row>
    <row r="177" spans="3:3" x14ac:dyDescent="0.25">
      <c r="C177" s="57"/>
    </row>
    <row r="178" spans="3:3" x14ac:dyDescent="0.25">
      <c r="C178" s="57"/>
    </row>
    <row r="179" spans="3:3" x14ac:dyDescent="0.25">
      <c r="C179" s="57"/>
    </row>
    <row r="180" spans="3:3" x14ac:dyDescent="0.25">
      <c r="C180" s="57"/>
    </row>
    <row r="181" spans="3:3" x14ac:dyDescent="0.25">
      <c r="C181" s="57"/>
    </row>
    <row r="182" spans="3:3" x14ac:dyDescent="0.25">
      <c r="C182" s="57"/>
    </row>
    <row r="183" spans="3:3" x14ac:dyDescent="0.25">
      <c r="C183" s="57"/>
    </row>
    <row r="184" spans="3:3" x14ac:dyDescent="0.25">
      <c r="C184" s="57"/>
    </row>
    <row r="185" spans="3:3" x14ac:dyDescent="0.25">
      <c r="C185" s="57"/>
    </row>
    <row r="186" spans="3:3" x14ac:dyDescent="0.25">
      <c r="C186" s="57"/>
    </row>
    <row r="187" spans="3:3" x14ac:dyDescent="0.25">
      <c r="C187" s="57"/>
    </row>
    <row r="188" spans="3:3" x14ac:dyDescent="0.25">
      <c r="C188" s="57"/>
    </row>
    <row r="189" spans="3:3" x14ac:dyDescent="0.25">
      <c r="C189" s="57"/>
    </row>
    <row r="190" spans="3:3" x14ac:dyDescent="0.25">
      <c r="C190" s="57"/>
    </row>
    <row r="191" spans="3:3" x14ac:dyDescent="0.25">
      <c r="C191" s="57"/>
    </row>
    <row r="192" spans="3:3" x14ac:dyDescent="0.25">
      <c r="C192" s="57"/>
    </row>
    <row r="193" spans="3:3" x14ac:dyDescent="0.25">
      <c r="C193" s="57"/>
    </row>
    <row r="194" spans="3:3" x14ac:dyDescent="0.25">
      <c r="C194" s="57"/>
    </row>
    <row r="195" spans="3:3" x14ac:dyDescent="0.25">
      <c r="C195" s="57"/>
    </row>
    <row r="196" spans="3:3" x14ac:dyDescent="0.25">
      <c r="C196" s="57"/>
    </row>
    <row r="197" spans="3:3" x14ac:dyDescent="0.25">
      <c r="C197" s="57"/>
    </row>
    <row r="198" spans="3:3" x14ac:dyDescent="0.25">
      <c r="C198" s="57"/>
    </row>
    <row r="199" spans="3:3" x14ac:dyDescent="0.25">
      <c r="C199" s="57"/>
    </row>
    <row r="200" spans="3:3" x14ac:dyDescent="0.25">
      <c r="C200" s="57"/>
    </row>
    <row r="201" spans="3:3" x14ac:dyDescent="0.25">
      <c r="C201" s="57"/>
    </row>
    <row r="202" spans="3:3" x14ac:dyDescent="0.25">
      <c r="C202" s="57"/>
    </row>
    <row r="203" spans="3:3" x14ac:dyDescent="0.25">
      <c r="C203" s="57"/>
    </row>
    <row r="204" spans="3:3" x14ac:dyDescent="0.25">
      <c r="C204" s="57"/>
    </row>
    <row r="205" spans="3:3" x14ac:dyDescent="0.25">
      <c r="C205" s="57"/>
    </row>
    <row r="206" spans="3:3" x14ac:dyDescent="0.25">
      <c r="C206" s="57"/>
    </row>
    <row r="207" spans="3:3" x14ac:dyDescent="0.25">
      <c r="C207" s="57"/>
    </row>
    <row r="208" spans="3:3" x14ac:dyDescent="0.25">
      <c r="C208" s="57"/>
    </row>
    <row r="209" spans="3:3" x14ac:dyDescent="0.25">
      <c r="C209" s="57"/>
    </row>
    <row r="210" spans="3:3" x14ac:dyDescent="0.25">
      <c r="C210" s="57"/>
    </row>
    <row r="211" spans="3:3" x14ac:dyDescent="0.25">
      <c r="C211" s="57"/>
    </row>
    <row r="212" spans="3:3" x14ac:dyDescent="0.25">
      <c r="C212" s="57"/>
    </row>
    <row r="213" spans="3:3" x14ac:dyDescent="0.25">
      <c r="C213" s="57"/>
    </row>
    <row r="214" spans="3:3" x14ac:dyDescent="0.25">
      <c r="C214" s="57"/>
    </row>
    <row r="215" spans="3:3" x14ac:dyDescent="0.25">
      <c r="C215" s="57"/>
    </row>
    <row r="216" spans="3:3" x14ac:dyDescent="0.25">
      <c r="C216" s="57"/>
    </row>
    <row r="217" spans="3:3" x14ac:dyDescent="0.25">
      <c r="C217" s="57"/>
    </row>
    <row r="218" spans="3:3" x14ac:dyDescent="0.25">
      <c r="C218" s="57"/>
    </row>
    <row r="219" spans="3:3" x14ac:dyDescent="0.25">
      <c r="C219" s="57"/>
    </row>
    <row r="220" spans="3:3" x14ac:dyDescent="0.25">
      <c r="C220" s="57"/>
    </row>
    <row r="221" spans="3:3" x14ac:dyDescent="0.25">
      <c r="C221" s="57"/>
    </row>
    <row r="222" spans="3:3" x14ac:dyDescent="0.25">
      <c r="C222" s="57"/>
    </row>
    <row r="223" spans="3:3" x14ac:dyDescent="0.25">
      <c r="C223" s="57"/>
    </row>
    <row r="224" spans="3:3" x14ac:dyDescent="0.25">
      <c r="C224" s="57"/>
    </row>
    <row r="225" spans="3:3" x14ac:dyDescent="0.25">
      <c r="C225" s="57"/>
    </row>
    <row r="226" spans="3:3" x14ac:dyDescent="0.25">
      <c r="C226" s="57"/>
    </row>
    <row r="227" spans="3:3" x14ac:dyDescent="0.25">
      <c r="C227" s="57"/>
    </row>
    <row r="228" spans="3:3" x14ac:dyDescent="0.25">
      <c r="C228" s="57"/>
    </row>
    <row r="229" spans="3:3" x14ac:dyDescent="0.25">
      <c r="C229" s="57"/>
    </row>
    <row r="230" spans="3:3" x14ac:dyDescent="0.25">
      <c r="C230" s="57"/>
    </row>
    <row r="231" spans="3:3" x14ac:dyDescent="0.25">
      <c r="C231" s="57"/>
    </row>
    <row r="232" spans="3:3" x14ac:dyDescent="0.25">
      <c r="C232" s="57"/>
    </row>
    <row r="233" spans="3:3" x14ac:dyDescent="0.25">
      <c r="C233" s="57"/>
    </row>
    <row r="234" spans="3:3" x14ac:dyDescent="0.25">
      <c r="C234" s="57"/>
    </row>
    <row r="235" spans="3:3" x14ac:dyDescent="0.25">
      <c r="C235" s="57"/>
    </row>
    <row r="236" spans="3:3" x14ac:dyDescent="0.25">
      <c r="C236" s="57"/>
    </row>
    <row r="237" spans="3:3" x14ac:dyDescent="0.25">
      <c r="C237" s="57"/>
    </row>
    <row r="238" spans="3:3" x14ac:dyDescent="0.25">
      <c r="C238" s="57"/>
    </row>
    <row r="239" spans="3:3" x14ac:dyDescent="0.25">
      <c r="C239" s="57"/>
    </row>
    <row r="240" spans="3:3" x14ac:dyDescent="0.25">
      <c r="C240" s="57"/>
    </row>
    <row r="241" spans="3:3" x14ac:dyDescent="0.25">
      <c r="C241" s="57"/>
    </row>
    <row r="242" spans="3:3" x14ac:dyDescent="0.25">
      <c r="C242" s="57"/>
    </row>
    <row r="243" spans="3:3" x14ac:dyDescent="0.25">
      <c r="C243" s="57"/>
    </row>
    <row r="244" spans="3:3" x14ac:dyDescent="0.25">
      <c r="C244" s="57"/>
    </row>
    <row r="245" spans="3:3" x14ac:dyDescent="0.25">
      <c r="C245" s="57"/>
    </row>
    <row r="246" spans="3:3" x14ac:dyDescent="0.25">
      <c r="C246" s="57"/>
    </row>
    <row r="247" spans="3:3" x14ac:dyDescent="0.25">
      <c r="C247" s="57"/>
    </row>
    <row r="248" spans="3:3" x14ac:dyDescent="0.25">
      <c r="C248" s="57"/>
    </row>
    <row r="249" spans="3:3" x14ac:dyDescent="0.25">
      <c r="C249" s="57"/>
    </row>
    <row r="250" spans="3:3" x14ac:dyDescent="0.25">
      <c r="C250" s="57"/>
    </row>
    <row r="251" spans="3:3" x14ac:dyDescent="0.25">
      <c r="C251" s="57"/>
    </row>
    <row r="252" spans="3:3" x14ac:dyDescent="0.25">
      <c r="C252" s="57"/>
    </row>
    <row r="253" spans="3:3" x14ac:dyDescent="0.25">
      <c r="C253" s="57"/>
    </row>
    <row r="254" spans="3:3" x14ac:dyDescent="0.25">
      <c r="C254" s="57"/>
    </row>
    <row r="255" spans="3:3" x14ac:dyDescent="0.25">
      <c r="C255" s="57"/>
    </row>
    <row r="256" spans="3:3" x14ac:dyDescent="0.25">
      <c r="C256" s="57"/>
    </row>
    <row r="257" spans="3:3" x14ac:dyDescent="0.25">
      <c r="C257" s="57"/>
    </row>
    <row r="258" spans="3:3" x14ac:dyDescent="0.25">
      <c r="C258" s="57"/>
    </row>
    <row r="259" spans="3:3" x14ac:dyDescent="0.25">
      <c r="C259" s="57"/>
    </row>
    <row r="260" spans="3:3" x14ac:dyDescent="0.25">
      <c r="C260" s="57"/>
    </row>
    <row r="261" spans="3:3" x14ac:dyDescent="0.25">
      <c r="C261" s="57"/>
    </row>
    <row r="262" spans="3:3" x14ac:dyDescent="0.25">
      <c r="C262" s="57"/>
    </row>
    <row r="263" spans="3:3" x14ac:dyDescent="0.25">
      <c r="C263" s="57"/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3"/>
  <sheetViews>
    <sheetView tabSelected="1" workbookViewId="0">
      <pane xSplit="4" ySplit="1" topLeftCell="E60" activePane="bottomRight" state="frozen"/>
      <selection pane="topRight" activeCell="E1" sqref="E1"/>
      <selection pane="bottomLeft" activeCell="A2" sqref="A2"/>
      <selection pane="bottomRight" activeCell="I75" sqref="I75"/>
    </sheetView>
  </sheetViews>
  <sheetFormatPr defaultColWidth="14.42578125" defaultRowHeight="15" customHeight="1" x14ac:dyDescent="0.25"/>
  <cols>
    <col min="1" max="1" width="33.85546875" customWidth="1"/>
    <col min="2" max="2" width="14.140625" customWidth="1"/>
    <col min="3" max="3" width="20.5703125" customWidth="1"/>
    <col min="4" max="4" width="16.140625" bestFit="1" customWidth="1"/>
    <col min="5" max="5" width="22.7109375" customWidth="1"/>
    <col min="6" max="6" width="16" customWidth="1"/>
    <col min="7" max="7" width="20.7109375" customWidth="1"/>
    <col min="8" max="8" width="16" customWidth="1"/>
    <col min="9" max="9" width="16" bestFit="1" customWidth="1"/>
    <col min="10" max="10" width="12.140625" customWidth="1"/>
    <col min="11" max="13" width="8.7109375" customWidth="1"/>
  </cols>
  <sheetData>
    <row r="1" spans="1:13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x14ac:dyDescent="0.25">
      <c r="A2" s="40" t="s">
        <v>12</v>
      </c>
      <c r="B2" s="41"/>
      <c r="C2" s="42"/>
      <c r="D2" s="41"/>
      <c r="E2" s="41"/>
      <c r="F2" s="41"/>
      <c r="G2" s="46"/>
      <c r="H2" s="41"/>
      <c r="I2" s="46"/>
    </row>
    <row r="3" spans="1:13" x14ac:dyDescent="0.25">
      <c r="A3" s="41" t="s">
        <v>284</v>
      </c>
      <c r="B3" s="41" t="s">
        <v>162</v>
      </c>
      <c r="C3" s="42" t="s">
        <v>285</v>
      </c>
      <c r="D3" s="46">
        <v>20000</v>
      </c>
      <c r="E3" s="46">
        <f t="shared" ref="E3:E10" si="0">D3*0.01</f>
        <v>200</v>
      </c>
      <c r="F3" s="46">
        <v>0</v>
      </c>
      <c r="G3" s="46">
        <f t="shared" ref="G3:G10" si="1">(SUM(D3,F3)-E3)</f>
        <v>19800</v>
      </c>
      <c r="H3" s="46">
        <v>19800</v>
      </c>
      <c r="I3" s="46">
        <f t="shared" ref="I3:I10" si="2">G3-H3</f>
        <v>0</v>
      </c>
    </row>
    <row r="4" spans="1:13" x14ac:dyDescent="0.25">
      <c r="A4" s="41" t="s">
        <v>291</v>
      </c>
      <c r="B4" s="41" t="s">
        <v>15</v>
      </c>
      <c r="C4" s="42" t="s">
        <v>283</v>
      </c>
      <c r="D4" s="46">
        <v>20000</v>
      </c>
      <c r="E4" s="46">
        <f t="shared" si="0"/>
        <v>200</v>
      </c>
      <c r="F4" s="46">
        <v>0</v>
      </c>
      <c r="G4" s="46">
        <f t="shared" si="1"/>
        <v>19800</v>
      </c>
      <c r="H4" s="46">
        <v>19800</v>
      </c>
      <c r="I4" s="46">
        <f t="shared" si="2"/>
        <v>0</v>
      </c>
    </row>
    <row r="5" spans="1:13" x14ac:dyDescent="0.25">
      <c r="A5" s="41" t="s">
        <v>268</v>
      </c>
      <c r="B5" s="41" t="s">
        <v>162</v>
      </c>
      <c r="C5" s="42" t="s">
        <v>269</v>
      </c>
      <c r="D5" s="46">
        <v>50000</v>
      </c>
      <c r="E5" s="46">
        <f t="shared" si="0"/>
        <v>500</v>
      </c>
      <c r="F5" s="46">
        <v>0</v>
      </c>
      <c r="G5" s="46">
        <f t="shared" si="1"/>
        <v>49500</v>
      </c>
      <c r="H5" s="46">
        <v>49500</v>
      </c>
      <c r="I5" s="46">
        <f t="shared" si="2"/>
        <v>0</v>
      </c>
    </row>
    <row r="6" spans="1:13" x14ac:dyDescent="0.25">
      <c r="A6" s="41" t="s">
        <v>272</v>
      </c>
      <c r="B6" s="41" t="s">
        <v>23</v>
      </c>
      <c r="C6" s="42" t="s">
        <v>273</v>
      </c>
      <c r="D6" s="46">
        <v>45000</v>
      </c>
      <c r="E6" s="46">
        <f t="shared" si="0"/>
        <v>450</v>
      </c>
      <c r="F6" s="46">
        <v>6000</v>
      </c>
      <c r="G6" s="46">
        <f t="shared" si="1"/>
        <v>50550</v>
      </c>
      <c r="H6" s="46">
        <v>50550</v>
      </c>
      <c r="I6" s="46">
        <f t="shared" si="2"/>
        <v>0</v>
      </c>
    </row>
    <row r="7" spans="1:13" x14ac:dyDescent="0.25">
      <c r="A7" s="41" t="s">
        <v>237</v>
      </c>
      <c r="B7" s="41" t="s">
        <v>162</v>
      </c>
      <c r="C7" s="42" t="s">
        <v>191</v>
      </c>
      <c r="D7" s="46">
        <v>45000</v>
      </c>
      <c r="E7" s="46">
        <f t="shared" si="0"/>
        <v>450</v>
      </c>
      <c r="F7" s="46">
        <v>0</v>
      </c>
      <c r="G7" s="46">
        <f t="shared" si="1"/>
        <v>44550</v>
      </c>
      <c r="H7" s="46">
        <v>44550</v>
      </c>
      <c r="I7" s="46">
        <f t="shared" si="2"/>
        <v>0</v>
      </c>
    </row>
    <row r="8" spans="1:13" x14ac:dyDescent="0.25">
      <c r="A8" s="41" t="s">
        <v>270</v>
      </c>
      <c r="B8" s="41" t="s">
        <v>162</v>
      </c>
      <c r="C8" s="42" t="s">
        <v>279</v>
      </c>
      <c r="D8" s="46">
        <v>45000</v>
      </c>
      <c r="E8" s="46">
        <f t="shared" si="0"/>
        <v>450</v>
      </c>
      <c r="F8" s="46">
        <v>0</v>
      </c>
      <c r="G8" s="46">
        <f t="shared" si="1"/>
        <v>44550</v>
      </c>
      <c r="H8" s="46">
        <v>44550</v>
      </c>
      <c r="I8" s="46">
        <f t="shared" si="2"/>
        <v>0</v>
      </c>
    </row>
    <row r="9" spans="1:13" x14ac:dyDescent="0.25">
      <c r="A9" s="41" t="s">
        <v>289</v>
      </c>
      <c r="B9" s="41" t="s">
        <v>162</v>
      </c>
      <c r="C9" s="42" t="s">
        <v>281</v>
      </c>
      <c r="D9" s="46">
        <v>33000</v>
      </c>
      <c r="E9" s="46">
        <f t="shared" si="0"/>
        <v>330</v>
      </c>
      <c r="F9" s="46">
        <v>0</v>
      </c>
      <c r="G9" s="46">
        <f t="shared" si="1"/>
        <v>32670</v>
      </c>
      <c r="H9" s="46">
        <v>32670</v>
      </c>
      <c r="I9" s="46">
        <f t="shared" si="2"/>
        <v>0</v>
      </c>
    </row>
    <row r="10" spans="1:13" x14ac:dyDescent="0.25">
      <c r="A10" s="41" t="s">
        <v>288</v>
      </c>
      <c r="B10" s="41" t="s">
        <v>277</v>
      </c>
      <c r="C10" s="42" t="s">
        <v>278</v>
      </c>
      <c r="D10" s="46">
        <v>45000</v>
      </c>
      <c r="E10" s="46">
        <f t="shared" si="0"/>
        <v>450</v>
      </c>
      <c r="F10" s="46">
        <v>7500</v>
      </c>
      <c r="G10" s="46">
        <f t="shared" si="1"/>
        <v>52050</v>
      </c>
      <c r="H10" s="46">
        <v>52050</v>
      </c>
      <c r="I10" s="46">
        <f t="shared" si="2"/>
        <v>0</v>
      </c>
    </row>
    <row r="11" spans="1:13" x14ac:dyDescent="0.25">
      <c r="A11" s="40"/>
      <c r="B11" s="40"/>
      <c r="C11" s="48"/>
      <c r="D11" s="49">
        <f t="shared" ref="D11:I11" si="3">SUM(D3:D10)</f>
        <v>303000</v>
      </c>
      <c r="E11" s="49">
        <f t="shared" si="3"/>
        <v>3030</v>
      </c>
      <c r="F11" s="49">
        <f t="shared" si="3"/>
        <v>13500</v>
      </c>
      <c r="G11" s="49">
        <f t="shared" si="3"/>
        <v>313470</v>
      </c>
      <c r="H11" s="49">
        <f t="shared" si="3"/>
        <v>313470</v>
      </c>
      <c r="I11" s="49">
        <f t="shared" si="3"/>
        <v>0</v>
      </c>
    </row>
    <row r="13" spans="1:13" x14ac:dyDescent="0.25">
      <c r="A13" s="40" t="s">
        <v>72</v>
      </c>
      <c r="B13" s="41"/>
      <c r="C13" s="42"/>
      <c r="D13" s="41"/>
      <c r="E13" s="41"/>
      <c r="F13" s="41"/>
      <c r="G13" s="46"/>
      <c r="H13" s="41"/>
      <c r="I13" s="46"/>
    </row>
    <row r="14" spans="1:13" x14ac:dyDescent="0.25">
      <c r="A14" s="41" t="s">
        <v>284</v>
      </c>
      <c r="B14" s="41" t="s">
        <v>162</v>
      </c>
      <c r="C14" s="42" t="s">
        <v>285</v>
      </c>
      <c r="D14" s="46">
        <v>20000</v>
      </c>
      <c r="E14" s="46">
        <f t="shared" ref="E14:E21" si="4">D14*0.01</f>
        <v>200</v>
      </c>
      <c r="F14" s="46">
        <v>0</v>
      </c>
      <c r="G14" s="46">
        <f t="shared" ref="G14:G21" si="5">(SUM(D14,F14)-E14)</f>
        <v>19800</v>
      </c>
      <c r="H14" s="46">
        <v>19800</v>
      </c>
      <c r="I14" s="46">
        <f t="shared" ref="I14:I21" si="6">G14-H14</f>
        <v>0</v>
      </c>
    </row>
    <row r="15" spans="1:13" x14ac:dyDescent="0.25">
      <c r="A15" s="41" t="s">
        <v>291</v>
      </c>
      <c r="B15" s="41" t="s">
        <v>15</v>
      </c>
      <c r="C15" s="42" t="s">
        <v>283</v>
      </c>
      <c r="D15" s="46">
        <v>20000</v>
      </c>
      <c r="E15" s="46">
        <f t="shared" si="4"/>
        <v>200</v>
      </c>
      <c r="F15" s="46">
        <v>0</v>
      </c>
      <c r="G15" s="46">
        <f t="shared" si="5"/>
        <v>19800</v>
      </c>
      <c r="H15" s="46">
        <v>19800</v>
      </c>
      <c r="I15" s="46">
        <f t="shared" si="6"/>
        <v>0</v>
      </c>
    </row>
    <row r="16" spans="1:13" x14ac:dyDescent="0.25">
      <c r="A16" s="41" t="s">
        <v>268</v>
      </c>
      <c r="B16" s="41" t="s">
        <v>162</v>
      </c>
      <c r="C16" s="42" t="s">
        <v>269</v>
      </c>
      <c r="D16" s="46">
        <v>50000</v>
      </c>
      <c r="E16" s="46">
        <f t="shared" si="4"/>
        <v>500</v>
      </c>
      <c r="F16" s="46">
        <v>0</v>
      </c>
      <c r="G16" s="46">
        <f t="shared" si="5"/>
        <v>49500</v>
      </c>
      <c r="H16" s="46">
        <v>49500</v>
      </c>
      <c r="I16" s="46">
        <f t="shared" si="6"/>
        <v>0</v>
      </c>
    </row>
    <row r="17" spans="1:9" x14ac:dyDescent="0.25">
      <c r="A17" s="41" t="s">
        <v>272</v>
      </c>
      <c r="B17" s="41" t="s">
        <v>23</v>
      </c>
      <c r="C17" s="42" t="s">
        <v>273</v>
      </c>
      <c r="D17" s="46">
        <v>45000</v>
      </c>
      <c r="E17" s="46">
        <f t="shared" si="4"/>
        <v>450</v>
      </c>
      <c r="F17" s="46">
        <v>6000</v>
      </c>
      <c r="G17" s="46">
        <f t="shared" si="5"/>
        <v>50550</v>
      </c>
      <c r="H17" s="46">
        <v>50550</v>
      </c>
      <c r="I17" s="46">
        <f t="shared" si="6"/>
        <v>0</v>
      </c>
    </row>
    <row r="18" spans="1:9" x14ac:dyDescent="0.25">
      <c r="A18" s="41" t="s">
        <v>237</v>
      </c>
      <c r="B18" s="41" t="s">
        <v>162</v>
      </c>
      <c r="C18" s="42" t="s">
        <v>191</v>
      </c>
      <c r="D18" s="46">
        <v>45000</v>
      </c>
      <c r="E18" s="46">
        <f t="shared" si="4"/>
        <v>450</v>
      </c>
      <c r="F18" s="46">
        <v>0</v>
      </c>
      <c r="G18" s="46">
        <f t="shared" si="5"/>
        <v>44550</v>
      </c>
      <c r="H18" s="46">
        <v>44550</v>
      </c>
      <c r="I18" s="46">
        <f t="shared" si="6"/>
        <v>0</v>
      </c>
    </row>
    <row r="19" spans="1:9" x14ac:dyDescent="0.25">
      <c r="A19" s="41" t="s">
        <v>270</v>
      </c>
      <c r="B19" s="41" t="s">
        <v>162</v>
      </c>
      <c r="C19" s="42" t="s">
        <v>279</v>
      </c>
      <c r="D19" s="46">
        <v>35000</v>
      </c>
      <c r="E19" s="46">
        <f t="shared" si="4"/>
        <v>350</v>
      </c>
      <c r="F19" s="46">
        <v>0</v>
      </c>
      <c r="G19" s="46">
        <f t="shared" si="5"/>
        <v>34650</v>
      </c>
      <c r="H19" s="46">
        <v>34650</v>
      </c>
      <c r="I19" s="46">
        <f t="shared" si="6"/>
        <v>0</v>
      </c>
    </row>
    <row r="20" spans="1:9" x14ac:dyDescent="0.25">
      <c r="A20" s="41" t="s">
        <v>289</v>
      </c>
      <c r="B20" s="41" t="s">
        <v>162</v>
      </c>
      <c r="C20" s="42" t="s">
        <v>281</v>
      </c>
      <c r="D20" s="46">
        <v>33000</v>
      </c>
      <c r="E20" s="46">
        <f t="shared" si="4"/>
        <v>330</v>
      </c>
      <c r="F20" s="46">
        <v>0</v>
      </c>
      <c r="G20" s="46">
        <f t="shared" si="5"/>
        <v>32670</v>
      </c>
      <c r="H20" s="46">
        <v>32670</v>
      </c>
      <c r="I20" s="46">
        <f t="shared" si="6"/>
        <v>0</v>
      </c>
    </row>
    <row r="21" spans="1:9" x14ac:dyDescent="0.25">
      <c r="A21" s="41" t="s">
        <v>288</v>
      </c>
      <c r="B21" s="41" t="s">
        <v>277</v>
      </c>
      <c r="C21" s="42" t="s">
        <v>278</v>
      </c>
      <c r="D21" s="46">
        <v>45000</v>
      </c>
      <c r="E21" s="46">
        <f t="shared" si="4"/>
        <v>450</v>
      </c>
      <c r="F21" s="46">
        <v>7500</v>
      </c>
      <c r="G21" s="46">
        <f t="shared" si="5"/>
        <v>52050</v>
      </c>
      <c r="H21" s="46">
        <v>52050</v>
      </c>
      <c r="I21" s="46">
        <f t="shared" si="6"/>
        <v>0</v>
      </c>
    </row>
    <row r="22" spans="1:9" x14ac:dyDescent="0.25">
      <c r="A22" s="40"/>
      <c r="B22" s="40"/>
      <c r="C22" s="48"/>
      <c r="D22" s="49">
        <f t="shared" ref="D22:I22" si="7">SUM(D14:D21)</f>
        <v>293000</v>
      </c>
      <c r="E22" s="49">
        <f t="shared" si="7"/>
        <v>2930</v>
      </c>
      <c r="F22" s="49">
        <f t="shared" si="7"/>
        <v>13500</v>
      </c>
      <c r="G22" s="49">
        <f t="shared" si="7"/>
        <v>303570</v>
      </c>
      <c r="H22" s="49">
        <f t="shared" si="7"/>
        <v>303570</v>
      </c>
      <c r="I22" s="49">
        <f t="shared" si="7"/>
        <v>0</v>
      </c>
    </row>
    <row r="24" spans="1:9" x14ac:dyDescent="0.25">
      <c r="A24" s="40" t="s">
        <v>73</v>
      </c>
      <c r="B24" s="41"/>
      <c r="C24" s="42"/>
      <c r="D24" s="41"/>
      <c r="E24" s="41"/>
      <c r="F24" s="41"/>
      <c r="G24" s="46"/>
      <c r="H24" s="41"/>
      <c r="I24" s="46"/>
    </row>
    <row r="25" spans="1:9" x14ac:dyDescent="0.25">
      <c r="A25" s="41" t="s">
        <v>284</v>
      </c>
      <c r="B25" s="41" t="s">
        <v>162</v>
      </c>
      <c r="C25" s="42" t="s">
        <v>285</v>
      </c>
      <c r="D25" s="46">
        <v>20000</v>
      </c>
      <c r="E25" s="46">
        <f t="shared" ref="E25:E32" si="8">D25*0.01</f>
        <v>200</v>
      </c>
      <c r="F25" s="46">
        <v>0</v>
      </c>
      <c r="G25" s="46">
        <f t="shared" ref="G25:G32" si="9">(SUM(D25,F25)-E25)</f>
        <v>19800</v>
      </c>
      <c r="H25" s="46">
        <v>19800</v>
      </c>
      <c r="I25" s="46">
        <f t="shared" ref="I25:I32" si="10">G25-H25</f>
        <v>0</v>
      </c>
    </row>
    <row r="26" spans="1:9" x14ac:dyDescent="0.25">
      <c r="A26" s="41" t="s">
        <v>304</v>
      </c>
      <c r="B26" s="41" t="s">
        <v>305</v>
      </c>
      <c r="C26" s="42" t="s">
        <v>306</v>
      </c>
      <c r="D26" s="46">
        <v>20000</v>
      </c>
      <c r="E26" s="46">
        <f t="shared" si="8"/>
        <v>200</v>
      </c>
      <c r="F26" s="46">
        <v>-7000</v>
      </c>
      <c r="G26" s="46">
        <f t="shared" si="9"/>
        <v>12800</v>
      </c>
      <c r="H26" s="46">
        <v>12800</v>
      </c>
      <c r="I26" s="46">
        <f t="shared" si="10"/>
        <v>0</v>
      </c>
    </row>
    <row r="27" spans="1:9" x14ac:dyDescent="0.25">
      <c r="A27" s="41" t="s">
        <v>268</v>
      </c>
      <c r="B27" s="41" t="s">
        <v>162</v>
      </c>
      <c r="C27" s="42" t="s">
        <v>269</v>
      </c>
      <c r="D27" s="46">
        <v>50000</v>
      </c>
      <c r="E27" s="46">
        <f t="shared" si="8"/>
        <v>500</v>
      </c>
      <c r="F27" s="46">
        <v>-7000</v>
      </c>
      <c r="G27" s="46">
        <f t="shared" si="9"/>
        <v>42500</v>
      </c>
      <c r="H27" s="46">
        <v>10000</v>
      </c>
      <c r="I27" s="46">
        <f t="shared" si="10"/>
        <v>32500</v>
      </c>
    </row>
    <row r="28" spans="1:9" x14ac:dyDescent="0.25">
      <c r="A28" s="41" t="s">
        <v>272</v>
      </c>
      <c r="B28" s="41" t="s">
        <v>23</v>
      </c>
      <c r="C28" s="42" t="s">
        <v>273</v>
      </c>
      <c r="D28" s="46">
        <v>45000</v>
      </c>
      <c r="E28" s="46">
        <f t="shared" si="8"/>
        <v>450</v>
      </c>
      <c r="F28" s="46">
        <v>6000</v>
      </c>
      <c r="G28" s="46">
        <f t="shared" si="9"/>
        <v>50550</v>
      </c>
      <c r="H28" s="46">
        <v>50550</v>
      </c>
      <c r="I28" s="46">
        <f t="shared" si="10"/>
        <v>0</v>
      </c>
    </row>
    <row r="29" spans="1:9" x14ac:dyDescent="0.25">
      <c r="A29" s="41" t="s">
        <v>237</v>
      </c>
      <c r="B29" s="41" t="s">
        <v>162</v>
      </c>
      <c r="C29" s="42" t="s">
        <v>191</v>
      </c>
      <c r="D29" s="46">
        <v>45000</v>
      </c>
      <c r="E29" s="46">
        <f t="shared" si="8"/>
        <v>450</v>
      </c>
      <c r="F29" s="46">
        <v>0</v>
      </c>
      <c r="G29" s="46">
        <f t="shared" si="9"/>
        <v>44550</v>
      </c>
      <c r="H29" s="46">
        <v>44550</v>
      </c>
      <c r="I29" s="46">
        <f t="shared" si="10"/>
        <v>0</v>
      </c>
    </row>
    <row r="30" spans="1:9" x14ac:dyDescent="0.25">
      <c r="A30" s="41" t="s">
        <v>270</v>
      </c>
      <c r="B30" s="41" t="s">
        <v>162</v>
      </c>
      <c r="C30" s="42" t="s">
        <v>279</v>
      </c>
      <c r="D30" s="46">
        <v>35000</v>
      </c>
      <c r="E30" s="46">
        <f t="shared" si="8"/>
        <v>350</v>
      </c>
      <c r="F30" s="46">
        <v>0</v>
      </c>
      <c r="G30" s="46">
        <f t="shared" si="9"/>
        <v>34650</v>
      </c>
      <c r="H30" s="46">
        <v>34650</v>
      </c>
      <c r="I30" s="46">
        <f t="shared" si="10"/>
        <v>0</v>
      </c>
    </row>
    <row r="31" spans="1:9" x14ac:dyDescent="0.25">
      <c r="A31" s="41" t="s">
        <v>289</v>
      </c>
      <c r="B31" s="41" t="s">
        <v>162</v>
      </c>
      <c r="C31" s="42" t="s">
        <v>281</v>
      </c>
      <c r="D31" s="46">
        <v>33000</v>
      </c>
      <c r="E31" s="46">
        <f t="shared" si="8"/>
        <v>330</v>
      </c>
      <c r="F31" s="46">
        <v>-7000</v>
      </c>
      <c r="G31" s="46">
        <f t="shared" si="9"/>
        <v>25670</v>
      </c>
      <c r="H31" s="46">
        <v>25670</v>
      </c>
      <c r="I31" s="46">
        <f t="shared" si="10"/>
        <v>0</v>
      </c>
    </row>
    <row r="32" spans="1:9" x14ac:dyDescent="0.25">
      <c r="A32" s="41" t="s">
        <v>288</v>
      </c>
      <c r="B32" s="41" t="s">
        <v>277</v>
      </c>
      <c r="C32" s="42" t="s">
        <v>278</v>
      </c>
      <c r="D32" s="46">
        <v>45000</v>
      </c>
      <c r="E32" s="46">
        <f t="shared" si="8"/>
        <v>450</v>
      </c>
      <c r="F32" s="46">
        <v>7500</v>
      </c>
      <c r="G32" s="46">
        <f t="shared" si="9"/>
        <v>52050</v>
      </c>
      <c r="H32" s="46">
        <v>52050</v>
      </c>
      <c r="I32" s="46">
        <f t="shared" si="10"/>
        <v>0</v>
      </c>
    </row>
    <row r="33" spans="1:9" x14ac:dyDescent="0.25">
      <c r="A33" s="40"/>
      <c r="B33" s="40"/>
      <c r="C33" s="48"/>
      <c r="D33" s="49">
        <f t="shared" ref="D33:I33" si="11">SUM(D25:D32)</f>
        <v>293000</v>
      </c>
      <c r="E33" s="49">
        <f t="shared" si="11"/>
        <v>2930</v>
      </c>
      <c r="F33" s="49">
        <f t="shared" si="11"/>
        <v>-7500</v>
      </c>
      <c r="G33" s="49">
        <f t="shared" si="11"/>
        <v>282570</v>
      </c>
      <c r="H33" s="49">
        <f t="shared" si="11"/>
        <v>250070</v>
      </c>
      <c r="I33" s="49">
        <f t="shared" si="11"/>
        <v>32500</v>
      </c>
    </row>
    <row r="35" spans="1:9" x14ac:dyDescent="0.25">
      <c r="A35" s="40" t="s">
        <v>78</v>
      </c>
      <c r="B35" s="41"/>
      <c r="C35" s="42"/>
      <c r="D35" s="41"/>
      <c r="E35" s="41"/>
      <c r="F35" s="41"/>
      <c r="G35" s="46"/>
      <c r="H35" s="41"/>
      <c r="I35" s="46"/>
    </row>
    <row r="36" spans="1:9" x14ac:dyDescent="0.25">
      <c r="A36" s="41" t="s">
        <v>284</v>
      </c>
      <c r="B36" s="41" t="s">
        <v>162</v>
      </c>
      <c r="C36" s="42" t="s">
        <v>285</v>
      </c>
      <c r="D36" s="46">
        <f>D25*(3/22)</f>
        <v>2727.272727272727</v>
      </c>
      <c r="E36" s="46">
        <f t="shared" ref="E36:E43" si="12">D36*0.01</f>
        <v>27.27272727272727</v>
      </c>
      <c r="F36" s="46">
        <v>0</v>
      </c>
      <c r="G36" s="46">
        <f t="shared" ref="G36:G43" si="13">(SUM(D36,F36)-E36)</f>
        <v>2699.9999999999995</v>
      </c>
      <c r="H36" s="46">
        <v>1980</v>
      </c>
      <c r="I36" s="46">
        <f t="shared" ref="I36:I43" si="14">G36-H36</f>
        <v>719.99999999999955</v>
      </c>
    </row>
    <row r="37" spans="1:9" x14ac:dyDescent="0.25">
      <c r="A37" s="41" t="s">
        <v>304</v>
      </c>
      <c r="B37" s="41" t="s">
        <v>305</v>
      </c>
      <c r="C37" s="42" t="s">
        <v>306</v>
      </c>
      <c r="D37" s="46">
        <f>D26*(5/22)</f>
        <v>4545.454545454545</v>
      </c>
      <c r="E37" s="46">
        <f t="shared" si="12"/>
        <v>45.454545454545453</v>
      </c>
      <c r="F37" s="46">
        <v>0</v>
      </c>
      <c r="G37" s="46">
        <f t="shared" si="13"/>
        <v>4500</v>
      </c>
      <c r="H37" s="46">
        <v>3300</v>
      </c>
      <c r="I37" s="46">
        <f t="shared" si="14"/>
        <v>1200</v>
      </c>
    </row>
    <row r="38" spans="1:9" x14ac:dyDescent="0.25">
      <c r="A38" s="41" t="s">
        <v>268</v>
      </c>
      <c r="B38" s="41" t="s">
        <v>162</v>
      </c>
      <c r="C38" s="42" t="s">
        <v>269</v>
      </c>
      <c r="D38" s="46">
        <f>D27*(0/22)</f>
        <v>0</v>
      </c>
      <c r="E38" s="46">
        <f t="shared" si="12"/>
        <v>0</v>
      </c>
      <c r="F38" s="46">
        <v>32500</v>
      </c>
      <c r="G38" s="46">
        <f t="shared" si="13"/>
        <v>32500</v>
      </c>
      <c r="H38" s="46">
        <v>40000</v>
      </c>
      <c r="I38" s="46">
        <f t="shared" si="14"/>
        <v>-7500</v>
      </c>
    </row>
    <row r="39" spans="1:9" x14ac:dyDescent="0.25">
      <c r="A39" s="41" t="s">
        <v>272</v>
      </c>
      <c r="B39" s="41" t="s">
        <v>23</v>
      </c>
      <c r="C39" s="42" t="s">
        <v>273</v>
      </c>
      <c r="D39" s="46">
        <f>D28*(5/22)</f>
        <v>10227.272727272726</v>
      </c>
      <c r="E39" s="46">
        <f t="shared" si="12"/>
        <v>102.27272727272727</v>
      </c>
      <c r="F39" s="46">
        <v>0</v>
      </c>
      <c r="G39" s="46">
        <f t="shared" si="13"/>
        <v>10124.999999999998</v>
      </c>
      <c r="H39" s="46">
        <v>7425</v>
      </c>
      <c r="I39" s="46">
        <f t="shared" si="14"/>
        <v>2699.9999999999982</v>
      </c>
    </row>
    <row r="40" spans="1:9" x14ac:dyDescent="0.25">
      <c r="A40" s="41" t="s">
        <v>237</v>
      </c>
      <c r="B40" s="41" t="s">
        <v>162</v>
      </c>
      <c r="C40" s="42" t="s">
        <v>191</v>
      </c>
      <c r="D40" s="46">
        <f>D29*(9/22)</f>
        <v>18409.090909090912</v>
      </c>
      <c r="E40" s="46">
        <f t="shared" si="12"/>
        <v>184.09090909090912</v>
      </c>
      <c r="F40" s="46">
        <v>0</v>
      </c>
      <c r="G40" s="46">
        <f t="shared" si="13"/>
        <v>18225.000000000004</v>
      </c>
      <c r="H40" s="46">
        <v>18225</v>
      </c>
      <c r="I40" s="46">
        <f t="shared" si="14"/>
        <v>0</v>
      </c>
    </row>
    <row r="41" spans="1:9" x14ac:dyDescent="0.25">
      <c r="A41" s="41" t="s">
        <v>270</v>
      </c>
      <c r="B41" s="41" t="s">
        <v>162</v>
      </c>
      <c r="C41" s="42" t="s">
        <v>279</v>
      </c>
      <c r="D41" s="46">
        <f>D30*(2/22)</f>
        <v>3181.818181818182</v>
      </c>
      <c r="E41" s="46">
        <f t="shared" si="12"/>
        <v>31.81818181818182</v>
      </c>
      <c r="F41" s="46">
        <v>0</v>
      </c>
      <c r="G41" s="46">
        <f t="shared" si="13"/>
        <v>3150</v>
      </c>
      <c r="H41" s="46">
        <v>2310</v>
      </c>
      <c r="I41" s="46">
        <f t="shared" si="14"/>
        <v>840</v>
      </c>
    </row>
    <row r="42" spans="1:9" x14ac:dyDescent="0.25">
      <c r="A42" s="41" t="s">
        <v>289</v>
      </c>
      <c r="B42" s="41" t="s">
        <v>162</v>
      </c>
      <c r="C42" s="42" t="s">
        <v>281</v>
      </c>
      <c r="D42" s="46">
        <f>D31*(0/22)</f>
        <v>0</v>
      </c>
      <c r="E42" s="46">
        <f t="shared" si="12"/>
        <v>0</v>
      </c>
      <c r="F42" s="46">
        <v>0</v>
      </c>
      <c r="G42" s="46">
        <f t="shared" si="13"/>
        <v>0</v>
      </c>
      <c r="H42" s="46">
        <v>0</v>
      </c>
      <c r="I42" s="46">
        <f t="shared" si="14"/>
        <v>0</v>
      </c>
    </row>
    <row r="43" spans="1:9" x14ac:dyDescent="0.25">
      <c r="A43" s="41" t="s">
        <v>288</v>
      </c>
      <c r="B43" s="41" t="s">
        <v>277</v>
      </c>
      <c r="C43" s="42" t="s">
        <v>278</v>
      </c>
      <c r="D43" s="46">
        <f>D32*(5/22)</f>
        <v>10227.272727272726</v>
      </c>
      <c r="E43" s="46">
        <f t="shared" si="12"/>
        <v>102.27272727272727</v>
      </c>
      <c r="F43" s="46">
        <v>0</v>
      </c>
      <c r="G43" s="46">
        <f t="shared" si="13"/>
        <v>10124.999999999998</v>
      </c>
      <c r="H43" s="46">
        <v>7425</v>
      </c>
      <c r="I43" s="46">
        <f t="shared" si="14"/>
        <v>2699.9999999999982</v>
      </c>
    </row>
    <row r="44" spans="1:9" x14ac:dyDescent="0.25">
      <c r="A44" s="40"/>
      <c r="B44" s="40"/>
      <c r="C44" s="48"/>
      <c r="D44" s="49">
        <f t="shared" ref="D44:I44" si="15">SUM(D36:D43)</f>
        <v>49318.181818181823</v>
      </c>
      <c r="E44" s="49">
        <f t="shared" si="15"/>
        <v>493.18181818181819</v>
      </c>
      <c r="F44" s="49">
        <f t="shared" si="15"/>
        <v>32500</v>
      </c>
      <c r="G44" s="49">
        <f t="shared" si="15"/>
        <v>81325</v>
      </c>
      <c r="H44" s="49">
        <f t="shared" si="15"/>
        <v>80665</v>
      </c>
      <c r="I44" s="49">
        <f t="shared" si="15"/>
        <v>659.99999999999636</v>
      </c>
    </row>
    <row r="46" spans="1:9" x14ac:dyDescent="0.25">
      <c r="A46" s="40" t="s">
        <v>79</v>
      </c>
      <c r="B46" s="41"/>
      <c r="C46" s="42"/>
      <c r="D46" s="41"/>
      <c r="E46" s="41"/>
      <c r="F46" s="41"/>
      <c r="G46" s="46"/>
      <c r="H46" s="41"/>
      <c r="I46" s="46"/>
    </row>
    <row r="47" spans="1:9" x14ac:dyDescent="0.25">
      <c r="A47" s="41" t="s">
        <v>284</v>
      </c>
      <c r="B47" s="41" t="s">
        <v>162</v>
      </c>
      <c r="C47" s="42" t="s">
        <v>285</v>
      </c>
      <c r="D47" s="46">
        <v>25000</v>
      </c>
      <c r="E47" s="46">
        <f t="shared" ref="E47:E56" si="16">D47*0.01</f>
        <v>250</v>
      </c>
      <c r="F47" s="46">
        <v>720</v>
      </c>
      <c r="G47" s="46">
        <f t="shared" ref="G47:G56" si="17">(SUM(D47,F47)-E47)</f>
        <v>25470</v>
      </c>
      <c r="H47" s="46">
        <v>25470</v>
      </c>
      <c r="I47" s="46">
        <f t="shared" ref="I47:I56" si="18">G47-H47</f>
        <v>0</v>
      </c>
    </row>
    <row r="48" spans="1:9" x14ac:dyDescent="0.25">
      <c r="A48" s="41" t="s">
        <v>307</v>
      </c>
      <c r="B48" s="41" t="s">
        <v>305</v>
      </c>
      <c r="C48" s="42" t="s">
        <v>306</v>
      </c>
      <c r="D48" s="46">
        <v>25000</v>
      </c>
      <c r="E48" s="46">
        <f t="shared" si="16"/>
        <v>250</v>
      </c>
      <c r="F48" s="46">
        <v>1200</v>
      </c>
      <c r="G48" s="46">
        <f t="shared" si="17"/>
        <v>25950</v>
      </c>
      <c r="H48" s="46">
        <v>25950</v>
      </c>
      <c r="I48" s="46">
        <f t="shared" si="18"/>
        <v>0</v>
      </c>
    </row>
    <row r="49" spans="1:9" x14ac:dyDescent="0.25">
      <c r="A49" s="41" t="s">
        <v>268</v>
      </c>
      <c r="B49" s="41" t="s">
        <v>162</v>
      </c>
      <c r="C49" s="42" t="s">
        <v>269</v>
      </c>
      <c r="D49" s="46">
        <v>50000</v>
      </c>
      <c r="E49" s="46">
        <f t="shared" si="16"/>
        <v>500</v>
      </c>
      <c r="F49" s="46">
        <v>-7500</v>
      </c>
      <c r="G49" s="46">
        <f t="shared" si="17"/>
        <v>42000</v>
      </c>
      <c r="H49" s="46">
        <v>42000</v>
      </c>
      <c r="I49" s="46">
        <f t="shared" si="18"/>
        <v>0</v>
      </c>
    </row>
    <row r="50" spans="1:9" x14ac:dyDescent="0.25">
      <c r="A50" s="41" t="s">
        <v>272</v>
      </c>
      <c r="B50" s="41" t="s">
        <v>23</v>
      </c>
      <c r="C50" s="42" t="s">
        <v>273</v>
      </c>
      <c r="D50" s="46">
        <v>45000</v>
      </c>
      <c r="E50" s="46">
        <f t="shared" si="16"/>
        <v>450</v>
      </c>
      <c r="F50" s="46">
        <v>13700</v>
      </c>
      <c r="G50" s="46">
        <f t="shared" si="17"/>
        <v>58250</v>
      </c>
      <c r="H50" s="46">
        <v>58250</v>
      </c>
      <c r="I50" s="46">
        <f t="shared" si="18"/>
        <v>0</v>
      </c>
    </row>
    <row r="51" spans="1:9" x14ac:dyDescent="0.25">
      <c r="A51" s="41" t="s">
        <v>237</v>
      </c>
      <c r="B51" s="41" t="s">
        <v>162</v>
      </c>
      <c r="C51" s="42" t="s">
        <v>191</v>
      </c>
      <c r="D51" s="46">
        <v>45000</v>
      </c>
      <c r="E51" s="46">
        <f t="shared" si="16"/>
        <v>450</v>
      </c>
      <c r="F51" s="46">
        <v>5000</v>
      </c>
      <c r="G51" s="46">
        <f t="shared" si="17"/>
        <v>49550</v>
      </c>
      <c r="H51" s="46">
        <v>49550</v>
      </c>
      <c r="I51" s="46">
        <f t="shared" si="18"/>
        <v>0</v>
      </c>
    </row>
    <row r="52" spans="1:9" x14ac:dyDescent="0.25">
      <c r="A52" s="41" t="s">
        <v>270</v>
      </c>
      <c r="B52" s="41" t="s">
        <v>162</v>
      </c>
      <c r="C52" s="42" t="s">
        <v>279</v>
      </c>
      <c r="D52" s="46">
        <v>35000</v>
      </c>
      <c r="E52" s="46">
        <f t="shared" si="16"/>
        <v>350</v>
      </c>
      <c r="F52" s="46">
        <v>840</v>
      </c>
      <c r="G52" s="46">
        <f t="shared" si="17"/>
        <v>35490</v>
      </c>
      <c r="H52" s="46">
        <v>35490</v>
      </c>
      <c r="I52" s="46">
        <f t="shared" si="18"/>
        <v>0</v>
      </c>
    </row>
    <row r="53" spans="1:9" x14ac:dyDescent="0.25">
      <c r="A53" s="41" t="s">
        <v>289</v>
      </c>
      <c r="B53" s="41" t="s">
        <v>162</v>
      </c>
      <c r="C53" s="42" t="s">
        <v>281</v>
      </c>
      <c r="D53" s="46">
        <v>33000</v>
      </c>
      <c r="E53" s="46">
        <f t="shared" si="16"/>
        <v>330</v>
      </c>
      <c r="F53" s="46">
        <v>0</v>
      </c>
      <c r="G53" s="46">
        <f t="shared" si="17"/>
        <v>32670</v>
      </c>
      <c r="H53" s="46">
        <v>32670</v>
      </c>
      <c r="I53" s="46">
        <f t="shared" si="18"/>
        <v>0</v>
      </c>
    </row>
    <row r="54" spans="1:9" x14ac:dyDescent="0.25">
      <c r="A54" s="41" t="s">
        <v>308</v>
      </c>
      <c r="B54" s="41" t="s">
        <v>162</v>
      </c>
      <c r="C54" s="42" t="s">
        <v>309</v>
      </c>
      <c r="D54" s="46">
        <v>25000</v>
      </c>
      <c r="E54" s="46">
        <f t="shared" si="16"/>
        <v>250</v>
      </c>
      <c r="F54" s="46">
        <v>0</v>
      </c>
      <c r="G54" s="46">
        <f t="shared" si="17"/>
        <v>24750</v>
      </c>
      <c r="H54" s="46">
        <v>24750</v>
      </c>
      <c r="I54" s="46">
        <f t="shared" si="18"/>
        <v>0</v>
      </c>
    </row>
    <row r="55" spans="1:9" x14ac:dyDescent="0.25">
      <c r="A55" s="41" t="s">
        <v>310</v>
      </c>
      <c r="B55" s="41" t="s">
        <v>233</v>
      </c>
      <c r="C55" s="42" t="s">
        <v>311</v>
      </c>
      <c r="D55" s="46">
        <v>45000</v>
      </c>
      <c r="E55" s="46">
        <f t="shared" si="16"/>
        <v>450</v>
      </c>
      <c r="F55" s="46">
        <v>0</v>
      </c>
      <c r="G55" s="46">
        <f t="shared" si="17"/>
        <v>44550</v>
      </c>
      <c r="H55" s="46">
        <v>44550</v>
      </c>
      <c r="I55" s="46">
        <f t="shared" si="18"/>
        <v>0</v>
      </c>
    </row>
    <row r="56" spans="1:9" x14ac:dyDescent="0.25">
      <c r="A56" s="41" t="s">
        <v>288</v>
      </c>
      <c r="B56" s="41" t="s">
        <v>277</v>
      </c>
      <c r="C56" s="42" t="s">
        <v>278</v>
      </c>
      <c r="D56" s="46">
        <v>38000</v>
      </c>
      <c r="E56" s="46">
        <f t="shared" si="16"/>
        <v>380</v>
      </c>
      <c r="F56" s="46">
        <v>0</v>
      </c>
      <c r="G56" s="46">
        <f t="shared" si="17"/>
        <v>37620</v>
      </c>
      <c r="H56" s="46">
        <v>37620</v>
      </c>
      <c r="I56" s="46">
        <f t="shared" si="18"/>
        <v>0</v>
      </c>
    </row>
    <row r="57" spans="1:9" x14ac:dyDescent="0.25">
      <c r="A57" s="40"/>
      <c r="B57" s="40"/>
      <c r="C57" s="48"/>
      <c r="D57" s="49">
        <f t="shared" ref="D57:I57" si="19">SUM(D47:D56)</f>
        <v>366000</v>
      </c>
      <c r="E57" s="49">
        <f t="shared" si="19"/>
        <v>3660</v>
      </c>
      <c r="F57" s="49">
        <f t="shared" si="19"/>
        <v>13960</v>
      </c>
      <c r="G57" s="49">
        <f t="shared" si="19"/>
        <v>376300</v>
      </c>
      <c r="H57" s="49">
        <f t="shared" si="19"/>
        <v>376300</v>
      </c>
      <c r="I57" s="49">
        <f t="shared" si="19"/>
        <v>0</v>
      </c>
    </row>
    <row r="59" spans="1:9" ht="15" customHeight="1" x14ac:dyDescent="0.25">
      <c r="A59" s="40" t="s">
        <v>97</v>
      </c>
      <c r="B59" s="41"/>
      <c r="C59" s="42"/>
      <c r="D59" s="41"/>
      <c r="E59" s="41"/>
      <c r="F59" s="41"/>
      <c r="G59" s="46"/>
      <c r="H59" s="41"/>
      <c r="I59" s="46"/>
    </row>
    <row r="60" spans="1:9" ht="15" customHeight="1" x14ac:dyDescent="0.25">
      <c r="A60" s="41" t="s">
        <v>284</v>
      </c>
      <c r="B60" s="41" t="s">
        <v>162</v>
      </c>
      <c r="C60" s="42" t="s">
        <v>285</v>
      </c>
      <c r="D60" s="46">
        <v>45000</v>
      </c>
      <c r="E60" s="46">
        <f t="shared" ref="E60:E69" si="20">D60*0.01</f>
        <v>450</v>
      </c>
      <c r="F60" s="46">
        <v>0</v>
      </c>
      <c r="G60" s="46">
        <f t="shared" ref="G60:G69" si="21">(SUM(D60,F60)-E60)</f>
        <v>44550</v>
      </c>
      <c r="H60" s="46">
        <v>44550</v>
      </c>
      <c r="I60" s="46">
        <f t="shared" ref="I60:I69" si="22">G60-H60</f>
        <v>0</v>
      </c>
    </row>
    <row r="61" spans="1:9" ht="15" customHeight="1" x14ac:dyDescent="0.25">
      <c r="A61" s="41" t="s">
        <v>307</v>
      </c>
      <c r="B61" s="41" t="s">
        <v>162</v>
      </c>
      <c r="C61" s="42" t="s">
        <v>313</v>
      </c>
      <c r="D61" s="46">
        <v>25000</v>
      </c>
      <c r="E61" s="46">
        <f t="shared" si="20"/>
        <v>250</v>
      </c>
      <c r="F61" s="46">
        <v>0</v>
      </c>
      <c r="G61" s="46">
        <f t="shared" si="21"/>
        <v>24750</v>
      </c>
      <c r="H61" s="46">
        <v>24750</v>
      </c>
      <c r="I61" s="46">
        <f t="shared" si="22"/>
        <v>0</v>
      </c>
    </row>
    <row r="62" spans="1:9" ht="15" customHeight="1" x14ac:dyDescent="0.25">
      <c r="A62" s="41" t="s">
        <v>268</v>
      </c>
      <c r="B62" s="41" t="s">
        <v>162</v>
      </c>
      <c r="C62" s="42" t="s">
        <v>269</v>
      </c>
      <c r="D62" s="46">
        <v>50000</v>
      </c>
      <c r="E62" s="46">
        <f t="shared" si="20"/>
        <v>500</v>
      </c>
      <c r="F62" s="46">
        <v>-89500</v>
      </c>
      <c r="G62" s="46">
        <f t="shared" si="21"/>
        <v>-40000</v>
      </c>
      <c r="H62" s="46">
        <v>0</v>
      </c>
      <c r="I62" s="46">
        <f t="shared" si="22"/>
        <v>-40000</v>
      </c>
    </row>
    <row r="63" spans="1:9" ht="15" customHeight="1" x14ac:dyDescent="0.25">
      <c r="A63" s="41" t="s">
        <v>272</v>
      </c>
      <c r="B63" s="41" t="s">
        <v>23</v>
      </c>
      <c r="C63" s="42" t="s">
        <v>273</v>
      </c>
      <c r="D63" s="46">
        <v>45000</v>
      </c>
      <c r="E63" s="46">
        <f t="shared" si="20"/>
        <v>450</v>
      </c>
      <c r="F63" s="46">
        <v>11000</v>
      </c>
      <c r="G63" s="46">
        <f t="shared" si="21"/>
        <v>55550</v>
      </c>
      <c r="H63" s="46">
        <v>55550</v>
      </c>
      <c r="I63" s="46">
        <f t="shared" si="22"/>
        <v>0</v>
      </c>
    </row>
    <row r="64" spans="1:9" ht="15" customHeight="1" x14ac:dyDescent="0.25">
      <c r="A64" s="41" t="s">
        <v>237</v>
      </c>
      <c r="B64" s="41" t="s">
        <v>162</v>
      </c>
      <c r="C64" s="42" t="s">
        <v>191</v>
      </c>
      <c r="D64" s="46">
        <v>45000</v>
      </c>
      <c r="E64" s="46">
        <f t="shared" si="20"/>
        <v>450</v>
      </c>
      <c r="F64" s="46">
        <v>5000</v>
      </c>
      <c r="G64" s="46">
        <f t="shared" si="21"/>
        <v>49550</v>
      </c>
      <c r="H64" s="46">
        <v>49550</v>
      </c>
      <c r="I64" s="46">
        <f t="shared" si="22"/>
        <v>0</v>
      </c>
    </row>
    <row r="65" spans="1:9" ht="15" customHeight="1" x14ac:dyDescent="0.25">
      <c r="A65" s="41" t="s">
        <v>270</v>
      </c>
      <c r="B65" s="41" t="s">
        <v>162</v>
      </c>
      <c r="C65" s="42" t="s">
        <v>279</v>
      </c>
      <c r="D65" s="46">
        <v>35000</v>
      </c>
      <c r="E65" s="46">
        <f t="shared" si="20"/>
        <v>350</v>
      </c>
      <c r="F65" s="46">
        <v>0</v>
      </c>
      <c r="G65" s="46">
        <f t="shared" si="21"/>
        <v>34650</v>
      </c>
      <c r="H65" s="46">
        <v>34650</v>
      </c>
      <c r="I65" s="46">
        <f t="shared" si="22"/>
        <v>0</v>
      </c>
    </row>
    <row r="66" spans="1:9" ht="15" customHeight="1" x14ac:dyDescent="0.25">
      <c r="A66" s="41" t="s">
        <v>289</v>
      </c>
      <c r="B66" s="41" t="s">
        <v>162</v>
      </c>
      <c r="C66" s="42" t="s">
        <v>281</v>
      </c>
      <c r="D66" s="46">
        <v>33000</v>
      </c>
      <c r="E66" s="46">
        <f t="shared" si="20"/>
        <v>330</v>
      </c>
      <c r="F66" s="46">
        <v>0</v>
      </c>
      <c r="G66" s="46">
        <f t="shared" si="21"/>
        <v>32670</v>
      </c>
      <c r="H66" s="46">
        <v>32670</v>
      </c>
      <c r="I66" s="46">
        <f t="shared" si="22"/>
        <v>0</v>
      </c>
    </row>
    <row r="67" spans="1:9" ht="15" customHeight="1" x14ac:dyDescent="0.25">
      <c r="A67" s="41" t="s">
        <v>308</v>
      </c>
      <c r="B67" s="41" t="s">
        <v>162</v>
      </c>
      <c r="C67" s="42" t="s">
        <v>309</v>
      </c>
      <c r="D67" s="46">
        <v>25000</v>
      </c>
      <c r="E67" s="46">
        <f t="shared" si="20"/>
        <v>250</v>
      </c>
      <c r="F67" s="46">
        <v>0</v>
      </c>
      <c r="G67" s="46">
        <f t="shared" si="21"/>
        <v>24750</v>
      </c>
      <c r="H67" s="46">
        <v>24750</v>
      </c>
      <c r="I67" s="46">
        <f t="shared" si="22"/>
        <v>0</v>
      </c>
    </row>
    <row r="68" spans="1:9" ht="15" customHeight="1" x14ac:dyDescent="0.25">
      <c r="A68" s="41" t="s">
        <v>310</v>
      </c>
      <c r="B68" s="41" t="s">
        <v>233</v>
      </c>
      <c r="C68" s="42" t="s">
        <v>311</v>
      </c>
      <c r="D68" s="46">
        <v>45000</v>
      </c>
      <c r="E68" s="46">
        <f t="shared" si="20"/>
        <v>450</v>
      </c>
      <c r="F68" s="46">
        <v>0</v>
      </c>
      <c r="G68" s="46">
        <f t="shared" si="21"/>
        <v>44550</v>
      </c>
      <c r="H68" s="46">
        <v>44550</v>
      </c>
      <c r="I68" s="46">
        <f t="shared" si="22"/>
        <v>0</v>
      </c>
    </row>
    <row r="69" spans="1:9" ht="15" customHeight="1" x14ac:dyDescent="0.25">
      <c r="A69" s="41" t="s">
        <v>288</v>
      </c>
      <c r="B69" s="41" t="s">
        <v>277</v>
      </c>
      <c r="C69" s="42" t="s">
        <v>278</v>
      </c>
      <c r="D69" s="46">
        <v>38000</v>
      </c>
      <c r="E69" s="46">
        <f t="shared" si="20"/>
        <v>380</v>
      </c>
      <c r="F69" s="46">
        <v>0</v>
      </c>
      <c r="G69" s="46">
        <f t="shared" si="21"/>
        <v>37620</v>
      </c>
      <c r="H69" s="46">
        <v>37620</v>
      </c>
      <c r="I69" s="46">
        <f t="shared" si="22"/>
        <v>0</v>
      </c>
    </row>
    <row r="70" spans="1:9" ht="15" customHeight="1" x14ac:dyDescent="0.25">
      <c r="A70" s="40"/>
      <c r="B70" s="40"/>
      <c r="C70" s="48"/>
      <c r="D70" s="49">
        <f t="shared" ref="D70:I70" si="23">SUM(D60:D69)</f>
        <v>386000</v>
      </c>
      <c r="E70" s="49">
        <f t="shared" si="23"/>
        <v>3860</v>
      </c>
      <c r="F70" s="49">
        <f t="shared" si="23"/>
        <v>-73500</v>
      </c>
      <c r="G70" s="49">
        <f t="shared" si="23"/>
        <v>308640</v>
      </c>
      <c r="H70" s="49">
        <f t="shared" si="23"/>
        <v>348640</v>
      </c>
      <c r="I70" s="49">
        <f t="shared" si="23"/>
        <v>-40000</v>
      </c>
    </row>
    <row r="72" spans="1:9" ht="15" customHeight="1" x14ac:dyDescent="0.25">
      <c r="A72" s="40" t="s">
        <v>101</v>
      </c>
      <c r="B72" s="41"/>
      <c r="C72" s="42"/>
      <c r="D72" s="41"/>
      <c r="E72" s="41"/>
      <c r="F72" s="41"/>
      <c r="G72" s="46"/>
      <c r="H72" s="41"/>
      <c r="I72" s="46"/>
    </row>
    <row r="73" spans="1:9" ht="15" customHeight="1" x14ac:dyDescent="0.25">
      <c r="A73" s="41" t="s">
        <v>284</v>
      </c>
      <c r="B73" s="41" t="s">
        <v>162</v>
      </c>
      <c r="C73" s="42" t="s">
        <v>285</v>
      </c>
      <c r="D73" s="46">
        <v>45000</v>
      </c>
      <c r="E73" s="46">
        <f t="shared" ref="E73:E82" si="24">D73*0.01</f>
        <v>450</v>
      </c>
      <c r="F73" s="46">
        <v>0</v>
      </c>
      <c r="G73" s="46">
        <f t="shared" ref="G73:G82" si="25">(SUM(D73,F73)-E73)</f>
        <v>44550</v>
      </c>
      <c r="H73" s="46">
        <v>44550</v>
      </c>
      <c r="I73" s="46">
        <f t="shared" ref="I73:I82" si="26">G73-H73</f>
        <v>0</v>
      </c>
    </row>
    <row r="74" spans="1:9" ht="15" customHeight="1" x14ac:dyDescent="0.25">
      <c r="A74" s="41" t="s">
        <v>307</v>
      </c>
      <c r="B74" s="41" t="s">
        <v>162</v>
      </c>
      <c r="C74" s="42" t="s">
        <v>313</v>
      </c>
      <c r="D74" s="46">
        <v>25000</v>
      </c>
      <c r="E74" s="46">
        <f t="shared" si="24"/>
        <v>250</v>
      </c>
      <c r="F74" s="46">
        <v>0</v>
      </c>
      <c r="G74" s="46">
        <f t="shared" si="25"/>
        <v>24750</v>
      </c>
      <c r="H74" s="46">
        <v>24750</v>
      </c>
      <c r="I74" s="46">
        <f>G74-H74</f>
        <v>0</v>
      </c>
    </row>
    <row r="75" spans="1:9" ht="15" customHeight="1" x14ac:dyDescent="0.25">
      <c r="A75" s="41" t="s">
        <v>268</v>
      </c>
      <c r="B75" s="41" t="s">
        <v>162</v>
      </c>
      <c r="C75" s="42" t="s">
        <v>269</v>
      </c>
      <c r="D75" s="46">
        <v>50000</v>
      </c>
      <c r="E75" s="46">
        <f t="shared" si="24"/>
        <v>500</v>
      </c>
      <c r="F75" s="46">
        <v>0</v>
      </c>
      <c r="G75" s="46">
        <f>(SUM(D75,F75)-E75)</f>
        <v>49500</v>
      </c>
      <c r="H75" s="46">
        <v>40000</v>
      </c>
      <c r="I75" s="46">
        <f t="shared" si="26"/>
        <v>9500</v>
      </c>
    </row>
    <row r="76" spans="1:9" ht="15" customHeight="1" x14ac:dyDescent="0.25">
      <c r="A76" s="41" t="s">
        <v>272</v>
      </c>
      <c r="B76" s="41" t="s">
        <v>23</v>
      </c>
      <c r="C76" s="42" t="s">
        <v>273</v>
      </c>
      <c r="D76" s="46">
        <v>45000</v>
      </c>
      <c r="E76" s="46">
        <f t="shared" si="24"/>
        <v>450</v>
      </c>
      <c r="F76" s="46">
        <v>11000</v>
      </c>
      <c r="G76" s="46">
        <f t="shared" si="25"/>
        <v>55550</v>
      </c>
      <c r="H76" s="46">
        <v>30000</v>
      </c>
      <c r="I76" s="46">
        <f t="shared" si="26"/>
        <v>25550</v>
      </c>
    </row>
    <row r="77" spans="1:9" ht="15" customHeight="1" x14ac:dyDescent="0.25">
      <c r="A77" s="41" t="s">
        <v>237</v>
      </c>
      <c r="B77" s="41" t="s">
        <v>162</v>
      </c>
      <c r="C77" s="42" t="s">
        <v>191</v>
      </c>
      <c r="D77" s="46">
        <v>45000</v>
      </c>
      <c r="E77" s="46">
        <f t="shared" si="24"/>
        <v>450</v>
      </c>
      <c r="F77" s="46">
        <v>5000</v>
      </c>
      <c r="G77" s="46">
        <f t="shared" si="25"/>
        <v>49550</v>
      </c>
      <c r="H77" s="46">
        <v>0</v>
      </c>
      <c r="I77" s="46">
        <f t="shared" si="26"/>
        <v>49550</v>
      </c>
    </row>
    <row r="78" spans="1:9" ht="15" customHeight="1" x14ac:dyDescent="0.25">
      <c r="A78" s="41" t="s">
        <v>270</v>
      </c>
      <c r="B78" s="41" t="s">
        <v>162</v>
      </c>
      <c r="C78" s="42" t="s">
        <v>279</v>
      </c>
      <c r="D78" s="46">
        <v>35000</v>
      </c>
      <c r="E78" s="46">
        <f t="shared" si="24"/>
        <v>350</v>
      </c>
      <c r="F78" s="46">
        <v>0</v>
      </c>
      <c r="G78" s="46">
        <f t="shared" si="25"/>
        <v>34650</v>
      </c>
      <c r="H78" s="46">
        <v>34650</v>
      </c>
      <c r="I78" s="46">
        <f t="shared" si="26"/>
        <v>0</v>
      </c>
    </row>
    <row r="79" spans="1:9" ht="15" customHeight="1" x14ac:dyDescent="0.25">
      <c r="A79" s="41" t="s">
        <v>289</v>
      </c>
      <c r="B79" s="41" t="s">
        <v>162</v>
      </c>
      <c r="C79" s="42" t="s">
        <v>281</v>
      </c>
      <c r="D79" s="46">
        <v>33000</v>
      </c>
      <c r="E79" s="46">
        <f t="shared" si="24"/>
        <v>330</v>
      </c>
      <c r="F79" s="46">
        <v>0</v>
      </c>
      <c r="G79" s="46">
        <f t="shared" si="25"/>
        <v>32670</v>
      </c>
      <c r="H79" s="46">
        <v>0</v>
      </c>
      <c r="I79" s="46">
        <f t="shared" si="26"/>
        <v>32670</v>
      </c>
    </row>
    <row r="80" spans="1:9" ht="15" customHeight="1" x14ac:dyDescent="0.25">
      <c r="A80" s="41" t="s">
        <v>308</v>
      </c>
      <c r="B80" s="41" t="s">
        <v>162</v>
      </c>
      <c r="C80" s="42" t="s">
        <v>309</v>
      </c>
      <c r="D80" s="46">
        <v>25000</v>
      </c>
      <c r="E80" s="46">
        <f t="shared" si="24"/>
        <v>250</v>
      </c>
      <c r="F80" s="46">
        <v>0</v>
      </c>
      <c r="G80" s="46">
        <f t="shared" si="25"/>
        <v>24750</v>
      </c>
      <c r="H80" s="46">
        <v>24750</v>
      </c>
      <c r="I80" s="46">
        <f t="shared" si="26"/>
        <v>0</v>
      </c>
    </row>
    <row r="81" spans="1:9" ht="15" customHeight="1" x14ac:dyDescent="0.25">
      <c r="A81" s="41" t="s">
        <v>310</v>
      </c>
      <c r="B81" s="41" t="s">
        <v>233</v>
      </c>
      <c r="C81" s="42" t="s">
        <v>311</v>
      </c>
      <c r="D81" s="46">
        <v>45000</v>
      </c>
      <c r="E81" s="46">
        <f t="shared" si="24"/>
        <v>450</v>
      </c>
      <c r="F81" s="46">
        <v>0</v>
      </c>
      <c r="G81" s="46">
        <f t="shared" si="25"/>
        <v>44550</v>
      </c>
      <c r="H81" s="46">
        <v>44550</v>
      </c>
      <c r="I81" s="46">
        <f t="shared" si="26"/>
        <v>0</v>
      </c>
    </row>
    <row r="82" spans="1:9" ht="15" customHeight="1" x14ac:dyDescent="0.25">
      <c r="A82" s="41" t="s">
        <v>288</v>
      </c>
      <c r="B82" s="41" t="s">
        <v>277</v>
      </c>
      <c r="C82" s="42" t="s">
        <v>278</v>
      </c>
      <c r="D82" s="46">
        <v>38000</v>
      </c>
      <c r="E82" s="46">
        <f t="shared" si="24"/>
        <v>380</v>
      </c>
      <c r="F82" s="46">
        <v>0</v>
      </c>
      <c r="G82" s="46">
        <f t="shared" si="25"/>
        <v>37620</v>
      </c>
      <c r="H82" s="46">
        <v>37620</v>
      </c>
      <c r="I82" s="46">
        <f t="shared" si="26"/>
        <v>0</v>
      </c>
    </row>
    <row r="83" spans="1:9" ht="15" customHeight="1" x14ac:dyDescent="0.25">
      <c r="A83" s="40"/>
      <c r="B83" s="40"/>
      <c r="C83" s="48"/>
      <c r="D83" s="49">
        <f t="shared" ref="D83:I83" si="27">SUM(D73:D82)</f>
        <v>386000</v>
      </c>
      <c r="E83" s="49">
        <f t="shared" si="27"/>
        <v>3860</v>
      </c>
      <c r="F83" s="49">
        <f t="shared" si="27"/>
        <v>16000</v>
      </c>
      <c r="G83" s="49">
        <f t="shared" si="27"/>
        <v>398140</v>
      </c>
      <c r="H83" s="49">
        <f t="shared" si="27"/>
        <v>280870</v>
      </c>
      <c r="I83" s="49">
        <f t="shared" si="27"/>
        <v>117270</v>
      </c>
    </row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workbookViewId="0">
      <pane xSplit="4" ySplit="1" topLeftCell="E20" activePane="bottomRight" state="frozen"/>
      <selection pane="topRight" activeCell="E1" sqref="E1"/>
      <selection pane="bottomLeft" activeCell="A2" sqref="A2"/>
      <selection pane="bottomRight" activeCell="A41" sqref="A41"/>
    </sheetView>
  </sheetViews>
  <sheetFormatPr defaultColWidth="14.42578125" defaultRowHeight="15" customHeight="1" x14ac:dyDescent="0.25"/>
  <cols>
    <col min="1" max="1" width="36.5703125" customWidth="1"/>
    <col min="2" max="2" width="8.28515625" customWidth="1"/>
    <col min="3" max="3" width="20.5703125" customWidth="1"/>
    <col min="4" max="4" width="16.140625" customWidth="1"/>
    <col min="5" max="5" width="22.7109375" customWidth="1"/>
    <col min="6" max="6" width="16" customWidth="1"/>
    <col min="7" max="7" width="20.7109375" customWidth="1"/>
    <col min="8" max="8" width="16" bestFit="1" customWidth="1"/>
    <col min="9" max="9" width="14.28515625" bestFit="1" customWidth="1"/>
    <col min="10" max="10" width="12.140625" customWidth="1"/>
    <col min="11" max="13" width="8.7109375" customWidth="1"/>
  </cols>
  <sheetData>
    <row r="1" spans="1:13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x14ac:dyDescent="0.25">
      <c r="A2" s="40" t="s">
        <v>12</v>
      </c>
      <c r="B2" s="41"/>
      <c r="C2" s="42"/>
      <c r="D2" s="41"/>
      <c r="E2" s="41"/>
      <c r="F2" s="41"/>
      <c r="G2" s="46"/>
      <c r="H2" s="41"/>
      <c r="I2" s="46"/>
    </row>
    <row r="3" spans="1:13" x14ac:dyDescent="0.25">
      <c r="A3" s="41" t="s">
        <v>245</v>
      </c>
      <c r="B3" s="41" t="s">
        <v>162</v>
      </c>
      <c r="C3" s="42" t="s">
        <v>295</v>
      </c>
      <c r="D3" s="46">
        <v>45000</v>
      </c>
      <c r="E3" s="46">
        <f t="shared" ref="E3:E5" si="0">D3*0.01</f>
        <v>450</v>
      </c>
      <c r="F3" s="46">
        <v>0</v>
      </c>
      <c r="G3" s="46">
        <f t="shared" ref="G3:G5" si="1">SUM(D3,F3)-E3</f>
        <v>44550</v>
      </c>
      <c r="H3" s="46">
        <v>44550</v>
      </c>
      <c r="I3" s="46">
        <f t="shared" ref="I3:I5" si="2">G3-H3</f>
        <v>0</v>
      </c>
    </row>
    <row r="4" spans="1:13" x14ac:dyDescent="0.25">
      <c r="A4" s="41" t="s">
        <v>243</v>
      </c>
      <c r="B4" s="41" t="s">
        <v>35</v>
      </c>
      <c r="C4" s="42" t="s">
        <v>129</v>
      </c>
      <c r="D4" s="46">
        <v>20000</v>
      </c>
      <c r="E4" s="46">
        <f t="shared" si="0"/>
        <v>200</v>
      </c>
      <c r="F4" s="46">
        <v>0</v>
      </c>
      <c r="G4" s="46">
        <f t="shared" si="1"/>
        <v>19800</v>
      </c>
      <c r="H4" s="46">
        <v>19800</v>
      </c>
      <c r="I4" s="46">
        <f t="shared" si="2"/>
        <v>0</v>
      </c>
    </row>
    <row r="5" spans="1:13" x14ac:dyDescent="0.25">
      <c r="A5" s="41" t="s">
        <v>312</v>
      </c>
      <c r="B5" s="41" t="s">
        <v>162</v>
      </c>
      <c r="C5" s="42"/>
      <c r="D5" s="46">
        <v>34000</v>
      </c>
      <c r="E5" s="46">
        <f t="shared" si="0"/>
        <v>340</v>
      </c>
      <c r="F5" s="46">
        <v>0</v>
      </c>
      <c r="G5" s="46">
        <f t="shared" si="1"/>
        <v>33660</v>
      </c>
      <c r="H5" s="46">
        <v>34000</v>
      </c>
      <c r="I5" s="46">
        <f t="shared" si="2"/>
        <v>-340</v>
      </c>
    </row>
    <row r="6" spans="1:13" x14ac:dyDescent="0.25">
      <c r="A6" s="40"/>
      <c r="B6" s="40"/>
      <c r="C6" s="48"/>
      <c r="D6" s="49">
        <f t="shared" ref="D6:I6" si="3">SUM(D3:D5)</f>
        <v>99000</v>
      </c>
      <c r="E6" s="49">
        <f t="shared" si="3"/>
        <v>990</v>
      </c>
      <c r="F6" s="49">
        <f t="shared" si="3"/>
        <v>0</v>
      </c>
      <c r="G6" s="49">
        <f t="shared" si="3"/>
        <v>98010</v>
      </c>
      <c r="H6" s="49">
        <f t="shared" si="3"/>
        <v>98350</v>
      </c>
      <c r="I6" s="49">
        <f t="shared" si="3"/>
        <v>-340</v>
      </c>
    </row>
    <row r="8" spans="1:13" x14ac:dyDescent="0.25">
      <c r="A8" s="40" t="s">
        <v>72</v>
      </c>
      <c r="B8" s="41"/>
      <c r="C8" s="42"/>
      <c r="D8" s="41"/>
      <c r="E8" s="41"/>
      <c r="F8" s="41"/>
      <c r="G8" s="46"/>
      <c r="H8" s="41"/>
      <c r="I8" s="46"/>
    </row>
    <row r="9" spans="1:13" x14ac:dyDescent="0.25">
      <c r="A9" s="41" t="s">
        <v>245</v>
      </c>
      <c r="B9" s="41" t="s">
        <v>162</v>
      </c>
      <c r="C9" s="42" t="s">
        <v>295</v>
      </c>
      <c r="D9" s="46">
        <v>45000</v>
      </c>
      <c r="E9" s="46">
        <f t="shared" ref="E9:E11" si="4">D9*0.01</f>
        <v>450</v>
      </c>
      <c r="F9" s="46">
        <v>0</v>
      </c>
      <c r="G9" s="46">
        <f t="shared" ref="G9:G11" si="5">SUM(D9,F9)-E9</f>
        <v>44550</v>
      </c>
      <c r="H9" s="46">
        <v>44550</v>
      </c>
      <c r="I9" s="46">
        <f t="shared" ref="I9:I11" si="6">G9-H9</f>
        <v>0</v>
      </c>
    </row>
    <row r="10" spans="1:13" x14ac:dyDescent="0.25">
      <c r="A10" s="41" t="s">
        <v>243</v>
      </c>
      <c r="B10" s="41" t="s">
        <v>35</v>
      </c>
      <c r="C10" s="42" t="s">
        <v>129</v>
      </c>
      <c r="D10" s="46">
        <v>20000</v>
      </c>
      <c r="E10" s="46">
        <f t="shared" si="4"/>
        <v>200</v>
      </c>
      <c r="F10" s="46">
        <v>0</v>
      </c>
      <c r="G10" s="46">
        <f t="shared" si="5"/>
        <v>19800</v>
      </c>
      <c r="H10" s="46">
        <v>19800</v>
      </c>
      <c r="I10" s="46">
        <f t="shared" si="6"/>
        <v>0</v>
      </c>
    </row>
    <row r="11" spans="1:13" x14ac:dyDescent="0.25">
      <c r="A11" s="41" t="s">
        <v>312</v>
      </c>
      <c r="B11" s="41" t="s">
        <v>162</v>
      </c>
      <c r="C11" s="42"/>
      <c r="D11" s="46">
        <v>34000</v>
      </c>
      <c r="E11" s="46">
        <f t="shared" si="4"/>
        <v>340</v>
      </c>
      <c r="F11" s="46">
        <v>0</v>
      </c>
      <c r="G11" s="46">
        <f t="shared" si="5"/>
        <v>33660</v>
      </c>
      <c r="H11" s="46">
        <v>34000</v>
      </c>
      <c r="I11" s="46">
        <f t="shared" si="6"/>
        <v>-340</v>
      </c>
    </row>
    <row r="12" spans="1:13" x14ac:dyDescent="0.25">
      <c r="A12" s="40"/>
      <c r="B12" s="40"/>
      <c r="C12" s="48"/>
      <c r="D12" s="49">
        <f t="shared" ref="D12:I12" si="7">SUM(D9:D11)</f>
        <v>99000</v>
      </c>
      <c r="E12" s="49">
        <f t="shared" si="7"/>
        <v>990</v>
      </c>
      <c r="F12" s="49">
        <f t="shared" si="7"/>
        <v>0</v>
      </c>
      <c r="G12" s="49">
        <f t="shared" si="7"/>
        <v>98010</v>
      </c>
      <c r="H12" s="49">
        <f t="shared" si="7"/>
        <v>98350</v>
      </c>
      <c r="I12" s="49">
        <f t="shared" si="7"/>
        <v>-340</v>
      </c>
    </row>
    <row r="14" spans="1:13" x14ac:dyDescent="0.25">
      <c r="A14" s="40" t="s">
        <v>73</v>
      </c>
      <c r="B14" s="41"/>
      <c r="C14" s="42"/>
      <c r="D14" s="41"/>
      <c r="E14" s="41"/>
      <c r="F14" s="41"/>
      <c r="G14" s="46"/>
      <c r="H14" s="41"/>
      <c r="I14" s="46"/>
    </row>
    <row r="15" spans="1:13" x14ac:dyDescent="0.25">
      <c r="A15" s="41" t="s">
        <v>245</v>
      </c>
      <c r="B15" s="41" t="s">
        <v>162</v>
      </c>
      <c r="C15" s="42" t="s">
        <v>295</v>
      </c>
      <c r="D15" s="46">
        <v>45000</v>
      </c>
      <c r="E15" s="46">
        <f t="shared" ref="E15:E17" si="8">D15*0.01</f>
        <v>450</v>
      </c>
      <c r="F15" s="46">
        <v>-7000</v>
      </c>
      <c r="G15" s="46">
        <f t="shared" ref="G15:G17" si="9">SUM(D15,F15)-E15</f>
        <v>37550</v>
      </c>
      <c r="H15" s="46">
        <v>37550</v>
      </c>
      <c r="I15" s="46">
        <f t="shared" ref="I15:I17" si="10">G15-H15</f>
        <v>0</v>
      </c>
    </row>
    <row r="16" spans="1:13" x14ac:dyDescent="0.25">
      <c r="A16" s="41" t="s">
        <v>243</v>
      </c>
      <c r="B16" s="41" t="s">
        <v>35</v>
      </c>
      <c r="C16" s="42" t="s">
        <v>129</v>
      </c>
      <c r="D16" s="46">
        <v>20000</v>
      </c>
      <c r="E16" s="46">
        <f t="shared" si="8"/>
        <v>200</v>
      </c>
      <c r="F16" s="46">
        <v>0</v>
      </c>
      <c r="G16" s="46">
        <f t="shared" si="9"/>
        <v>19800</v>
      </c>
      <c r="H16" s="46">
        <v>19800</v>
      </c>
      <c r="I16" s="46">
        <f t="shared" si="10"/>
        <v>0</v>
      </c>
    </row>
    <row r="17" spans="1:9" x14ac:dyDescent="0.25">
      <c r="A17" s="41" t="s">
        <v>312</v>
      </c>
      <c r="B17" s="41" t="s">
        <v>162</v>
      </c>
      <c r="C17" s="42"/>
      <c r="D17" s="46">
        <v>34000</v>
      </c>
      <c r="E17" s="46">
        <f t="shared" si="8"/>
        <v>340</v>
      </c>
      <c r="F17" s="46">
        <v>-7000</v>
      </c>
      <c r="G17" s="46">
        <f t="shared" si="9"/>
        <v>26660</v>
      </c>
      <c r="H17" s="46">
        <v>26660</v>
      </c>
      <c r="I17" s="46">
        <f t="shared" si="10"/>
        <v>0</v>
      </c>
    </row>
    <row r="18" spans="1:9" x14ac:dyDescent="0.25">
      <c r="A18" s="40"/>
      <c r="B18" s="40"/>
      <c r="C18" s="48"/>
      <c r="D18" s="49">
        <f t="shared" ref="D18:I18" si="11">SUM(D15:D17)</f>
        <v>99000</v>
      </c>
      <c r="E18" s="49">
        <f t="shared" si="11"/>
        <v>990</v>
      </c>
      <c r="F18" s="49">
        <f t="shared" si="11"/>
        <v>-14000</v>
      </c>
      <c r="G18" s="49">
        <f t="shared" si="11"/>
        <v>84010</v>
      </c>
      <c r="H18" s="49">
        <f t="shared" si="11"/>
        <v>84010</v>
      </c>
      <c r="I18" s="49">
        <f t="shared" si="11"/>
        <v>0</v>
      </c>
    </row>
    <row r="20" spans="1:9" x14ac:dyDescent="0.25">
      <c r="A20" s="40" t="s">
        <v>78</v>
      </c>
      <c r="B20" s="41"/>
      <c r="C20" s="42"/>
      <c r="D20" s="41"/>
      <c r="E20" s="41"/>
      <c r="F20" s="41"/>
      <c r="G20" s="46"/>
      <c r="H20" s="41"/>
      <c r="I20" s="46"/>
    </row>
    <row r="21" spans="1:9" x14ac:dyDescent="0.25">
      <c r="A21" s="41" t="s">
        <v>245</v>
      </c>
      <c r="B21" s="41" t="s">
        <v>162</v>
      </c>
      <c r="C21" s="42" t="s">
        <v>295</v>
      </c>
      <c r="D21" s="46">
        <f>D15*(0/30)</f>
        <v>0</v>
      </c>
      <c r="E21" s="46">
        <f t="shared" ref="E21:E23" si="12">D21*0.01</f>
        <v>0</v>
      </c>
      <c r="F21" s="46">
        <v>0</v>
      </c>
      <c r="G21" s="46">
        <f t="shared" ref="G21:G23" si="13">SUM(D21,F21)-E21</f>
        <v>0</v>
      </c>
      <c r="H21" s="46">
        <v>0</v>
      </c>
      <c r="I21" s="46">
        <f t="shared" ref="I21:I23" si="14">G21-H21</f>
        <v>0</v>
      </c>
    </row>
    <row r="22" spans="1:9" x14ac:dyDescent="0.25">
      <c r="A22" s="41" t="s">
        <v>243</v>
      </c>
      <c r="B22" s="41" t="s">
        <v>35</v>
      </c>
      <c r="C22" s="42" t="s">
        <v>129</v>
      </c>
      <c r="D22" s="46">
        <f>D16*(9/22)</f>
        <v>8181.818181818182</v>
      </c>
      <c r="E22" s="46">
        <f t="shared" si="12"/>
        <v>81.818181818181827</v>
      </c>
      <c r="F22" s="46">
        <v>0</v>
      </c>
      <c r="G22" s="46">
        <f t="shared" si="13"/>
        <v>8100</v>
      </c>
      <c r="H22" s="46">
        <v>8100</v>
      </c>
      <c r="I22" s="46">
        <f t="shared" si="14"/>
        <v>0</v>
      </c>
    </row>
    <row r="23" spans="1:9" x14ac:dyDescent="0.25">
      <c r="A23" s="41" t="s">
        <v>312</v>
      </c>
      <c r="B23" s="41" t="s">
        <v>162</v>
      </c>
      <c r="C23" s="42"/>
      <c r="D23" s="46">
        <f>D17*(2/22)</f>
        <v>3090.909090909091</v>
      </c>
      <c r="E23" s="46">
        <f t="shared" si="12"/>
        <v>30.90909090909091</v>
      </c>
      <c r="F23" s="46">
        <v>0</v>
      </c>
      <c r="G23" s="46">
        <f t="shared" si="13"/>
        <v>3060</v>
      </c>
      <c r="H23" s="46">
        <v>3060</v>
      </c>
      <c r="I23" s="46">
        <f t="shared" si="14"/>
        <v>0</v>
      </c>
    </row>
    <row r="24" spans="1:9" x14ac:dyDescent="0.25">
      <c r="A24" s="40"/>
      <c r="B24" s="40"/>
      <c r="C24" s="48"/>
      <c r="D24" s="49">
        <f t="shared" ref="D24:I24" si="15">SUM(D21:D23)</f>
        <v>11272.727272727272</v>
      </c>
      <c r="E24" s="49">
        <f t="shared" si="15"/>
        <v>112.72727272727273</v>
      </c>
      <c r="F24" s="49">
        <f t="shared" si="15"/>
        <v>0</v>
      </c>
      <c r="G24" s="49">
        <f t="shared" si="15"/>
        <v>11160</v>
      </c>
      <c r="H24" s="49">
        <f t="shared" si="15"/>
        <v>11160</v>
      </c>
      <c r="I24" s="49">
        <f t="shared" si="15"/>
        <v>0</v>
      </c>
    </row>
    <row r="26" spans="1:9" x14ac:dyDescent="0.25">
      <c r="A26" s="40" t="s">
        <v>79</v>
      </c>
      <c r="B26" s="41"/>
      <c r="C26" s="42"/>
      <c r="D26" s="41"/>
      <c r="E26" s="41"/>
      <c r="F26" s="41"/>
      <c r="G26" s="46"/>
      <c r="H26" s="41"/>
      <c r="I26" s="46"/>
    </row>
    <row r="27" spans="1:9" x14ac:dyDescent="0.25">
      <c r="A27" s="41" t="s">
        <v>245</v>
      </c>
      <c r="B27" s="41" t="s">
        <v>162</v>
      </c>
      <c r="C27" s="42" t="s">
        <v>295</v>
      </c>
      <c r="D27" s="46">
        <v>45000</v>
      </c>
      <c r="E27" s="46">
        <f t="shared" ref="E27:E29" si="16">D27*0.01</f>
        <v>450</v>
      </c>
      <c r="F27" s="46">
        <v>0</v>
      </c>
      <c r="G27" s="46">
        <f t="shared" ref="G27:G29" si="17">SUM(D27,F27)-E27</f>
        <v>44550</v>
      </c>
      <c r="H27" s="46">
        <v>44550</v>
      </c>
      <c r="I27" s="46">
        <f t="shared" ref="I27:I29" si="18">G27-H27</f>
        <v>0</v>
      </c>
    </row>
    <row r="28" spans="1:9" x14ac:dyDescent="0.25">
      <c r="A28" s="41" t="s">
        <v>243</v>
      </c>
      <c r="B28" s="41" t="s">
        <v>35</v>
      </c>
      <c r="C28" s="42" t="s">
        <v>129</v>
      </c>
      <c r="D28" s="46">
        <v>25000</v>
      </c>
      <c r="E28" s="46">
        <f t="shared" si="16"/>
        <v>250</v>
      </c>
      <c r="F28" s="46">
        <v>0</v>
      </c>
      <c r="G28" s="46">
        <f t="shared" si="17"/>
        <v>24750</v>
      </c>
      <c r="H28" s="46">
        <v>24750</v>
      </c>
      <c r="I28" s="46">
        <f t="shared" si="18"/>
        <v>0</v>
      </c>
    </row>
    <row r="29" spans="1:9" x14ac:dyDescent="0.25">
      <c r="A29" s="41" t="s">
        <v>312</v>
      </c>
      <c r="B29" s="41" t="s">
        <v>162</v>
      </c>
      <c r="C29" s="42"/>
      <c r="D29" s="46">
        <v>25500</v>
      </c>
      <c r="E29" s="46">
        <f t="shared" si="16"/>
        <v>255</v>
      </c>
      <c r="F29" s="46">
        <v>-680</v>
      </c>
      <c r="G29" s="46">
        <f t="shared" si="17"/>
        <v>24565</v>
      </c>
      <c r="H29" s="46">
        <v>25500</v>
      </c>
      <c r="I29" s="46">
        <f t="shared" si="18"/>
        <v>-935</v>
      </c>
    </row>
    <row r="30" spans="1:9" x14ac:dyDescent="0.25">
      <c r="A30" s="40"/>
      <c r="B30" s="40"/>
      <c r="C30" s="48"/>
      <c r="D30" s="49">
        <f t="shared" ref="D30:I30" si="19">SUM(D27:D29)</f>
        <v>95500</v>
      </c>
      <c r="E30" s="49">
        <f t="shared" si="19"/>
        <v>955</v>
      </c>
      <c r="F30" s="49">
        <f t="shared" si="19"/>
        <v>-680</v>
      </c>
      <c r="G30" s="49">
        <f t="shared" si="19"/>
        <v>93865</v>
      </c>
      <c r="H30" s="49">
        <f t="shared" si="19"/>
        <v>94800</v>
      </c>
      <c r="I30" s="49">
        <f t="shared" si="19"/>
        <v>-935</v>
      </c>
    </row>
    <row r="32" spans="1:9" ht="15" customHeight="1" x14ac:dyDescent="0.25">
      <c r="A32" s="40" t="s">
        <v>97</v>
      </c>
      <c r="B32" s="41"/>
      <c r="C32" s="42"/>
      <c r="D32" s="41"/>
      <c r="E32" s="41"/>
      <c r="F32" s="41"/>
      <c r="G32" s="46"/>
      <c r="H32" s="41"/>
      <c r="I32" s="46"/>
    </row>
    <row r="33" spans="1:9" ht="15" customHeight="1" x14ac:dyDescent="0.25">
      <c r="A33" s="41" t="s">
        <v>245</v>
      </c>
      <c r="B33" s="41" t="s">
        <v>162</v>
      </c>
      <c r="C33" s="42" t="s">
        <v>295</v>
      </c>
      <c r="D33" s="46">
        <v>45000</v>
      </c>
      <c r="E33" s="46">
        <f t="shared" ref="E33:E35" si="20">D33*0.01</f>
        <v>450</v>
      </c>
      <c r="F33" s="46">
        <v>0</v>
      </c>
      <c r="G33" s="46">
        <f t="shared" ref="G33:G35" si="21">SUM(D33,F33)-E33</f>
        <v>44550</v>
      </c>
      <c r="H33" s="46">
        <v>44550</v>
      </c>
      <c r="I33" s="46">
        <f t="shared" ref="I33:I35" si="22">G33-H33</f>
        <v>0</v>
      </c>
    </row>
    <row r="34" spans="1:9" ht="15" customHeight="1" x14ac:dyDescent="0.25">
      <c r="A34" s="41" t="s">
        <v>243</v>
      </c>
      <c r="B34" s="41" t="s">
        <v>35</v>
      </c>
      <c r="C34" s="42" t="s">
        <v>129</v>
      </c>
      <c r="D34" s="46">
        <v>25000</v>
      </c>
      <c r="E34" s="46">
        <f t="shared" si="20"/>
        <v>250</v>
      </c>
      <c r="F34" s="46">
        <v>0</v>
      </c>
      <c r="G34" s="46">
        <f t="shared" si="21"/>
        <v>24750</v>
      </c>
      <c r="H34" s="46">
        <v>24750</v>
      </c>
      <c r="I34" s="46">
        <f t="shared" si="22"/>
        <v>0</v>
      </c>
    </row>
    <row r="35" spans="1:9" ht="15" customHeight="1" x14ac:dyDescent="0.25">
      <c r="A35" s="41" t="s">
        <v>312</v>
      </c>
      <c r="B35" s="41" t="s">
        <v>162</v>
      </c>
      <c r="C35" s="42"/>
      <c r="D35" s="46">
        <v>34000</v>
      </c>
      <c r="E35" s="46">
        <f t="shared" si="20"/>
        <v>340</v>
      </c>
      <c r="F35" s="46">
        <v>-935</v>
      </c>
      <c r="G35" s="46">
        <f t="shared" si="21"/>
        <v>32725</v>
      </c>
      <c r="H35" s="46">
        <v>34000</v>
      </c>
      <c r="I35" s="46">
        <f t="shared" si="22"/>
        <v>-1275</v>
      </c>
    </row>
    <row r="36" spans="1:9" ht="15" customHeight="1" x14ac:dyDescent="0.25">
      <c r="A36" s="40"/>
      <c r="B36" s="40"/>
      <c r="C36" s="48"/>
      <c r="D36" s="49">
        <f t="shared" ref="D36:I36" si="23">SUM(D33:D35)</f>
        <v>104000</v>
      </c>
      <c r="E36" s="49">
        <f t="shared" si="23"/>
        <v>1040</v>
      </c>
      <c r="F36" s="49">
        <f t="shared" si="23"/>
        <v>-935</v>
      </c>
      <c r="G36" s="49">
        <f t="shared" si="23"/>
        <v>102025</v>
      </c>
      <c r="H36" s="49">
        <f t="shared" si="23"/>
        <v>103300</v>
      </c>
      <c r="I36" s="49">
        <f t="shared" si="23"/>
        <v>-1275</v>
      </c>
    </row>
    <row r="38" spans="1:9" ht="15" customHeight="1" x14ac:dyDescent="0.25">
      <c r="A38" s="40" t="s">
        <v>101</v>
      </c>
      <c r="B38" s="41"/>
      <c r="C38" s="42"/>
      <c r="D38" s="41"/>
      <c r="E38" s="41"/>
      <c r="F38" s="41"/>
      <c r="G38" s="46"/>
      <c r="H38" s="41"/>
      <c r="I38" s="46"/>
    </row>
    <row r="39" spans="1:9" ht="15" customHeight="1" x14ac:dyDescent="0.25">
      <c r="A39" s="41" t="s">
        <v>245</v>
      </c>
      <c r="B39" s="41" t="s">
        <v>162</v>
      </c>
      <c r="C39" s="42" t="s">
        <v>295</v>
      </c>
      <c r="D39" s="46">
        <v>45000</v>
      </c>
      <c r="E39" s="46">
        <f t="shared" ref="E39:E41" si="24">D39*0.01</f>
        <v>450</v>
      </c>
      <c r="F39" s="46">
        <v>0</v>
      </c>
      <c r="G39" s="46">
        <f t="shared" ref="G39:G41" si="25">SUM(D39,F39)-E39</f>
        <v>44550</v>
      </c>
      <c r="H39" s="46">
        <v>0</v>
      </c>
      <c r="I39" s="46">
        <f t="shared" ref="I39:I41" si="26">G39-H39</f>
        <v>44550</v>
      </c>
    </row>
    <row r="40" spans="1:9" ht="15" customHeight="1" x14ac:dyDescent="0.25">
      <c r="A40" s="41" t="s">
        <v>243</v>
      </c>
      <c r="B40" s="41" t="s">
        <v>35</v>
      </c>
      <c r="C40" s="42" t="s">
        <v>129</v>
      </c>
      <c r="D40" s="46">
        <v>25000</v>
      </c>
      <c r="E40" s="46">
        <f t="shared" si="24"/>
        <v>250</v>
      </c>
      <c r="F40" s="46">
        <v>0</v>
      </c>
      <c r="G40" s="46">
        <f t="shared" si="25"/>
        <v>24750</v>
      </c>
      <c r="H40" s="46">
        <v>24750</v>
      </c>
      <c r="I40" s="46">
        <f t="shared" si="26"/>
        <v>0</v>
      </c>
    </row>
    <row r="41" spans="1:9" ht="15" customHeight="1" x14ac:dyDescent="0.25">
      <c r="A41" s="41" t="s">
        <v>312</v>
      </c>
      <c r="B41" s="41" t="s">
        <v>162</v>
      </c>
      <c r="C41" s="42"/>
      <c r="D41" s="46">
        <v>0</v>
      </c>
      <c r="E41" s="46">
        <f t="shared" si="24"/>
        <v>0</v>
      </c>
      <c r="F41" s="46">
        <v>-1275</v>
      </c>
      <c r="G41" s="46">
        <f t="shared" si="25"/>
        <v>-1275</v>
      </c>
      <c r="H41" s="46">
        <v>0</v>
      </c>
      <c r="I41" s="46">
        <f t="shared" si="26"/>
        <v>-1275</v>
      </c>
    </row>
    <row r="42" spans="1:9" ht="15" customHeight="1" x14ac:dyDescent="0.25">
      <c r="A42" s="40"/>
      <c r="B42" s="40"/>
      <c r="C42" s="48"/>
      <c r="D42" s="49">
        <f t="shared" ref="D42:I42" si="27">SUM(D39:D41)</f>
        <v>70000</v>
      </c>
      <c r="E42" s="49">
        <f t="shared" si="27"/>
        <v>700</v>
      </c>
      <c r="F42" s="49">
        <f t="shared" si="27"/>
        <v>-1275</v>
      </c>
      <c r="G42" s="49">
        <f t="shared" si="27"/>
        <v>68025</v>
      </c>
      <c r="H42" s="49">
        <f t="shared" si="27"/>
        <v>24750</v>
      </c>
      <c r="I42" s="49">
        <f t="shared" si="27"/>
        <v>43275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2022 STAFF SALARY</vt:lpstr>
      <vt:lpstr>2023 STAFF SALARY</vt:lpstr>
      <vt:lpstr>2024 STAFF SALARY</vt:lpstr>
      <vt:lpstr>2025 PRIMARY STAFF</vt:lpstr>
      <vt:lpstr>2025 SECONDARY STAFF</vt:lpstr>
      <vt:lpstr>2025 SUPPORT STAFF</vt:lpstr>
      <vt:lpstr>2026 PRIMARY STAFF</vt:lpstr>
      <vt:lpstr>2026 SECONDARY STAFF</vt:lpstr>
      <vt:lpstr>2026 SUPPORT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dcterms:created xsi:type="dcterms:W3CDTF">2022-08-10T20:26:00Z</dcterms:created>
  <dcterms:modified xsi:type="dcterms:W3CDTF">2026-08-21T14:57:15Z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8aaee20388824c7c8ed322b7a3f54a3e</vt:lpwstr>
  </property>
  <property fmtid="{D5CDD505-2E9C-101B-9397-08002B2CF9AE}" pid="3" name="KSOProductBuildVer">
    <vt:lpwstr>1033-11.2.0.11516</vt:lpwstr>
  </property>
  <property fmtid="{D5CDD505-2E9C-101B-9397-08002B2CF9AE}" pid="4" name="KSOReadingLayout">
    <vt:bool>false</vt:bool>
  </property>
</Properties>
</file>