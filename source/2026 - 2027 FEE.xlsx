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9E74E945-2CD0-43F7-8B64-DC4CAD2F27EF}" xr6:coauthVersionLast="47" xr6:coauthVersionMax="47" xr10:uidLastSave="{00000000-0000-0000-0000-000000000000}"/>
  <bookViews>
    <workbookView xWindow="-120" yWindow="-120" windowWidth="24240" windowHeight="13020" tabRatio="781" xr2:uid="{00000000-000D-0000-FFFF-FFFF00000000}"/>
  </bookViews>
  <sheets>
    <sheet name="1ST TERM ACCOUNT" sheetId="14" r:id="rId1"/>
    <sheet name="1ST TERM PAY LOG" sheetId="13" r:id="rId2"/>
    <sheet name="1ST TERM REMIT" sheetId="12" r:id="rId3"/>
  </sheets>
  <definedNames>
    <definedName name="_xlnm._FilterDatabase" localSheetId="0" hidden="1">'1ST TERM ACCOUNT'!$A$1:$AE$120</definedName>
    <definedName name="_xlnm.Print_Titles" localSheetId="0">'1ST TERM ACCOUNT'!$1:$1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21" i="14" l="1"/>
  <c r="AA121" i="14"/>
  <c r="N24" i="14"/>
  <c r="M24" i="14"/>
  <c r="L24" i="14"/>
  <c r="K24" i="14"/>
  <c r="J24" i="14"/>
  <c r="N54" i="14"/>
  <c r="M54" i="14"/>
  <c r="L54" i="14"/>
  <c r="K54" i="14"/>
  <c r="J54" i="14"/>
  <c r="N52" i="14"/>
  <c r="M52" i="14"/>
  <c r="L52" i="14"/>
  <c r="K52" i="14"/>
  <c r="J52" i="14"/>
  <c r="N50" i="14"/>
  <c r="M50" i="14"/>
  <c r="L50" i="14"/>
  <c r="K50" i="14"/>
  <c r="J50" i="14"/>
  <c r="N65" i="14"/>
  <c r="M65" i="14"/>
  <c r="L65" i="14"/>
  <c r="K65" i="14"/>
  <c r="J65" i="14"/>
  <c r="J87" i="14"/>
  <c r="K87" i="14"/>
  <c r="L87" i="14"/>
  <c r="M87" i="14"/>
  <c r="N87" i="14"/>
  <c r="J29" i="14"/>
  <c r="K29" i="14"/>
  <c r="L29" i="14"/>
  <c r="M29" i="14"/>
  <c r="N29" i="14"/>
  <c r="J18" i="14"/>
  <c r="K18" i="14"/>
  <c r="L18" i="14"/>
  <c r="M18" i="14"/>
  <c r="N18" i="14"/>
  <c r="L48" i="14"/>
  <c r="L49" i="14"/>
  <c r="L51" i="14"/>
  <c r="L53" i="14"/>
  <c r="L55" i="14"/>
  <c r="L56" i="14"/>
  <c r="L57" i="14"/>
  <c r="L58" i="14"/>
  <c r="L59" i="14"/>
  <c r="L60" i="14"/>
  <c r="L61" i="14"/>
  <c r="L62" i="14"/>
  <c r="L63" i="14"/>
  <c r="L64" i="14"/>
  <c r="L66" i="14"/>
  <c r="L67" i="14"/>
  <c r="L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12" i="14"/>
  <c r="L38" i="14"/>
  <c r="L39" i="14"/>
  <c r="L40" i="14"/>
  <c r="L41" i="14"/>
  <c r="L42" i="14"/>
  <c r="L43" i="14"/>
  <c r="L44" i="14"/>
  <c r="L45" i="14"/>
  <c r="L46" i="14"/>
  <c r="L78" i="14"/>
  <c r="L79" i="14"/>
  <c r="L80" i="14"/>
  <c r="L81" i="14"/>
  <c r="L82" i="14"/>
  <c r="L83" i="14"/>
  <c r="L84" i="14"/>
  <c r="L85" i="14"/>
  <c r="L86" i="14"/>
  <c r="L68" i="14"/>
  <c r="L69" i="14"/>
  <c r="L70" i="14"/>
  <c r="L71" i="14"/>
  <c r="L72" i="14"/>
  <c r="L73" i="14"/>
  <c r="L74" i="14"/>
  <c r="L75" i="14"/>
  <c r="L76" i="14"/>
  <c r="L77" i="14"/>
  <c r="L19" i="14"/>
  <c r="L20" i="14"/>
  <c r="L21" i="14"/>
  <c r="L22" i="14"/>
  <c r="L23" i="14"/>
  <c r="L25" i="14"/>
  <c r="L26" i="14"/>
  <c r="L27" i="14"/>
  <c r="L28" i="14"/>
  <c r="L30" i="14"/>
  <c r="L31" i="14"/>
  <c r="L32" i="14"/>
  <c r="L33" i="14"/>
  <c r="L34" i="14"/>
  <c r="L35" i="14"/>
  <c r="L36" i="14"/>
  <c r="L3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3" i="14"/>
  <c r="L114" i="14"/>
  <c r="L115" i="14"/>
  <c r="L116" i="14"/>
  <c r="L117" i="14"/>
  <c r="L118" i="14"/>
  <c r="L119" i="14"/>
  <c r="L120" i="14"/>
  <c r="B15" i="12"/>
  <c r="B9" i="12"/>
  <c r="B3" i="12"/>
  <c r="M113" i="14"/>
  <c r="M38" i="14"/>
  <c r="M68" i="14"/>
  <c r="M69" i="14"/>
  <c r="M70" i="14"/>
  <c r="M19" i="14"/>
  <c r="M95" i="14"/>
  <c r="M2" i="14"/>
  <c r="M112" i="14"/>
  <c r="M39" i="14"/>
  <c r="M96" i="14"/>
  <c r="M47" i="14"/>
  <c r="M40" i="14"/>
  <c r="M97" i="14"/>
  <c r="M78" i="14"/>
  <c r="M71" i="14"/>
  <c r="M108" i="14"/>
  <c r="M7" i="14"/>
  <c r="M3" i="14"/>
  <c r="M88" i="14"/>
  <c r="M89" i="14"/>
  <c r="M4" i="14"/>
  <c r="M8" i="14"/>
  <c r="M72" i="14"/>
  <c r="M48" i="14"/>
  <c r="M73" i="14"/>
  <c r="M114" i="14"/>
  <c r="M49" i="14"/>
  <c r="M20" i="14"/>
  <c r="M41" i="14"/>
  <c r="M90" i="14"/>
  <c r="M51" i="14"/>
  <c r="M21" i="14"/>
  <c r="M53" i="14"/>
  <c r="M9" i="14"/>
  <c r="M10" i="14"/>
  <c r="M115" i="14"/>
  <c r="M11" i="14"/>
  <c r="M12" i="14"/>
  <c r="M116" i="14"/>
  <c r="M42" i="14"/>
  <c r="M109" i="14"/>
  <c r="M79" i="14"/>
  <c r="M13" i="14"/>
  <c r="M91" i="14"/>
  <c r="M110" i="14"/>
  <c r="M74" i="14"/>
  <c r="M55" i="14"/>
  <c r="M22" i="14"/>
  <c r="M80" i="14"/>
  <c r="M23" i="14"/>
  <c r="M81" i="14"/>
  <c r="M98" i="14"/>
  <c r="M14" i="14"/>
  <c r="M104" i="14"/>
  <c r="M5" i="14"/>
  <c r="M56" i="14"/>
  <c r="M25" i="14"/>
  <c r="M26" i="14"/>
  <c r="M105" i="14"/>
  <c r="M57" i="14"/>
  <c r="M58" i="14"/>
  <c r="M43" i="14"/>
  <c r="M59" i="14"/>
  <c r="M27" i="14"/>
  <c r="M28" i="14"/>
  <c r="M99" i="14"/>
  <c r="M6" i="14"/>
  <c r="M100" i="14"/>
  <c r="M117" i="14"/>
  <c r="M30" i="14"/>
  <c r="M60" i="14"/>
  <c r="M61" i="14"/>
  <c r="M120" i="14"/>
  <c r="M62" i="14"/>
  <c r="M82" i="14"/>
  <c r="M31" i="14"/>
  <c r="M63" i="14"/>
  <c r="M32" i="14"/>
  <c r="M83" i="14"/>
  <c r="M33" i="14"/>
  <c r="M101" i="14"/>
  <c r="M84" i="14"/>
  <c r="M106" i="14"/>
  <c r="M85" i="14"/>
  <c r="M75" i="14"/>
  <c r="M15" i="14"/>
  <c r="M64" i="14"/>
  <c r="M34" i="14"/>
  <c r="M92" i="14"/>
  <c r="M16" i="14"/>
  <c r="M35" i="14"/>
  <c r="M102" i="14"/>
  <c r="M44" i="14"/>
  <c r="M103" i="14"/>
  <c r="M45" i="14"/>
  <c r="M46" i="14"/>
  <c r="M36" i="14"/>
  <c r="M93" i="14"/>
  <c r="M111" i="14"/>
  <c r="M118" i="14"/>
  <c r="M86" i="14"/>
  <c r="M76" i="14"/>
  <c r="M107" i="14"/>
  <c r="M66" i="14"/>
  <c r="M17" i="14"/>
  <c r="M119" i="14"/>
  <c r="M94" i="14"/>
  <c r="M67" i="14"/>
  <c r="M77" i="14"/>
  <c r="M37" i="14"/>
  <c r="J113" i="14"/>
  <c r="J38" i="14"/>
  <c r="J68" i="14"/>
  <c r="J69" i="14"/>
  <c r="J70" i="14"/>
  <c r="J19" i="14"/>
  <c r="J95" i="14"/>
  <c r="J2" i="14"/>
  <c r="J112" i="14"/>
  <c r="J39" i="14"/>
  <c r="J96" i="14"/>
  <c r="J47" i="14"/>
  <c r="J40" i="14"/>
  <c r="J97" i="14"/>
  <c r="J78" i="14"/>
  <c r="J71" i="14"/>
  <c r="J108" i="14"/>
  <c r="J7" i="14"/>
  <c r="J3" i="14"/>
  <c r="J88" i="14"/>
  <c r="J89" i="14"/>
  <c r="J4" i="14"/>
  <c r="J8" i="14"/>
  <c r="J72" i="14"/>
  <c r="J48" i="14"/>
  <c r="J73" i="14"/>
  <c r="J114" i="14"/>
  <c r="J49" i="14"/>
  <c r="J20" i="14"/>
  <c r="J41" i="14"/>
  <c r="J90" i="14"/>
  <c r="J51" i="14"/>
  <c r="J21" i="14"/>
  <c r="J53" i="14"/>
  <c r="J9" i="14"/>
  <c r="J10" i="14"/>
  <c r="J115" i="14"/>
  <c r="J11" i="14"/>
  <c r="J12" i="14"/>
  <c r="J116" i="14"/>
  <c r="J42" i="14"/>
  <c r="J109" i="14"/>
  <c r="J79" i="14"/>
  <c r="J13" i="14"/>
  <c r="J91" i="14"/>
  <c r="J110" i="14"/>
  <c r="J74" i="14"/>
  <c r="J55" i="14"/>
  <c r="J22" i="14"/>
  <c r="J80" i="14"/>
  <c r="J23" i="14"/>
  <c r="J81" i="14"/>
  <c r="J98" i="14"/>
  <c r="J14" i="14"/>
  <c r="J104" i="14"/>
  <c r="J5" i="14"/>
  <c r="J56" i="14"/>
  <c r="J25" i="14"/>
  <c r="J26" i="14"/>
  <c r="J105" i="14"/>
  <c r="J57" i="14"/>
  <c r="J58" i="14"/>
  <c r="J43" i="14"/>
  <c r="J59" i="14"/>
  <c r="J27" i="14"/>
  <c r="J28" i="14"/>
  <c r="J99" i="14"/>
  <c r="J6" i="14"/>
  <c r="J100" i="14"/>
  <c r="J117" i="14"/>
  <c r="J30" i="14"/>
  <c r="J60" i="14"/>
  <c r="J61" i="14"/>
  <c r="J120" i="14"/>
  <c r="J62" i="14"/>
  <c r="J82" i="14"/>
  <c r="J31" i="14"/>
  <c r="J63" i="14"/>
  <c r="J32" i="14"/>
  <c r="J83" i="14"/>
  <c r="J33" i="14"/>
  <c r="J101" i="14"/>
  <c r="J84" i="14"/>
  <c r="J106" i="14"/>
  <c r="J85" i="14"/>
  <c r="J75" i="14"/>
  <c r="J15" i="14"/>
  <c r="J64" i="14"/>
  <c r="J34" i="14"/>
  <c r="J92" i="14"/>
  <c r="J16" i="14"/>
  <c r="J35" i="14"/>
  <c r="J102" i="14"/>
  <c r="J44" i="14"/>
  <c r="J103" i="14"/>
  <c r="J45" i="14"/>
  <c r="J46" i="14"/>
  <c r="J36" i="14"/>
  <c r="J93" i="14"/>
  <c r="J111" i="14"/>
  <c r="J118" i="14"/>
  <c r="J86" i="14"/>
  <c r="J76" i="14"/>
  <c r="J107" i="14"/>
  <c r="J66" i="14"/>
  <c r="J17" i="14"/>
  <c r="J119" i="14"/>
  <c r="J94" i="14"/>
  <c r="J67" i="14"/>
  <c r="J77" i="14"/>
  <c r="J37" i="14"/>
  <c r="N37" i="14"/>
  <c r="K37" i="14"/>
  <c r="N77" i="14"/>
  <c r="K77" i="14"/>
  <c r="N67" i="14"/>
  <c r="K67" i="14"/>
  <c r="N94" i="14"/>
  <c r="K94" i="14"/>
  <c r="N119" i="14"/>
  <c r="K119" i="14"/>
  <c r="N17" i="14"/>
  <c r="K17" i="14"/>
  <c r="N66" i="14"/>
  <c r="K66" i="14"/>
  <c r="N107" i="14"/>
  <c r="K107" i="14"/>
  <c r="N76" i="14"/>
  <c r="K76" i="14"/>
  <c r="N86" i="14"/>
  <c r="K86" i="14"/>
  <c r="N118" i="14"/>
  <c r="K118" i="14"/>
  <c r="N111" i="14"/>
  <c r="K111" i="14"/>
  <c r="N93" i="14"/>
  <c r="K93" i="14"/>
  <c r="N36" i="14"/>
  <c r="K36" i="14"/>
  <c r="N46" i="14"/>
  <c r="K46" i="14"/>
  <c r="N45" i="14"/>
  <c r="K45" i="14"/>
  <c r="N103" i="14"/>
  <c r="K103" i="14"/>
  <c r="N44" i="14"/>
  <c r="K44" i="14"/>
  <c r="N102" i="14"/>
  <c r="K102" i="14"/>
  <c r="N35" i="14"/>
  <c r="K35" i="14"/>
  <c r="N16" i="14"/>
  <c r="K16" i="14"/>
  <c r="N92" i="14"/>
  <c r="K92" i="14"/>
  <c r="N34" i="14"/>
  <c r="K34" i="14"/>
  <c r="N64" i="14"/>
  <c r="K64" i="14"/>
  <c r="N15" i="14"/>
  <c r="K15" i="14"/>
  <c r="N75" i="14"/>
  <c r="K75" i="14"/>
  <c r="N85" i="14"/>
  <c r="K85" i="14"/>
  <c r="N106" i="14"/>
  <c r="K106" i="14"/>
  <c r="N84" i="14"/>
  <c r="K84" i="14"/>
  <c r="N101" i="14"/>
  <c r="K101" i="14"/>
  <c r="N33" i="14"/>
  <c r="K33" i="14"/>
  <c r="N83" i="14"/>
  <c r="K83" i="14"/>
  <c r="N32" i="14"/>
  <c r="K32" i="14"/>
  <c r="N63" i="14"/>
  <c r="K63" i="14"/>
  <c r="N31" i="14"/>
  <c r="K31" i="14"/>
  <c r="N82" i="14"/>
  <c r="K82" i="14"/>
  <c r="N62" i="14"/>
  <c r="K62" i="14"/>
  <c r="N120" i="14"/>
  <c r="K120" i="14"/>
  <c r="N61" i="14"/>
  <c r="K61" i="14"/>
  <c r="N60" i="14"/>
  <c r="K60" i="14"/>
  <c r="N30" i="14"/>
  <c r="K30" i="14"/>
  <c r="N117" i="14"/>
  <c r="K117" i="14"/>
  <c r="N100" i="14"/>
  <c r="K100" i="14"/>
  <c r="N6" i="14"/>
  <c r="K6" i="14"/>
  <c r="N99" i="14"/>
  <c r="K99" i="14"/>
  <c r="N28" i="14"/>
  <c r="K28" i="14"/>
  <c r="N27" i="14"/>
  <c r="K27" i="14"/>
  <c r="N59" i="14"/>
  <c r="K59" i="14"/>
  <c r="N43" i="14"/>
  <c r="K43" i="14"/>
  <c r="N58" i="14"/>
  <c r="K58" i="14"/>
  <c r="N57" i="14"/>
  <c r="K57" i="14"/>
  <c r="N105" i="14"/>
  <c r="K105" i="14"/>
  <c r="N26" i="14"/>
  <c r="K26" i="14"/>
  <c r="N25" i="14"/>
  <c r="K25" i="14"/>
  <c r="N56" i="14"/>
  <c r="K56" i="14"/>
  <c r="N5" i="14"/>
  <c r="K5" i="14"/>
  <c r="N104" i="14"/>
  <c r="K104" i="14"/>
  <c r="N14" i="14"/>
  <c r="K14" i="14"/>
  <c r="N98" i="14"/>
  <c r="K98" i="14"/>
  <c r="N81" i="14"/>
  <c r="K81" i="14"/>
  <c r="N23" i="14"/>
  <c r="K23" i="14"/>
  <c r="N80" i="14"/>
  <c r="K80" i="14"/>
  <c r="N22" i="14"/>
  <c r="K22" i="14"/>
  <c r="N55" i="14"/>
  <c r="K55" i="14"/>
  <c r="N74" i="14"/>
  <c r="K74" i="14"/>
  <c r="N110" i="14"/>
  <c r="K110" i="14"/>
  <c r="N91" i="14"/>
  <c r="K91" i="14"/>
  <c r="N13" i="14"/>
  <c r="K13" i="14"/>
  <c r="N79" i="14"/>
  <c r="K79" i="14"/>
  <c r="N109" i="14"/>
  <c r="K109" i="14"/>
  <c r="N42" i="14"/>
  <c r="K42" i="14"/>
  <c r="N116" i="14"/>
  <c r="K116" i="14"/>
  <c r="N12" i="14"/>
  <c r="K12" i="14"/>
  <c r="N11" i="14"/>
  <c r="K11" i="14"/>
  <c r="N115" i="14"/>
  <c r="K115" i="14"/>
  <c r="N10" i="14"/>
  <c r="K10" i="14"/>
  <c r="N9" i="14"/>
  <c r="K9" i="14"/>
  <c r="N53" i="14"/>
  <c r="K53" i="14"/>
  <c r="N21" i="14"/>
  <c r="K21" i="14"/>
  <c r="N51" i="14"/>
  <c r="K51" i="14"/>
  <c r="N90" i="14"/>
  <c r="K90" i="14"/>
  <c r="N41" i="14"/>
  <c r="K41" i="14"/>
  <c r="N20" i="14"/>
  <c r="K20" i="14"/>
  <c r="N49" i="14"/>
  <c r="K49" i="14"/>
  <c r="N114" i="14"/>
  <c r="K114" i="14"/>
  <c r="N73" i="14"/>
  <c r="K73" i="14"/>
  <c r="N48" i="14"/>
  <c r="K48" i="14"/>
  <c r="N72" i="14"/>
  <c r="K72" i="14"/>
  <c r="N8" i="14"/>
  <c r="K8" i="14"/>
  <c r="N4" i="14"/>
  <c r="K4" i="14"/>
  <c r="N89" i="14"/>
  <c r="K89" i="14"/>
  <c r="N88" i="14"/>
  <c r="K88" i="14"/>
  <c r="N3" i="14"/>
  <c r="K3" i="14"/>
  <c r="N7" i="14"/>
  <c r="K7" i="14"/>
  <c r="N108" i="14"/>
  <c r="K108" i="14"/>
  <c r="N71" i="14"/>
  <c r="K71" i="14"/>
  <c r="N78" i="14"/>
  <c r="K78" i="14"/>
  <c r="N97" i="14"/>
  <c r="K97" i="14"/>
  <c r="N40" i="14"/>
  <c r="K40" i="14"/>
  <c r="N47" i="14"/>
  <c r="L47" i="14"/>
  <c r="K47" i="14"/>
  <c r="N96" i="14"/>
  <c r="K96" i="14"/>
  <c r="N39" i="14"/>
  <c r="K39" i="14"/>
  <c r="N112" i="14"/>
  <c r="K112" i="14"/>
  <c r="N2" i="14"/>
  <c r="K2" i="14"/>
  <c r="N95" i="14"/>
  <c r="K95" i="14"/>
  <c r="N19" i="14"/>
  <c r="K19" i="14"/>
  <c r="N70" i="14"/>
  <c r="K70" i="14"/>
  <c r="N69" i="14"/>
  <c r="K69" i="14"/>
  <c r="N68" i="14"/>
  <c r="K68" i="14"/>
  <c r="N38" i="14"/>
  <c r="K38" i="14"/>
  <c r="N113" i="14"/>
  <c r="K113" i="14"/>
  <c r="Z119" i="14" l="1"/>
  <c r="AB119" i="14" s="1"/>
  <c r="Z50" i="14"/>
  <c r="AB50" i="14" s="1"/>
  <c r="Z52" i="14"/>
  <c r="AB52" i="14" s="1"/>
  <c r="Z24" i="14"/>
  <c r="AB24" i="14" s="1"/>
  <c r="Z54" i="14"/>
  <c r="AB54" i="14" s="1"/>
  <c r="Z65" i="14"/>
  <c r="AB65" i="14" s="1"/>
  <c r="Z29" i="14"/>
  <c r="AB29" i="14" s="1"/>
  <c r="Z87" i="14"/>
  <c r="AB87" i="14" s="1"/>
  <c r="Z18" i="14"/>
  <c r="AB18" i="14" s="1"/>
  <c r="Z19" i="14"/>
  <c r="AB19" i="14" s="1"/>
  <c r="Z9" i="14"/>
  <c r="AB9" i="14" s="1"/>
  <c r="Z70" i="14"/>
  <c r="AB70" i="14" s="1"/>
  <c r="Z57" i="14"/>
  <c r="AB57" i="14" s="1"/>
  <c r="Z22" i="14"/>
  <c r="AB22" i="14" s="1"/>
  <c r="Z66" i="14"/>
  <c r="AB66" i="14" s="1"/>
  <c r="Z92" i="14"/>
  <c r="AB92" i="14" s="1"/>
  <c r="Z26" i="14"/>
  <c r="AB26" i="14" s="1"/>
  <c r="Z4" i="14"/>
  <c r="AB4" i="14" s="1"/>
  <c r="Z117" i="14"/>
  <c r="AB117" i="14" s="1"/>
  <c r="Z31" i="14"/>
  <c r="AB31" i="14" s="1"/>
  <c r="Z36" i="14"/>
  <c r="AB36" i="14" s="1"/>
  <c r="Z6" i="14"/>
  <c r="AB6" i="14" s="1"/>
  <c r="Z64" i="14"/>
  <c r="AB64" i="14" s="1"/>
  <c r="Z45" i="14"/>
  <c r="AB45" i="14" s="1"/>
  <c r="Z5" i="14"/>
  <c r="AB5" i="14" s="1"/>
  <c r="Z81" i="14"/>
  <c r="AB81" i="14" s="1"/>
  <c r="Z91" i="14"/>
  <c r="AB91" i="14" s="1"/>
  <c r="Z42" i="14"/>
  <c r="AB42" i="14" s="1"/>
  <c r="Z11" i="14"/>
  <c r="AB11" i="14" s="1"/>
  <c r="Z90" i="14"/>
  <c r="AB90" i="14" s="1"/>
  <c r="Z73" i="14"/>
  <c r="AB73" i="14" s="1"/>
  <c r="Z7" i="14"/>
  <c r="AB7" i="14" s="1"/>
  <c r="Z97" i="14"/>
  <c r="AB97" i="14" s="1"/>
  <c r="Z39" i="14"/>
  <c r="AB39" i="14" s="1"/>
  <c r="Z68" i="14"/>
  <c r="AB68" i="14" s="1"/>
  <c r="Z43" i="14"/>
  <c r="AB43" i="14" s="1"/>
  <c r="Z106" i="14"/>
  <c r="AB106" i="14" s="1"/>
  <c r="Z76" i="14"/>
  <c r="AB76" i="14" s="1"/>
  <c r="Z37" i="14"/>
  <c r="AB37" i="14" s="1"/>
  <c r="Z71" i="14"/>
  <c r="AB71" i="14" s="1"/>
  <c r="Z20" i="14"/>
  <c r="AB20" i="14" s="1"/>
  <c r="Z79" i="14"/>
  <c r="Z25" i="14"/>
  <c r="AB25" i="14" s="1"/>
  <c r="Z120" i="14"/>
  <c r="AB120" i="14" s="1"/>
  <c r="Z85" i="14"/>
  <c r="AB85" i="14" s="1"/>
  <c r="Z111" i="14"/>
  <c r="AB111" i="14" s="1"/>
  <c r="Z38" i="14"/>
  <c r="AB38" i="14" s="1"/>
  <c r="Z33" i="14"/>
  <c r="AB33" i="14" s="1"/>
  <c r="Z113" i="14"/>
  <c r="AB113" i="14" s="1"/>
  <c r="Z99" i="14"/>
  <c r="AB99" i="14" s="1"/>
  <c r="Z83" i="14"/>
  <c r="AB83" i="14" s="1"/>
  <c r="Z35" i="14"/>
  <c r="AB35" i="14" s="1"/>
  <c r="Z67" i="14"/>
  <c r="AB67" i="14" s="1"/>
  <c r="Z44" i="14"/>
  <c r="AB44" i="14" s="1"/>
  <c r="Z15" i="14"/>
  <c r="AB15" i="14" s="1"/>
  <c r="Z101" i="14"/>
  <c r="AB101" i="14" s="1"/>
  <c r="Z62" i="14"/>
  <c r="AB62" i="14" s="1"/>
  <c r="Z60" i="14"/>
  <c r="AB60" i="14" s="1"/>
  <c r="Z27" i="14"/>
  <c r="AB27" i="14" s="1"/>
  <c r="Z56" i="14"/>
  <c r="AB56" i="14" s="1"/>
  <c r="Z109" i="14"/>
  <c r="AB109" i="14" s="1"/>
  <c r="Z10" i="14"/>
  <c r="AB10" i="14" s="1"/>
  <c r="Z8" i="14"/>
  <c r="AB8" i="14" s="1"/>
  <c r="Z78" i="14"/>
  <c r="AB78" i="14" s="1"/>
  <c r="Z95" i="14"/>
  <c r="AB95" i="14" s="1"/>
  <c r="Z2" i="14"/>
  <c r="AB2" i="14" s="1"/>
  <c r="Z72" i="14"/>
  <c r="AB72" i="14" s="1"/>
  <c r="Z80" i="14"/>
  <c r="AB80" i="14" s="1"/>
  <c r="Z17" i="14"/>
  <c r="AB17" i="14" s="1"/>
  <c r="Z93" i="14"/>
  <c r="AB93" i="14" s="1"/>
  <c r="Z16" i="14"/>
  <c r="AB16" i="14" s="1"/>
  <c r="Z14" i="14"/>
  <c r="AB14" i="14" s="1"/>
  <c r="Z74" i="14"/>
  <c r="AB74" i="14" s="1"/>
  <c r="Z116" i="14"/>
  <c r="AB116" i="14" s="1"/>
  <c r="Z21" i="14"/>
  <c r="AB21" i="14" s="1"/>
  <c r="Z49" i="14"/>
  <c r="AB49" i="14" s="1"/>
  <c r="Z88" i="14"/>
  <c r="AB88" i="14" s="1"/>
  <c r="Z47" i="14"/>
  <c r="AB47" i="14" s="1"/>
  <c r="Z28" i="14"/>
  <c r="AB28" i="14" s="1"/>
  <c r="Z69" i="14"/>
  <c r="AB69" i="14" s="1"/>
  <c r="Z32" i="14"/>
  <c r="AB32" i="14" s="1"/>
  <c r="Z58" i="14"/>
  <c r="AB58" i="14" s="1"/>
  <c r="Z61" i="14"/>
  <c r="AB61" i="14" s="1"/>
  <c r="Z53" i="14"/>
  <c r="AB53" i="14" s="1"/>
  <c r="Z55" i="14"/>
  <c r="AB55" i="14" s="1"/>
  <c r="Z104" i="14"/>
  <c r="AB104" i="14" s="1"/>
  <c r="Z34" i="14"/>
  <c r="AB34" i="14" s="1"/>
  <c r="Z96" i="14"/>
  <c r="AB96" i="14" s="1"/>
  <c r="Z3" i="14"/>
  <c r="AB3" i="14" s="1"/>
  <c r="Z114" i="14"/>
  <c r="AB114" i="14" s="1"/>
  <c r="Z51" i="14"/>
  <c r="AB51" i="14" s="1"/>
  <c r="Z12" i="14"/>
  <c r="AB12" i="14" s="1"/>
  <c r="Z110" i="14"/>
  <c r="Z98" i="14"/>
  <c r="AB98" i="14" s="1"/>
  <c r="Z105" i="14"/>
  <c r="AB105" i="14" s="1"/>
  <c r="Z40" i="14"/>
  <c r="AB40" i="14" s="1"/>
  <c r="Z89" i="14"/>
  <c r="AB89" i="14" s="1"/>
  <c r="Z107" i="14"/>
  <c r="AB107" i="14" s="1"/>
  <c r="Z112" i="14"/>
  <c r="AB112" i="14" s="1"/>
  <c r="Z108" i="14"/>
  <c r="AB108" i="14" s="1"/>
  <c r="Z48" i="14"/>
  <c r="AB48" i="14" s="1"/>
  <c r="Z41" i="14"/>
  <c r="AB41" i="14" s="1"/>
  <c r="Z115" i="14"/>
  <c r="AB115" i="14" s="1"/>
  <c r="Z13" i="14"/>
  <c r="AB13" i="14" s="1"/>
  <c r="Z23" i="14"/>
  <c r="AB23" i="14" s="1"/>
  <c r="Z46" i="14"/>
  <c r="AB46" i="14" s="1"/>
  <c r="Z59" i="14"/>
  <c r="AB59" i="14" s="1"/>
  <c r="Z30" i="14"/>
  <c r="AB30" i="14" s="1"/>
  <c r="Z63" i="14"/>
  <c r="AB63" i="14" s="1"/>
  <c r="Z103" i="14"/>
  <c r="AB103" i="14" s="1"/>
  <c r="Z86" i="14"/>
  <c r="AB86" i="14" s="1"/>
  <c r="Z77" i="14"/>
  <c r="AB77" i="14" s="1"/>
  <c r="Z100" i="14"/>
  <c r="AB100" i="14" s="1"/>
  <c r="Z82" i="14"/>
  <c r="AB82" i="14" s="1"/>
  <c r="Z84" i="14"/>
  <c r="AB84" i="14" s="1"/>
  <c r="Z75" i="14"/>
  <c r="AB75" i="14" s="1"/>
  <c r="Z102" i="14"/>
  <c r="AB102" i="14" s="1"/>
  <c r="Z118" i="14"/>
  <c r="AB118" i="14" s="1"/>
  <c r="Z94" i="14"/>
  <c r="AB94" i="14" s="1"/>
  <c r="Z121" i="14" l="1"/>
  <c r="AC119" i="14"/>
  <c r="AE119" i="14"/>
  <c r="AD119" i="14"/>
  <c r="AC50" i="14"/>
  <c r="AE50" i="14"/>
  <c r="AD50" i="14"/>
  <c r="AC52" i="14"/>
  <c r="AE52" i="14"/>
  <c r="AD52" i="14"/>
  <c r="AE24" i="14"/>
  <c r="AC24" i="14"/>
  <c r="AD24" i="14"/>
  <c r="AD54" i="14"/>
  <c r="AC54" i="14"/>
  <c r="AE54" i="14"/>
  <c r="AC65" i="14"/>
  <c r="AE65" i="14"/>
  <c r="AD65" i="14"/>
  <c r="AE29" i="14"/>
  <c r="AD29" i="14"/>
  <c r="AC29" i="14"/>
  <c r="AC87" i="14"/>
  <c r="AE87" i="14"/>
  <c r="AD87" i="14"/>
  <c r="AE18" i="14"/>
  <c r="AC18" i="14"/>
  <c r="AD18" i="14"/>
  <c r="AC19" i="14"/>
  <c r="AE19" i="14"/>
  <c r="AD19" i="14"/>
  <c r="AD9" i="14"/>
  <c r="AE9" i="14"/>
  <c r="AC9" i="14"/>
  <c r="AE70" i="14"/>
  <c r="AC70" i="14"/>
  <c r="AD70" i="14"/>
  <c r="AE57" i="14"/>
  <c r="AD57" i="14"/>
  <c r="AC57" i="14"/>
  <c r="AE22" i="14"/>
  <c r="AC22" i="14"/>
  <c r="AD22" i="14"/>
  <c r="AE66" i="14"/>
  <c r="AD66" i="14"/>
  <c r="AC66" i="14"/>
  <c r="AC92" i="14"/>
  <c r="AD92" i="14"/>
  <c r="AE92" i="14"/>
  <c r="AC26" i="14"/>
  <c r="AD26" i="14"/>
  <c r="AE26" i="14"/>
  <c r="AC4" i="14"/>
  <c r="AD4" i="14"/>
  <c r="AE4" i="14"/>
  <c r="AE117" i="14"/>
  <c r="AD117" i="14"/>
  <c r="AC117" i="14"/>
  <c r="AE31" i="14"/>
  <c r="AD31" i="14"/>
  <c r="AC31" i="14"/>
  <c r="AC36" i="14"/>
  <c r="AD36" i="14"/>
  <c r="AE36" i="14"/>
  <c r="AE6" i="14"/>
  <c r="AD6" i="14"/>
  <c r="AC6" i="14"/>
  <c r="AC64" i="14"/>
  <c r="AE64" i="14"/>
  <c r="AD64" i="14"/>
  <c r="AE45" i="14"/>
  <c r="AD45" i="14"/>
  <c r="AC45" i="14"/>
  <c r="AC5" i="14"/>
  <c r="AD5" i="14"/>
  <c r="AE5" i="14"/>
  <c r="AE81" i="14"/>
  <c r="AD81" i="14"/>
  <c r="AC81" i="14"/>
  <c r="AC91" i="14"/>
  <c r="AD91" i="14"/>
  <c r="AE91" i="14"/>
  <c r="AD42" i="14"/>
  <c r="AC42" i="14"/>
  <c r="AE42" i="14"/>
  <c r="AE11" i="14"/>
  <c r="AD11" i="14"/>
  <c r="AC11" i="14"/>
  <c r="AC90" i="14"/>
  <c r="AD90" i="14"/>
  <c r="AE90" i="14"/>
  <c r="AE73" i="14"/>
  <c r="AD73" i="14"/>
  <c r="AC73" i="14"/>
  <c r="AC7" i="14"/>
  <c r="AE7" i="14"/>
  <c r="AD7" i="14"/>
  <c r="AE97" i="14"/>
  <c r="AD97" i="14"/>
  <c r="AC97" i="14"/>
  <c r="AE39" i="14"/>
  <c r="AC39" i="14"/>
  <c r="AD39" i="14"/>
  <c r="AE68" i="14"/>
  <c r="AC68" i="14"/>
  <c r="AD68" i="14"/>
  <c r="AC43" i="14"/>
  <c r="AD43" i="14"/>
  <c r="AE43" i="14"/>
  <c r="AE106" i="14"/>
  <c r="AC106" i="14"/>
  <c r="AD106" i="14"/>
  <c r="AE76" i="14"/>
  <c r="AC76" i="14"/>
  <c r="AD76" i="14"/>
  <c r="AD37" i="14"/>
  <c r="AE37" i="14"/>
  <c r="AC37" i="14"/>
  <c r="AC71" i="14"/>
  <c r="AD71" i="14"/>
  <c r="AE71" i="14"/>
  <c r="AE20" i="14"/>
  <c r="AC20" i="14"/>
  <c r="AD20" i="14"/>
  <c r="AC25" i="14"/>
  <c r="AD25" i="14"/>
  <c r="AE25" i="14"/>
  <c r="AC120" i="14"/>
  <c r="AE120" i="14"/>
  <c r="AD120" i="14"/>
  <c r="AE85" i="14"/>
  <c r="AD85" i="14"/>
  <c r="AC85" i="14"/>
  <c r="AE111" i="14"/>
  <c r="AD111" i="14"/>
  <c r="AC111" i="14"/>
  <c r="AC38" i="14"/>
  <c r="AD38" i="14"/>
  <c r="AE38" i="14"/>
  <c r="AC33" i="14"/>
  <c r="AD33" i="14"/>
  <c r="AE33" i="14"/>
  <c r="AC113" i="14"/>
  <c r="AD113" i="14"/>
  <c r="AE113" i="14"/>
  <c r="AD99" i="14"/>
  <c r="AC99" i="14"/>
  <c r="AE99" i="14"/>
  <c r="AE83" i="14"/>
  <c r="AC83" i="14"/>
  <c r="AD83" i="14"/>
  <c r="AD35" i="14"/>
  <c r="AC35" i="14"/>
  <c r="AE35" i="14"/>
  <c r="AC67" i="14"/>
  <c r="AD67" i="14"/>
  <c r="AE67" i="14"/>
  <c r="AE44" i="14"/>
  <c r="AC44" i="14"/>
  <c r="AD44" i="14"/>
  <c r="AD15" i="14"/>
  <c r="AE15" i="14"/>
  <c r="AC15" i="14"/>
  <c r="AD101" i="14"/>
  <c r="AE101" i="14"/>
  <c r="AC101" i="14"/>
  <c r="AE62" i="14"/>
  <c r="AC62" i="14"/>
  <c r="AD62" i="14"/>
  <c r="AD60" i="14"/>
  <c r="AC60" i="14"/>
  <c r="AE60" i="14"/>
  <c r="AD27" i="14"/>
  <c r="AE27" i="14"/>
  <c r="AC27" i="14"/>
  <c r="AE56" i="14"/>
  <c r="AD56" i="14"/>
  <c r="AC56" i="14"/>
  <c r="AE109" i="14"/>
  <c r="AD109" i="14"/>
  <c r="AC109" i="14"/>
  <c r="AE10" i="14"/>
  <c r="AC10" i="14"/>
  <c r="AD10" i="14"/>
  <c r="AE8" i="14"/>
  <c r="AD8" i="14"/>
  <c r="AC8" i="14"/>
  <c r="AE78" i="14"/>
  <c r="AC78" i="14"/>
  <c r="AD78" i="14"/>
  <c r="AE95" i="14"/>
  <c r="AD95" i="14"/>
  <c r="AC95" i="14"/>
  <c r="AC72" i="14"/>
  <c r="AD72" i="14"/>
  <c r="AE72" i="14"/>
  <c r="AC80" i="14"/>
  <c r="AE80" i="14"/>
  <c r="AD80" i="14"/>
  <c r="AD17" i="14"/>
  <c r="AC17" i="14"/>
  <c r="AE17" i="14"/>
  <c r="AE93" i="14"/>
  <c r="AD93" i="14"/>
  <c r="AC93" i="14"/>
  <c r="AE16" i="14"/>
  <c r="AD16" i="14"/>
  <c r="AC16" i="14"/>
  <c r="AE14" i="14"/>
  <c r="AD14" i="14"/>
  <c r="AC14" i="14"/>
  <c r="AC74" i="14"/>
  <c r="AD74" i="14"/>
  <c r="AE74" i="14"/>
  <c r="AE116" i="14"/>
  <c r="AC116" i="14"/>
  <c r="AD116" i="14"/>
  <c r="AD21" i="14"/>
  <c r="AE21" i="14"/>
  <c r="AC21" i="14"/>
  <c r="AD49" i="14"/>
  <c r="AC49" i="14"/>
  <c r="AE49" i="14"/>
  <c r="AD88" i="14"/>
  <c r="AE88" i="14"/>
  <c r="AC88" i="14"/>
  <c r="AE47" i="14"/>
  <c r="AC47" i="14"/>
  <c r="AD47" i="14"/>
  <c r="AC28" i="14"/>
  <c r="AD28" i="14"/>
  <c r="AE28" i="14"/>
  <c r="AC69" i="14"/>
  <c r="AD69" i="14"/>
  <c r="AE69" i="14"/>
  <c r="AD32" i="14"/>
  <c r="AE32" i="14"/>
  <c r="AC32" i="14"/>
  <c r="AD58" i="14"/>
  <c r="AE58" i="14"/>
  <c r="AC58" i="14"/>
  <c r="AD61" i="14"/>
  <c r="AC61" i="14"/>
  <c r="AE61" i="14"/>
  <c r="AE53" i="14"/>
  <c r="AC53" i="14"/>
  <c r="AD53" i="14"/>
  <c r="AD55" i="14"/>
  <c r="AC55" i="14"/>
  <c r="AE55" i="14"/>
  <c r="AD104" i="14"/>
  <c r="AC104" i="14"/>
  <c r="AE104" i="14"/>
  <c r="AE34" i="14"/>
  <c r="AC34" i="14"/>
  <c r="AD34" i="14"/>
  <c r="AC96" i="14"/>
  <c r="AD96" i="14"/>
  <c r="AE96" i="14"/>
  <c r="AC3" i="14"/>
  <c r="AD3" i="14"/>
  <c r="AE3" i="14"/>
  <c r="AD114" i="14"/>
  <c r="AE114" i="14"/>
  <c r="AC114" i="14"/>
  <c r="AD51" i="14"/>
  <c r="AE51" i="14"/>
  <c r="AC51" i="14"/>
  <c r="AC12" i="14"/>
  <c r="AD12" i="14"/>
  <c r="AE12" i="14"/>
  <c r="AC98" i="14"/>
  <c r="AD98" i="14"/>
  <c r="AE98" i="14"/>
  <c r="AE105" i="14"/>
  <c r="AC105" i="14"/>
  <c r="AD105" i="14"/>
  <c r="AD40" i="14"/>
  <c r="AC40" i="14"/>
  <c r="AE40" i="14"/>
  <c r="AE89" i="14"/>
  <c r="AD89" i="14"/>
  <c r="AC89" i="14"/>
  <c r="AC107" i="14"/>
  <c r="AD107" i="14"/>
  <c r="AE107" i="14"/>
  <c r="AC112" i="14"/>
  <c r="AE112" i="14"/>
  <c r="AD112" i="14"/>
  <c r="AC108" i="14"/>
  <c r="AD108" i="14"/>
  <c r="AE108" i="14"/>
  <c r="AC48" i="14"/>
  <c r="AE48" i="14"/>
  <c r="AD48" i="14"/>
  <c r="AC41" i="14"/>
  <c r="AD41" i="14"/>
  <c r="AE41" i="14"/>
  <c r="AE115" i="14"/>
  <c r="AD115" i="14"/>
  <c r="AC115" i="14"/>
  <c r="AC13" i="14"/>
  <c r="AD13" i="14"/>
  <c r="AE13" i="14"/>
  <c r="AC23" i="14"/>
  <c r="AD23" i="14"/>
  <c r="AE23" i="14"/>
  <c r="AE46" i="14"/>
  <c r="AC46" i="14"/>
  <c r="AD46" i="14"/>
  <c r="AD59" i="14"/>
  <c r="AE59" i="14"/>
  <c r="AC59" i="14"/>
  <c r="AC30" i="14"/>
  <c r="AD30" i="14"/>
  <c r="AE30" i="14"/>
  <c r="AE63" i="14"/>
  <c r="AC63" i="14"/>
  <c r="AD63" i="14"/>
  <c r="AC103" i="14"/>
  <c r="AD103" i="14"/>
  <c r="AE103" i="14"/>
  <c r="AE86" i="14"/>
  <c r="AC86" i="14"/>
  <c r="AD86" i="14"/>
  <c r="AD77" i="14"/>
  <c r="AC77" i="14"/>
  <c r="AE77" i="14"/>
  <c r="AC100" i="14"/>
  <c r="AD100" i="14"/>
  <c r="AE100" i="14"/>
  <c r="AD82" i="14"/>
  <c r="AC82" i="14"/>
  <c r="AE82" i="14"/>
  <c r="AE84" i="14"/>
  <c r="AD84" i="14"/>
  <c r="AC84" i="14"/>
  <c r="AE75" i="14"/>
  <c r="AC75" i="14"/>
  <c r="AD75" i="14"/>
  <c r="AC102" i="14"/>
  <c r="AD102" i="14"/>
  <c r="AE102" i="14"/>
  <c r="AC118" i="14"/>
  <c r="AD118" i="14"/>
  <c r="AE118" i="14"/>
  <c r="AD94" i="14"/>
  <c r="AC94" i="14"/>
  <c r="AE94" i="14"/>
  <c r="AE2" i="14"/>
  <c r="AD2" i="14"/>
  <c r="AC2" i="14"/>
  <c r="AB79" i="14"/>
  <c r="AB110" i="14"/>
  <c r="AC79" i="14" l="1"/>
  <c r="AD79" i="14"/>
  <c r="AE79" i="14"/>
  <c r="AB121" i="14"/>
  <c r="AC110" i="14"/>
  <c r="AD110" i="14"/>
  <c r="AE110" i="14"/>
  <c r="AC121" i="14" l="1"/>
  <c r="B2" i="12" s="1"/>
  <c r="C2" i="12" s="1"/>
  <c r="AD121" i="14"/>
  <c r="B8" i="12" s="1"/>
  <c r="AE121" i="14"/>
  <c r="B14" i="12" s="1"/>
  <c r="C14" i="12" s="1"/>
  <c r="F19" i="12" l="1"/>
  <c r="F18" i="12"/>
  <c r="B16" i="12"/>
  <c r="B4" i="12"/>
  <c r="F2" i="12"/>
  <c r="F3" i="12"/>
  <c r="F4" i="12"/>
  <c r="F5" i="12"/>
  <c r="C8" i="12"/>
  <c r="B10" i="12"/>
  <c r="F14" i="12"/>
  <c r="F17" i="12"/>
  <c r="F16" i="12"/>
  <c r="F15" i="12"/>
  <c r="F8" i="12" l="1"/>
  <c r="F9" i="12"/>
  <c r="F11" i="12"/>
  <c r="F10" i="12"/>
</calcChain>
</file>

<file path=xl/sharedStrings.xml><?xml version="1.0" encoding="utf-8"?>
<sst xmlns="http://schemas.openxmlformats.org/spreadsheetml/2006/main" count="420" uniqueCount="253">
  <si>
    <t>LAST NAME</t>
  </si>
  <si>
    <t>FIRST NAME</t>
  </si>
  <si>
    <t>CLASS</t>
  </si>
  <si>
    <t>DISCOUNT</t>
  </si>
  <si>
    <t xml:space="preserve"> AD-FORM</t>
  </si>
  <si>
    <t>FULL TUITION</t>
  </si>
  <si>
    <t xml:space="preserve"> PTA/EXAM</t>
  </si>
  <si>
    <t xml:space="preserve"> REPORT CARD</t>
  </si>
  <si>
    <t>PRACTICALS</t>
  </si>
  <si>
    <t xml:space="preserve"> AD_FORM</t>
  </si>
  <si>
    <t>TUITION</t>
  </si>
  <si>
    <t xml:space="preserve"> PTA&amp;EXAM</t>
  </si>
  <si>
    <t xml:space="preserve"> REPORT_CARD</t>
  </si>
  <si>
    <t>PRACTICAL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</si>
  <si>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</si>
  <si>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</si>
  <si>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</si>
  <si>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</si>
  <si>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</si>
  <si>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</si>
  <si>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</si>
  <si>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</si>
  <si>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</si>
  <si>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HOLIDAY LESSON</t>
  </si>
  <si>
    <t>OUTSTANDING</t>
  </si>
  <si>
    <t>TOTAL FEE</t>
  </si>
  <si>
    <t>TOTAL PAID</t>
  </si>
  <si>
    <t>BALANCE</t>
  </si>
  <si>
    <t>ABIDOYE</t>
  </si>
  <si>
    <t>AL-AMEER OLUWAJOMILOJU</t>
  </si>
  <si>
    <t>PLAYGROUP 2</t>
  </si>
  <si>
    <t>MAXWELL</t>
  </si>
  <si>
    <t>ALEXANDER</t>
  </si>
  <si>
    <t>PRIMARY 1</t>
  </si>
  <si>
    <t>ADEBOYE</t>
  </si>
  <si>
    <t>ENIOLA ESTHER</t>
  </si>
  <si>
    <t>JUNIOR SECONDARY SCHOOL 2</t>
  </si>
  <si>
    <t>ADEBUNMI</t>
  </si>
  <si>
    <t>ADEYEMI</t>
  </si>
  <si>
    <t>ADEOLUWA</t>
  </si>
  <si>
    <t>ADEDAYO</t>
  </si>
  <si>
    <t>DORCAS ADEMIDE</t>
  </si>
  <si>
    <t>ADEDOJA</t>
  </si>
  <si>
    <t>MOJEREOLUWA PROSPER</t>
  </si>
  <si>
    <t>NURSERY 1</t>
  </si>
  <si>
    <t>PRAISE</t>
  </si>
  <si>
    <t>PRIMARY 3</t>
  </si>
  <si>
    <t>NURSERY 2</t>
  </si>
  <si>
    <t>PRIMARY 2</t>
  </si>
  <si>
    <t>PLAYGROUP 1</t>
  </si>
  <si>
    <t>ADEKUNLE</t>
  </si>
  <si>
    <t>MUMINAT ADEBOLA</t>
  </si>
  <si>
    <t>SENIOR SECONDARY SCHOOL 3</t>
  </si>
  <si>
    <t>ADELOYE</t>
  </si>
  <si>
    <t>DANIEL</t>
  </si>
  <si>
    <t>EMMANUEL</t>
  </si>
  <si>
    <t>PROSPER</t>
  </si>
  <si>
    <t>ADENIYI</t>
  </si>
  <si>
    <t>HERITAGE ADEDOYIN</t>
  </si>
  <si>
    <t>PRIMARY 4</t>
  </si>
  <si>
    <t>AKINBOSOYE</t>
  </si>
  <si>
    <t>DANIEL IYANUOLUWA</t>
  </si>
  <si>
    <t>DEBORAH OLUWADARA</t>
  </si>
  <si>
    <t>AKINYEMI</t>
  </si>
  <si>
    <t>DAVID</t>
  </si>
  <si>
    <t>ALIDU</t>
  </si>
  <si>
    <t>BOLANLE AZEEZAT</t>
  </si>
  <si>
    <t>JUNIOR SECONDARY SCHOOL 3</t>
  </si>
  <si>
    <t>AWODOLA</t>
  </si>
  <si>
    <t>JOSHUA AYOMIDE</t>
  </si>
  <si>
    <t>SENIOR SECONDARY SCHOOL 2</t>
  </si>
  <si>
    <t>AYODELE</t>
  </si>
  <si>
    <t>SANDRA OLUWATOBILOBA</t>
  </si>
  <si>
    <t>MICHAEL</t>
  </si>
  <si>
    <t>BABALOLA</t>
  </si>
  <si>
    <t>BRIDGET OLADOYIN</t>
  </si>
  <si>
    <t>OLUWADARASIMI</t>
  </si>
  <si>
    <t>JESUTOFUNMI DARA</t>
  </si>
  <si>
    <t>EDEM</t>
  </si>
  <si>
    <t>ZENITH AYOKUNNUMI</t>
  </si>
  <si>
    <t>RUTH OLADIPUPO</t>
  </si>
  <si>
    <t>HAMMED</t>
  </si>
  <si>
    <t>ZAINAB ENIOLA</t>
  </si>
  <si>
    <t>IBITOYE</t>
  </si>
  <si>
    <t>FELIX TIWATOPE</t>
  </si>
  <si>
    <t>IGE</t>
  </si>
  <si>
    <t>OLUWAFERANMI BRIDGET</t>
  </si>
  <si>
    <t>OLUWAFEMI BRIGHT</t>
  </si>
  <si>
    <t>KOLADE</t>
  </si>
  <si>
    <t>MUTAIRU</t>
  </si>
  <si>
    <t>MARIAM OMOSHALEWA</t>
  </si>
  <si>
    <t>ISMAIL ABIODUN</t>
  </si>
  <si>
    <t>IBRAHIM GBOLAHAN</t>
  </si>
  <si>
    <t>NELSON</t>
  </si>
  <si>
    <t>HARRY EMMANUEL OBALOLUWA</t>
  </si>
  <si>
    <t>OKERINDE</t>
  </si>
  <si>
    <t>JUMAIN BOLUWATIFE</t>
  </si>
  <si>
    <t>SENIOR SECONDARY SCHOOL 1</t>
  </si>
  <si>
    <t>OLADAPO</t>
  </si>
  <si>
    <t>JASON ANJOLAOLUWA</t>
  </si>
  <si>
    <t>OLADEJO</t>
  </si>
  <si>
    <t>JESUTOFUNMI PRECIOUS</t>
  </si>
  <si>
    <t>OLATUNJI</t>
  </si>
  <si>
    <t>JEMIMAH OLAMIDE</t>
  </si>
  <si>
    <t>GREAT MOYINOLUWA</t>
  </si>
  <si>
    <t>INIOLUWA BRIGHT</t>
  </si>
  <si>
    <t>OLOGUNDUDU</t>
  </si>
  <si>
    <t>OLUNIYI</t>
  </si>
  <si>
    <t>LEONARD DAVID</t>
  </si>
  <si>
    <t>OLUWAFEMI</t>
  </si>
  <si>
    <t>EMMANUEL OBALOLUWA</t>
  </si>
  <si>
    <t>OLUWASEGUN</t>
  </si>
  <si>
    <t>EMMANUEL OLUWAKOREDE</t>
  </si>
  <si>
    <t>OLUWASHOLA</t>
  </si>
  <si>
    <t>TEMILOLUWA ELIZABETH</t>
  </si>
  <si>
    <t>MORIRE ESTHER</t>
  </si>
  <si>
    <t>ONOJA</t>
  </si>
  <si>
    <t>MIRACLE</t>
  </si>
  <si>
    <t>OSIGWE</t>
  </si>
  <si>
    <t>UGOCHUKWU DOMINION</t>
  </si>
  <si>
    <t>OSINACHI KINGDAVID</t>
  </si>
  <si>
    <t>OYETUNJI</t>
  </si>
  <si>
    <t>ISAAC ORINAYO</t>
  </si>
  <si>
    <t>PETER</t>
  </si>
  <si>
    <t>FAVOUR ELIANA</t>
  </si>
  <si>
    <t>SAHEED</t>
  </si>
  <si>
    <t>FARIDAT ABISOLA</t>
  </si>
  <si>
    <t>AZEEMAH</t>
  </si>
  <si>
    <t>SALEEM</t>
  </si>
  <si>
    <t>IBRAHIM</t>
  </si>
  <si>
    <t>TEMITOPE</t>
  </si>
  <si>
    <t>OLUWATIMILEYIN GODWIN</t>
  </si>
  <si>
    <t>EMMANUEL OLUWASEMILORE</t>
  </si>
  <si>
    <t>TIAMIYU</t>
  </si>
  <si>
    <t>AISHAT WURAOLA</t>
  </si>
  <si>
    <t>UDENSON</t>
  </si>
  <si>
    <t>TESTIMONY</t>
  </si>
  <si>
    <t>WAHAB</t>
  </si>
  <si>
    <t>FAIZA ALVES</t>
  </si>
  <si>
    <t>CREDIT</t>
  </si>
  <si>
    <t>DEBORAH ADESIRE</t>
  </si>
  <si>
    <t>FAITH MORAYOOLUWA</t>
  </si>
  <si>
    <t>ABDULQUDUS</t>
  </si>
  <si>
    <t>AKANDE</t>
  </si>
  <si>
    <t>ZION AYANFE</t>
  </si>
  <si>
    <t>JEMIMA OLAOLUWAKITAN</t>
  </si>
  <si>
    <t>OLATUNDE</t>
  </si>
  <si>
    <t>FAITHFULNESS SAMUEL</t>
  </si>
  <si>
    <t>LESSON FEE PRY</t>
  </si>
  <si>
    <t>LESSON FEE SEC</t>
  </si>
  <si>
    <t>PARTY FEE REMIT</t>
  </si>
  <si>
    <t>ADEDAMOLA</t>
  </si>
  <si>
    <t>IREMIDE</t>
  </si>
  <si>
    <t>ERIC</t>
  </si>
  <si>
    <t>OLUWASHINDARA FLOURISH</t>
  </si>
  <si>
    <t>FEYIJIMI</t>
  </si>
  <si>
    <t>JADEN OLAOLUWA</t>
  </si>
  <si>
    <t>JOHN</t>
  </si>
  <si>
    <t>MISHAEL</t>
  </si>
  <si>
    <t>KOLAWOLE</t>
  </si>
  <si>
    <t>STEPHEN</t>
  </si>
  <si>
    <t>KONNEH</t>
  </si>
  <si>
    <t>AYISHA GOLD</t>
  </si>
  <si>
    <t>UMAR IREBAMI</t>
  </si>
  <si>
    <t>JOY TOLUWANI</t>
  </si>
  <si>
    <t>PRIMARY LESSON</t>
  </si>
  <si>
    <t>DATE</t>
  </si>
  <si>
    <t>CURRENT BALANCE</t>
  </si>
  <si>
    <t>SECONDARY LESSON</t>
  </si>
  <si>
    <t>PARTY DUES</t>
  </si>
  <si>
    <t>AMOUNT REMITTED</t>
  </si>
  <si>
    <t>KELANI</t>
  </si>
  <si>
    <t>AZEEZAH ADEJARE</t>
  </si>
  <si>
    <t>ALADESAYE</t>
  </si>
  <si>
    <t>AFOLAHANMI VINCENT</t>
  </si>
  <si>
    <t>FAGBAYI</t>
  </si>
  <si>
    <t>ASEOLUWA JOSHUA</t>
  </si>
  <si>
    <t>GANFO</t>
  </si>
  <si>
    <t>JOSHUA OLAMIDE</t>
  </si>
  <si>
    <t>SAMUEL DEMILADE</t>
  </si>
  <si>
    <t>FRANKLIN</t>
  </si>
  <si>
    <t>GRACE-ANN ITSHOGHENE</t>
  </si>
  <si>
    <t>ABIODUN</t>
  </si>
  <si>
    <t>DANIEL OBANIJESU</t>
  </si>
  <si>
    <t>SANUSI</t>
  </si>
  <si>
    <t>DESIRE</t>
  </si>
  <si>
    <t>BLESSING</t>
  </si>
  <si>
    <t>AKINDURO</t>
  </si>
  <si>
    <t>ADIGUN</t>
  </si>
  <si>
    <t>JOSIAH BRIGHT</t>
  </si>
  <si>
    <t>AHNAF ARAOLA</t>
  </si>
  <si>
    <t>BAKARE</t>
  </si>
  <si>
    <t>PRINCESS BEWAJI</t>
  </si>
  <si>
    <t>ABDULLATEEF</t>
  </si>
  <si>
    <t>MUHAMMED</t>
  </si>
  <si>
    <t>ISSAH</t>
  </si>
  <si>
    <t>IMOLE</t>
  </si>
  <si>
    <t>ELIZABETH</t>
  </si>
  <si>
    <t>OSUNDEYI</t>
  </si>
  <si>
    <t>BEAUTY OLABISI</t>
  </si>
  <si>
    <t>ADETOLA PRINCESS</t>
  </si>
  <si>
    <t>GABRIELLA OLUWAFIREWAMIRI</t>
  </si>
  <si>
    <t>MODADEOBA GBOLAHAN</t>
  </si>
  <si>
    <t>ADEYANJU</t>
  </si>
  <si>
    <t>OLALEMI</t>
  </si>
  <si>
    <t>ADEMIDE SAMUEL</t>
  </si>
  <si>
    <t>JEMIMAH AYOMIDE</t>
  </si>
  <si>
    <t>OBEY</t>
  </si>
  <si>
    <t>SHARON ADELEWA</t>
  </si>
  <si>
    <t>CHARIS ADEEWA</t>
  </si>
  <si>
    <t>IVANA ADESEWA</t>
  </si>
  <si>
    <t>OLUWASEUN</t>
  </si>
  <si>
    <t>ISRAEL ANJOLAOLUWA</t>
  </si>
  <si>
    <t>JAMIU</t>
  </si>
  <si>
    <t>HASBULLAH OKIKIOLA</t>
  </si>
  <si>
    <t>GABRIEL</t>
  </si>
  <si>
    <t>KEHINDE AYOLEYI</t>
  </si>
  <si>
    <t>TAIWO EYITAYO</t>
  </si>
  <si>
    <t>ZION</t>
  </si>
  <si>
    <t>JOSHUA IDEMUDIA</t>
  </si>
  <si>
    <t>SOLAWUDEEN</t>
  </si>
  <si>
    <t>IMAN ABISADE</t>
  </si>
  <si>
    <t>JEDIDAH</t>
  </si>
  <si>
    <t>FAIZAH AYANFE</t>
  </si>
  <si>
    <t>EMORDI</t>
  </si>
  <si>
    <t>JAPHETH ENIOLA</t>
  </si>
  <si>
    <t>JULIAN KOLADE</t>
  </si>
  <si>
    <t>AMOUNT RECEIVED</t>
  </si>
  <si>
    <t>EXPECTED BALANCE</t>
  </si>
  <si>
    <t>TOTAL EXPECTED AMOUNT</t>
  </si>
  <si>
    <t>DATE REMITTED</t>
  </si>
  <si>
    <t>TOTAL AMOUNT TO REMIT (70%)</t>
  </si>
  <si>
    <t>TOTAL AMOUNT TO REMIT (100%)</t>
  </si>
  <si>
    <t>SULTAN ORODE</t>
  </si>
  <si>
    <t>GANIYU</t>
  </si>
  <si>
    <t>OLUWAJUEDALO FARHAN</t>
  </si>
  <si>
    <t>ABDULAZEEZ</t>
  </si>
  <si>
    <t>FIRDAOS</t>
  </si>
  <si>
    <t>MOSES</t>
  </si>
  <si>
    <t>HEPHZIBAH TOLUWALASE</t>
  </si>
  <si>
    <t>ABDULLAH</t>
  </si>
  <si>
    <t>MICHELLE OREOFE</t>
  </si>
  <si>
    <t>ALABI</t>
  </si>
  <si>
    <t>IMOLEAYO MARY</t>
  </si>
  <si>
    <t>BENJAMIN</t>
  </si>
  <si>
    <t>GRANT</t>
  </si>
  <si>
    <t>BANK</t>
  </si>
  <si>
    <t>NARRATION</t>
  </si>
  <si>
    <t>STUDENT</t>
  </si>
  <si>
    <t>PRIMARY 5</t>
  </si>
  <si>
    <t>NIP:OLUWATIMILEYIN DAVID NATHANIEL</t>
  </si>
  <si>
    <t>WEMA</t>
  </si>
  <si>
    <t>DAVID OLUWADARASIMI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</si>
</sst>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₦&quot;* #,##0.00_-;\-&quot;₦&quot;* #,##0.00_-;_-&quot;₦&quot;* &quot;-&quot;??_-;_-@"/>
    <numFmt numFmtId="165" formatCode="dd\ mmm\ yyyy"/>
    <numFmt numFmtId="166" formatCode="_-[$₦-46A]* #,##0.00_-;\-[$₦-46A]* #,##0.00_-;_-[$₦-46A]* &quot;-&quot;??_-;_-@_-"/>
    <numFmt numFmtId="167" formatCode="[$-409]dd\-mmm\-yy;@"/>
  </numFmts>
  <fonts count="11" x14ac:knownFonts="1">
    <font>
      <sz val="11"/>
      <color rgb="FF000000"/>
      <name val="Calibri"/>
      <scheme val="minor"/>
    </font>
    <font>
      <b/>
      <sz val="14"/>
      <color rgb="FFFFFFFF"/>
      <name val="Cambria"/>
      <family val="1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  <font>
      <sz val="8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4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165" fontId="1" fillId="2" borderId="1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0" fontId="9" fillId="0" borderId="2" xfId="0" applyNumberFormat="1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7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/>
    </xf>
    <xf numFmtId="167" fontId="1" fillId="2" borderId="1" xfId="0" applyNumberFormat="1" applyFont="1" applyFill="1" applyBorder="1" applyAlignment="1">
      <alignment horizontal="center" vertical="center" readingOrder="1"/>
    </xf>
    <xf numFmtId="166" fontId="1" fillId="2" borderId="1" xfId="0" applyNumberFormat="1" applyFont="1" applyFill="1" applyBorder="1" applyAlignment="1">
      <alignment horizontal="center" vertical="center" readingOrder="1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2584-1839-4DFB-BFEC-499BCA7BEA2A}">
  <sheetPr codeName="Sheet10">
    <pageSetUpPr fitToPage="1"/>
  </sheetPr>
  <dimension ref="A1:AE979"/>
  <sheetViews>
    <sheetView tabSelected="1" zoomScaleNormal="100" workbookViewId="0">
      <pane xSplit="4" ySplit="1" topLeftCell="O2" activePane="bottomRight" state="frozen"/>
      <selection activeCell="B16" sqref="B16"/>
      <selection pane="topRight" activeCell="B16" sqref="B16"/>
      <selection pane="bottomLeft" activeCell="B16" sqref="B16"/>
      <selection pane="bottomRight" activeCell="R12" sqref="R12"/>
    </sheetView>
  </sheetViews>
  <sheetFormatPr defaultColWidth="14.42578125" defaultRowHeight="14.25" x14ac:dyDescent="0.25"/>
  <cols>
    <col min="1" max="1" width="15.140625" style="23" bestFit="1" customWidth="1"/>
    <col min="2" max="2" width="32.85546875" style="23" bestFit="1" customWidth="1"/>
    <col min="3" max="3" width="30.42578125" style="23" bestFit="1" customWidth="1"/>
    <col min="4" max="4" width="11.7109375" style="23" bestFit="1" customWidth="1"/>
    <col min="5" max="5" width="12" style="23" bestFit="1" customWidth="1"/>
    <col min="6" max="6" width="16" style="23" bestFit="1" customWidth="1"/>
    <col min="7" max="7" width="13.7109375" style="23" bestFit="1" customWidth="1"/>
    <col min="8" max="8" width="17" style="23" bestFit="1" customWidth="1"/>
    <col min="9" max="9" width="14.7109375" style="23" bestFit="1" customWidth="1"/>
    <col min="10" max="10" width="12.140625" style="23" bestFit="1" customWidth="1"/>
    <col min="11" max="11" width="12.42578125" style="23" bestFit="1" customWidth="1"/>
    <col min="12" max="12" width="14.140625" style="23" bestFit="1" customWidth="1"/>
    <col min="13" max="13" width="17.5703125" style="23" bestFit="1" customWidth="1"/>
    <col min="14" max="14" width="13.5703125" style="23" bestFit="1" customWidth="1"/>
    <col min="15" max="15" width="14.42578125" style="23" bestFit="1" customWidth="1"/>
    <col min="16" max="16" width="12.7109375" style="23" bestFit="1" customWidth="1"/>
    <col min="17" max="17" width="12.42578125" style="23" bestFit="1" customWidth="1"/>
    <col min="18" max="18" width="11.28515625" style="23" bestFit="1" customWidth="1"/>
    <col min="19" max="19" width="16.140625" style="23" bestFit="1" customWidth="1"/>
    <col min="20" max="20" width="17.28515625" style="23" bestFit="1" customWidth="1"/>
    <col min="21" max="21" width="13.5703125" style="23" bestFit="1" customWidth="1"/>
    <col min="22" max="22" width="28.140625" style="23" bestFit="1" customWidth="1"/>
    <col min="23" max="23" width="33.85546875" style="23" bestFit="1" customWidth="1"/>
    <col min="24" max="24" width="19.42578125" style="23" bestFit="1" customWidth="1"/>
    <col min="25" max="26" width="17" style="23" bestFit="1" customWidth="1"/>
    <col min="27" max="27" width="14.42578125" style="23" bestFit="1" customWidth="1"/>
    <col min="28" max="28" width="17" style="23" bestFit="1" customWidth="1"/>
    <col min="29" max="29" width="18.42578125" style="23" bestFit="1" customWidth="1"/>
    <col min="30" max="30" width="18.140625" style="23" bestFit="1" customWidth="1"/>
    <col min="31" max="31" width="20.42578125" style="23" bestFit="1" customWidth="1"/>
    <col min="32" max="16384" width="14.42578125" style="23"/>
  </cols>
  <sheetData>
    <row r="1" spans="1:31" x14ac:dyDescent="0.25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148</v>
      </c>
      <c r="AD1" s="14" t="s">
        <v>149</v>
      </c>
      <c r="AE1" s="14" t="s">
        <v>150</v>
      </c>
    </row>
    <row r="2" spans="1:31" x14ac:dyDescent="0.25">
      <c r="A2" s="15" t="s">
        <v>34</v>
      </c>
      <c r="B2" s="15" t="s">
        <v>197</v>
      </c>
      <c r="C2" s="15" t="s">
        <v>36</v>
      </c>
      <c r="D2" s="16">
        <v>0.25</v>
      </c>
      <c r="E2" s="17">
        <v>0</v>
      </c>
      <c r="F2" s="17">
        <v>33000</v>
      </c>
      <c r="G2" s="17">
        <v>5000</v>
      </c>
      <c r="H2" s="17">
        <v>2000</v>
      </c>
      <c r="I2" s="17">
        <v>6000</v>
      </c>
      <c r="J2" s="17">
        <f>(1-$D2)*E2</f>
        <v>0</v>
      </c>
      <c r="K2" s="17">
        <f>(1-$D2)*F2</f>
        <v>24750</v>
      </c>
      <c r="L2" s="17">
        <f>G2</f>
        <v>5000</v>
      </c>
      <c r="M2" s="17">
        <f>(1-$D2)*H2</f>
        <v>1500</v>
      </c>
      <c r="N2" s="17">
        <f>(1-$D2)*I2</f>
        <v>4500</v>
      </c>
      <c r="O2" s="17">
        <v>19560</v>
      </c>
      <c r="P2" s="17">
        <v>14330</v>
      </c>
      <c r="Q2" s="17">
        <v>0</v>
      </c>
      <c r="R2" s="17">
        <v>0</v>
      </c>
      <c r="S2" s="17">
        <v>0</v>
      </c>
      <c r="T2" s="17">
        <v>8000</v>
      </c>
      <c r="U2" s="17">
        <v>0</v>
      </c>
      <c r="V2" s="17">
        <v>0</v>
      </c>
      <c r="W2" s="17">
        <v>0</v>
      </c>
      <c r="X2" s="17">
        <v>0</v>
      </c>
      <c r="Y2" s="17">
        <v>750</v>
      </c>
      <c r="Z2" s="17">
        <f>SUM(J2:Y2)</f>
        <v>78390</v>
      </c>
      <c r="AA2" s="17">
        <v>0</v>
      </c>
      <c r="AB2" s="14">
        <f>Z2-AA2</f>
        <v>78390</v>
      </c>
      <c r="AC2" s="17" t="str">
        <f>IF(AND($T2=6000, ($T2+$W2-$AB2)&gt;=6000),T2,"")</f>
        <v/>
      </c>
      <c r="AD2" s="17" t="str">
        <f>IF(AND($T2=8000, ($T2+$W2-$AB2)&gt;=8000),T2,"")</f>
        <v/>
      </c>
      <c r="AE2" s="17" t="str">
        <f>IF(($T2+$W2-$AB2)&gt;=$T2+8000,W2,"")</f>
        <v/>
      </c>
    </row>
    <row r="3" spans="1:31" x14ac:dyDescent="0.25">
      <c r="A3" s="15" t="s">
        <v>53</v>
      </c>
      <c r="B3" s="15" t="s">
        <v>56</v>
      </c>
      <c r="C3" s="15" t="s">
        <v>36</v>
      </c>
      <c r="D3" s="16">
        <v>0.3</v>
      </c>
      <c r="E3" s="17">
        <v>0</v>
      </c>
      <c r="F3" s="17">
        <v>33000</v>
      </c>
      <c r="G3" s="17">
        <v>5000</v>
      </c>
      <c r="H3" s="17">
        <v>2000</v>
      </c>
      <c r="I3" s="17">
        <v>6000</v>
      </c>
      <c r="J3" s="17">
        <f>(1-$D3)*E3</f>
        <v>0</v>
      </c>
      <c r="K3" s="17">
        <f>(1-$D3)*F3</f>
        <v>23100</v>
      </c>
      <c r="L3" s="17">
        <f>G3</f>
        <v>5000</v>
      </c>
      <c r="M3" s="17">
        <f>(1-$D3)*H3</f>
        <v>1400</v>
      </c>
      <c r="N3" s="17">
        <f>(1-$D3)*I3</f>
        <v>4200</v>
      </c>
      <c r="O3" s="17">
        <v>19560</v>
      </c>
      <c r="P3" s="17">
        <v>14330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f>SUM(J3:Y3)</f>
        <v>67590</v>
      </c>
      <c r="AA3" s="17">
        <v>0</v>
      </c>
      <c r="AB3" s="14">
        <f>Z3-AA3</f>
        <v>67590</v>
      </c>
      <c r="AC3" s="17" t="str">
        <f>IF(AND($T3=6000, ($T3+$W3-$AB3)&gt;=6000),T3,"")</f>
        <v/>
      </c>
      <c r="AD3" s="17" t="str">
        <f>IF(AND($T3=8000, ($T3+$W3-$AB3)&gt;=8000),T3,"")</f>
        <v/>
      </c>
      <c r="AE3" s="17" t="str">
        <f>IF(($T3+$W3-$AB3)&gt;=$T3+8000,W3,"")</f>
        <v/>
      </c>
    </row>
    <row r="4" spans="1:31" x14ac:dyDescent="0.25">
      <c r="A4" s="15" t="s">
        <v>57</v>
      </c>
      <c r="B4" s="15" t="s">
        <v>179</v>
      </c>
      <c r="C4" s="15" t="s">
        <v>36</v>
      </c>
      <c r="D4" s="16">
        <v>0.25</v>
      </c>
      <c r="E4" s="17">
        <v>0</v>
      </c>
      <c r="F4" s="17">
        <v>33000</v>
      </c>
      <c r="G4" s="17">
        <v>5000</v>
      </c>
      <c r="H4" s="17">
        <v>2000</v>
      </c>
      <c r="I4" s="17">
        <v>6000</v>
      </c>
      <c r="J4" s="17">
        <f>(1-$D4)*E4</f>
        <v>0</v>
      </c>
      <c r="K4" s="17">
        <f>(1-$D4)*F4</f>
        <v>24750</v>
      </c>
      <c r="L4" s="17">
        <f>G4</f>
        <v>5000</v>
      </c>
      <c r="M4" s="17">
        <f>(1-$D4)*H4</f>
        <v>1500</v>
      </c>
      <c r="N4" s="17">
        <f>(1-$D4)*I4</f>
        <v>4500</v>
      </c>
      <c r="O4" s="17">
        <v>19560</v>
      </c>
      <c r="P4" s="17">
        <v>14330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f>SUM(J4:Y4)</f>
        <v>69640</v>
      </c>
      <c r="AA4" s="17">
        <v>0</v>
      </c>
      <c r="AB4" s="14">
        <f>Z4-AA4</f>
        <v>69640</v>
      </c>
      <c r="AC4" s="17" t="str">
        <f>IF(AND($T4=6000, ($T4+$W4-$AB4)&gt;=6000),T4,"")</f>
        <v/>
      </c>
      <c r="AD4" s="17" t="str">
        <f>IF(AND($T4=8000, ($T4+$W4-$AB4)&gt;=8000),T4,"")</f>
        <v/>
      </c>
      <c r="AE4" s="17" t="str">
        <f>IF(($T4+$W4-$AB4)&gt;=$T4+8000,W4,"")</f>
        <v/>
      </c>
    </row>
    <row r="5" spans="1:31" x14ac:dyDescent="0.25">
      <c r="A5" s="15" t="s">
        <v>195</v>
      </c>
      <c r="B5" s="15" t="s">
        <v>196</v>
      </c>
      <c r="C5" s="15" t="s">
        <v>36</v>
      </c>
      <c r="D5" s="16">
        <v>0</v>
      </c>
      <c r="E5" s="17">
        <v>0</v>
      </c>
      <c r="F5" s="17">
        <v>33000</v>
      </c>
      <c r="G5" s="17">
        <v>5000</v>
      </c>
      <c r="H5" s="17">
        <v>2000</v>
      </c>
      <c r="I5" s="17">
        <v>6000</v>
      </c>
      <c r="J5" s="17">
        <f>(1-$D5)*E5</f>
        <v>0</v>
      </c>
      <c r="K5" s="17">
        <f>(1-$D5)*F5</f>
        <v>33000</v>
      </c>
      <c r="L5" s="17">
        <f>G5</f>
        <v>5000</v>
      </c>
      <c r="M5" s="17">
        <f>(1-$D5)*H5</f>
        <v>2000</v>
      </c>
      <c r="N5" s="17">
        <f>(1-$D5)*I5</f>
        <v>6000</v>
      </c>
      <c r="O5" s="17">
        <v>19560</v>
      </c>
      <c r="P5" s="17">
        <v>14330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f>SUM(J5:Y5)</f>
        <v>79890</v>
      </c>
      <c r="AA5" s="17">
        <v>0</v>
      </c>
      <c r="AB5" s="14">
        <f>Z5-AA5</f>
        <v>79890</v>
      </c>
      <c r="AC5" s="17" t="str">
        <f>IF(AND($T5=6000, ($T5+$W5-$AB5)&gt;=6000),T5,"")</f>
        <v/>
      </c>
      <c r="AD5" s="17" t="str">
        <f>IF(AND($T5=8000, ($T5+$W5-$AB5)&gt;=8000),T5,"")</f>
        <v/>
      </c>
      <c r="AE5" s="17" t="str">
        <f>IF(($T5+$W5-$AB5)&gt;=$T5+8000,W5,"")</f>
        <v/>
      </c>
    </row>
    <row r="6" spans="1:31" x14ac:dyDescent="0.25">
      <c r="A6" s="15" t="s">
        <v>89</v>
      </c>
      <c r="B6" s="15" t="s">
        <v>92</v>
      </c>
      <c r="C6" s="15" t="s">
        <v>36</v>
      </c>
      <c r="D6" s="16">
        <v>0.3</v>
      </c>
      <c r="E6" s="17">
        <v>0</v>
      </c>
      <c r="F6" s="17">
        <v>33000</v>
      </c>
      <c r="G6" s="17">
        <v>5000</v>
      </c>
      <c r="H6" s="17">
        <v>2000</v>
      </c>
      <c r="I6" s="17">
        <v>6000</v>
      </c>
      <c r="J6" s="17">
        <f>(1-$D6)*E6</f>
        <v>0</v>
      </c>
      <c r="K6" s="17">
        <f>(1-$D6)*F6</f>
        <v>23100</v>
      </c>
      <c r="L6" s="17">
        <f>G6</f>
        <v>5000</v>
      </c>
      <c r="M6" s="17">
        <f>(1-$D6)*H6</f>
        <v>1400</v>
      </c>
      <c r="N6" s="17">
        <f>(1-$D6)*I6</f>
        <v>4200</v>
      </c>
      <c r="O6" s="17">
        <v>19560</v>
      </c>
      <c r="P6" s="17">
        <v>14330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f>SUM(J6:Y6)</f>
        <v>67590</v>
      </c>
      <c r="AA6" s="17">
        <v>0</v>
      </c>
      <c r="AB6" s="14">
        <f>Z6-AA6</f>
        <v>67590</v>
      </c>
      <c r="AC6" s="17" t="str">
        <f>IF(AND($T6=6000, ($T6+$W6-$AB6)&gt;=6000),T6,"")</f>
        <v/>
      </c>
      <c r="AD6" s="17" t="str">
        <f>IF(AND($T6=8000, ($T6+$W6-$AB6)&gt;=8000),T6,"")</f>
        <v/>
      </c>
      <c r="AE6" s="17" t="str">
        <f>IF(($T6+$W6-$AB6)&gt;=$T6+8000,W6,"")</f>
        <v/>
      </c>
    </row>
    <row r="7" spans="1:31" x14ac:dyDescent="0.25">
      <c r="A7" s="15" t="s">
        <v>50</v>
      </c>
      <c r="B7" s="15" t="s">
        <v>51</v>
      </c>
      <c r="C7" s="15" t="s">
        <v>67</v>
      </c>
      <c r="D7" s="16">
        <v>0.5</v>
      </c>
      <c r="E7" s="17">
        <v>0</v>
      </c>
      <c r="F7" s="17">
        <v>33000</v>
      </c>
      <c r="G7" s="17">
        <v>5000</v>
      </c>
      <c r="H7" s="17">
        <v>2000</v>
      </c>
      <c r="I7" s="17">
        <v>6000</v>
      </c>
      <c r="J7" s="17">
        <f>(1-$D7)*E7</f>
        <v>0</v>
      </c>
      <c r="K7" s="17">
        <f>(1-$D7)*F7</f>
        <v>16500</v>
      </c>
      <c r="L7" s="17">
        <f>G7</f>
        <v>5000</v>
      </c>
      <c r="M7" s="17">
        <f>(1-$D7)*H7</f>
        <v>1000</v>
      </c>
      <c r="N7" s="17">
        <f>(1-$D7)*I7</f>
        <v>3000</v>
      </c>
      <c r="O7" s="17">
        <v>22580</v>
      </c>
      <c r="P7" s="17">
        <v>14330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f>SUM(J7:Y7)</f>
        <v>62410</v>
      </c>
      <c r="AA7" s="17">
        <v>0</v>
      </c>
      <c r="AB7" s="14">
        <f>Z7-AA7</f>
        <v>62410</v>
      </c>
      <c r="AC7" s="17" t="str">
        <f>IF(AND($T7=6000, ($T7+$W7-$AB7)&gt;=6000),T7,"")</f>
        <v/>
      </c>
      <c r="AD7" s="17" t="str">
        <f>IF(AND($T7=8000, ($T7+$W7-$AB7)&gt;=8000),T7,"")</f>
        <v/>
      </c>
      <c r="AE7" s="17" t="str">
        <f>IF(($T7+$W7-$AB7)&gt;=$T7+8000,W7,"")</f>
        <v/>
      </c>
    </row>
    <row r="8" spans="1:31" x14ac:dyDescent="0.25">
      <c r="A8" s="15" t="s">
        <v>57</v>
      </c>
      <c r="B8" s="15" t="s">
        <v>58</v>
      </c>
      <c r="C8" s="15" t="s">
        <v>67</v>
      </c>
      <c r="D8" s="16">
        <v>0.5</v>
      </c>
      <c r="E8" s="17">
        <v>0</v>
      </c>
      <c r="F8" s="17">
        <v>33000</v>
      </c>
      <c r="G8" s="17">
        <v>5000</v>
      </c>
      <c r="H8" s="17">
        <v>2000</v>
      </c>
      <c r="I8" s="17">
        <v>6000</v>
      </c>
      <c r="J8" s="17">
        <f>(1-$D8)*E8</f>
        <v>0</v>
      </c>
      <c r="K8" s="17">
        <f>(1-$D8)*F8</f>
        <v>16500</v>
      </c>
      <c r="L8" s="17">
        <f>G8</f>
        <v>5000</v>
      </c>
      <c r="M8" s="17">
        <f>(1-$D8)*H8</f>
        <v>1000</v>
      </c>
      <c r="N8" s="17">
        <f>(1-$D8)*I8</f>
        <v>3000</v>
      </c>
      <c r="O8" s="17">
        <v>22580</v>
      </c>
      <c r="P8" s="17">
        <v>14330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f>SUM(J8:Y8)</f>
        <v>62410</v>
      </c>
      <c r="AA8" s="17">
        <v>0</v>
      </c>
      <c r="AB8" s="14">
        <f>Z8-AA8</f>
        <v>62410</v>
      </c>
      <c r="AC8" s="17" t="str">
        <f>IF(AND($T8=6000, ($T8+$W8-$AB8)&gt;=6000),T8,"")</f>
        <v/>
      </c>
      <c r="AD8" s="17" t="str">
        <f>IF(AND($T8=8000, ($T8+$W8-$AB8)&gt;=8000),T8,"")</f>
        <v/>
      </c>
      <c r="AE8" s="17" t="str">
        <f>IF(($T8+$W8-$AB8)&gt;=$T8+8000,W8,"")</f>
        <v/>
      </c>
    </row>
    <row r="9" spans="1:31" x14ac:dyDescent="0.25">
      <c r="A9" s="15" t="s">
        <v>65</v>
      </c>
      <c r="B9" s="15" t="s">
        <v>66</v>
      </c>
      <c r="C9" s="15" t="s">
        <v>67</v>
      </c>
      <c r="D9" s="16">
        <v>0.5</v>
      </c>
      <c r="E9" s="17">
        <v>0</v>
      </c>
      <c r="F9" s="17">
        <v>33000</v>
      </c>
      <c r="G9" s="17">
        <v>5000</v>
      </c>
      <c r="H9" s="17">
        <v>2000</v>
      </c>
      <c r="I9" s="17">
        <v>6000</v>
      </c>
      <c r="J9" s="17">
        <f>(1-$D9)*E9</f>
        <v>0</v>
      </c>
      <c r="K9" s="17">
        <f>(1-$D9)*F9</f>
        <v>16500</v>
      </c>
      <c r="L9" s="17">
        <f>G9</f>
        <v>5000</v>
      </c>
      <c r="M9" s="17">
        <f>(1-$D9)*H9</f>
        <v>1000</v>
      </c>
      <c r="N9" s="17">
        <f>(1-$D9)*I9</f>
        <v>3000</v>
      </c>
      <c r="O9" s="17">
        <v>22580</v>
      </c>
      <c r="P9" s="17">
        <v>14330</v>
      </c>
      <c r="Q9" s="17">
        <v>0</v>
      </c>
      <c r="R9" s="17">
        <v>0</v>
      </c>
      <c r="S9" s="17">
        <v>0</v>
      </c>
      <c r="T9" s="17">
        <v>8000</v>
      </c>
      <c r="U9" s="17">
        <v>0</v>
      </c>
      <c r="V9" s="17">
        <v>0</v>
      </c>
      <c r="W9" s="17">
        <v>0</v>
      </c>
      <c r="X9" s="17">
        <v>0</v>
      </c>
      <c r="Y9" s="17">
        <v>-30</v>
      </c>
      <c r="Z9" s="17">
        <f>SUM(J9:Y9)</f>
        <v>70380</v>
      </c>
      <c r="AA9" s="17">
        <v>0</v>
      </c>
      <c r="AB9" s="14">
        <f>Z9-AA9</f>
        <v>70380</v>
      </c>
      <c r="AC9" s="17" t="str">
        <f>IF(AND($T9=6000, ($T9+$W9-$AB9)&gt;=6000),T9,"")</f>
        <v/>
      </c>
      <c r="AD9" s="17" t="str">
        <f>IF(AND($T9=8000, ($T9+$W9-$AB9)&gt;=8000),T9,"")</f>
        <v/>
      </c>
      <c r="AE9" s="17" t="str">
        <f>IF(($T9+$W9-$AB9)&gt;=$T9+8000,W9,"")</f>
        <v/>
      </c>
    </row>
    <row r="10" spans="1:31" x14ac:dyDescent="0.25">
      <c r="A10" s="15" t="s">
        <v>68</v>
      </c>
      <c r="B10" s="15" t="s">
        <v>69</v>
      </c>
      <c r="C10" s="15" t="s">
        <v>67</v>
      </c>
      <c r="D10" s="16">
        <v>0</v>
      </c>
      <c r="E10" s="17">
        <v>0</v>
      </c>
      <c r="F10" s="17">
        <v>33000</v>
      </c>
      <c r="G10" s="17">
        <v>5000</v>
      </c>
      <c r="H10" s="17">
        <v>2000</v>
      </c>
      <c r="I10" s="17">
        <v>6000</v>
      </c>
      <c r="J10" s="17">
        <f>(1-$D10)*E10</f>
        <v>0</v>
      </c>
      <c r="K10" s="17">
        <f>(1-$D10)*F10</f>
        <v>33000</v>
      </c>
      <c r="L10" s="17">
        <f>G10</f>
        <v>5000</v>
      </c>
      <c r="M10" s="17">
        <f>(1-$D10)*H10</f>
        <v>2000</v>
      </c>
      <c r="N10" s="17">
        <f>(1-$D10)*I10</f>
        <v>6000</v>
      </c>
      <c r="O10" s="17">
        <v>22580</v>
      </c>
      <c r="P10" s="17">
        <v>14330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-8970</v>
      </c>
      <c r="Z10" s="17">
        <f>SUM(J10:Y10)</f>
        <v>73940</v>
      </c>
      <c r="AA10" s="17">
        <v>0</v>
      </c>
      <c r="AB10" s="14">
        <f>Z10-AA10</f>
        <v>73940</v>
      </c>
      <c r="AC10" s="17" t="str">
        <f>IF(AND($T10=6000, ($T10+$W10-$AB10)&gt;=6000),T10,"")</f>
        <v/>
      </c>
      <c r="AD10" s="17" t="str">
        <f>IF(AND($T10=8000, ($T10+$W10-$AB10)&gt;=8000),T10,"")</f>
        <v/>
      </c>
      <c r="AE10" s="17" t="str">
        <f>IF(($T10+$W10-$AB10)&gt;=$T10+8000,W10,"")</f>
        <v/>
      </c>
    </row>
    <row r="11" spans="1:31" x14ac:dyDescent="0.25">
      <c r="A11" s="15" t="s">
        <v>74</v>
      </c>
      <c r="B11" s="15" t="s">
        <v>75</v>
      </c>
      <c r="C11" s="15" t="s">
        <v>67</v>
      </c>
      <c r="D11" s="16">
        <v>0.5</v>
      </c>
      <c r="E11" s="17">
        <v>0</v>
      </c>
      <c r="F11" s="17">
        <v>33000</v>
      </c>
      <c r="G11" s="17">
        <v>5000</v>
      </c>
      <c r="H11" s="17">
        <v>2000</v>
      </c>
      <c r="I11" s="17">
        <v>6000</v>
      </c>
      <c r="J11" s="17">
        <f>(1-$D11)*E11</f>
        <v>0</v>
      </c>
      <c r="K11" s="17">
        <f>(1-$D11)*F11</f>
        <v>16500</v>
      </c>
      <c r="L11" s="17">
        <f>G11</f>
        <v>5000</v>
      </c>
      <c r="M11" s="17">
        <f>(1-$D11)*H11</f>
        <v>1000</v>
      </c>
      <c r="N11" s="17">
        <f>(1-$D11)*I11</f>
        <v>3000</v>
      </c>
      <c r="O11" s="17">
        <v>22580</v>
      </c>
      <c r="P11" s="17">
        <v>14330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480</v>
      </c>
      <c r="Z11" s="17">
        <f>SUM(J11:Y11)</f>
        <v>62890</v>
      </c>
      <c r="AA11" s="17">
        <v>0</v>
      </c>
      <c r="AB11" s="14">
        <f>Z11-AA11</f>
        <v>62890</v>
      </c>
      <c r="AC11" s="17" t="str">
        <f>IF(AND($T11=6000, ($T11+$W11-$AB11)&gt;=6000),T11,"")</f>
        <v/>
      </c>
      <c r="AD11" s="17" t="str">
        <f>IF(AND($T11=8000, ($T11+$W11-$AB11)&gt;=8000),T11,"")</f>
        <v/>
      </c>
      <c r="AE11" s="17" t="str">
        <f>IF(($T11+$W11-$AB11)&gt;=$T11+8000,W11,"")</f>
        <v/>
      </c>
    </row>
    <row r="12" spans="1:31" x14ac:dyDescent="0.25">
      <c r="A12" s="15" t="s">
        <v>191</v>
      </c>
      <c r="B12" s="15" t="s">
        <v>199</v>
      </c>
      <c r="C12" s="15" t="s">
        <v>67</v>
      </c>
      <c r="D12" s="16">
        <v>0.25</v>
      </c>
      <c r="E12" s="17">
        <v>0</v>
      </c>
      <c r="F12" s="17">
        <v>33000</v>
      </c>
      <c r="G12" s="17">
        <v>5000</v>
      </c>
      <c r="H12" s="17">
        <v>2000</v>
      </c>
      <c r="I12" s="17">
        <v>6000</v>
      </c>
      <c r="J12" s="17">
        <f>(1-$D12)*E12</f>
        <v>0</v>
      </c>
      <c r="K12" s="17">
        <f>(1-$D12)*F12</f>
        <v>24750</v>
      </c>
      <c r="L12" s="17">
        <f>G12</f>
        <v>5000</v>
      </c>
      <c r="M12" s="17">
        <f>(1-$D12)*H12</f>
        <v>1500</v>
      </c>
      <c r="N12" s="17">
        <f>(1-$D12)*I12</f>
        <v>4500</v>
      </c>
      <c r="O12" s="17">
        <v>22580</v>
      </c>
      <c r="P12" s="17">
        <v>14330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f>SUM(J12:Y12)</f>
        <v>72660</v>
      </c>
      <c r="AA12" s="17">
        <v>0</v>
      </c>
      <c r="AB12" s="14">
        <f>Z12-AA12</f>
        <v>72660</v>
      </c>
      <c r="AC12" s="17" t="str">
        <f>IF(AND($T12=6000, ($T12+$W12-$AB12)&gt;=6000),T12,"")</f>
        <v/>
      </c>
      <c r="AD12" s="17" t="str">
        <f>IF(AND($T12=8000, ($T12+$W12-$AB12)&gt;=8000),T12,"")</f>
        <v/>
      </c>
      <c r="AE12" s="17" t="str">
        <f>IF(($T12+$W12-$AB12)&gt;=$T12+8000,W12,"")</f>
        <v/>
      </c>
    </row>
    <row r="13" spans="1:31" x14ac:dyDescent="0.25">
      <c r="A13" s="15" t="s">
        <v>55</v>
      </c>
      <c r="B13" s="15" t="s">
        <v>80</v>
      </c>
      <c r="C13" s="15" t="s">
        <v>67</v>
      </c>
      <c r="D13" s="16">
        <v>0.5</v>
      </c>
      <c r="E13" s="17">
        <v>0</v>
      </c>
      <c r="F13" s="17">
        <v>33000</v>
      </c>
      <c r="G13" s="17">
        <v>5000</v>
      </c>
      <c r="H13" s="17">
        <v>2000</v>
      </c>
      <c r="I13" s="17">
        <v>6000</v>
      </c>
      <c r="J13" s="17">
        <f>(1-$D13)*E13</f>
        <v>0</v>
      </c>
      <c r="K13" s="17">
        <f>(1-$D13)*F13</f>
        <v>16500</v>
      </c>
      <c r="L13" s="17">
        <f>G13</f>
        <v>5000</v>
      </c>
      <c r="M13" s="17">
        <f>(1-$D13)*H13</f>
        <v>1000</v>
      </c>
      <c r="N13" s="17">
        <f>(1-$D13)*I13</f>
        <v>3000</v>
      </c>
      <c r="O13" s="17">
        <v>22580</v>
      </c>
      <c r="P13" s="17">
        <v>14330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500</v>
      </c>
      <c r="Z13" s="17">
        <f>SUM(J13:Y13)</f>
        <v>62910</v>
      </c>
      <c r="AA13" s="17">
        <v>0</v>
      </c>
      <c r="AB13" s="14">
        <f>Z13-AA13</f>
        <v>62910</v>
      </c>
      <c r="AC13" s="17" t="str">
        <f>IF(AND($T13=6000, ($T13+$W13-$AB13)&gt;=6000),T13,"")</f>
        <v/>
      </c>
      <c r="AD13" s="17" t="str">
        <f>IF(AND($T13=8000, ($T13+$W13-$AB13)&gt;=8000),T13,"")</f>
        <v/>
      </c>
      <c r="AE13" s="17" t="str">
        <f>IF(($T13+$W13-$AB13)&gt;=$T13+8000,W13,"")</f>
        <v/>
      </c>
    </row>
    <row r="14" spans="1:31" x14ac:dyDescent="0.25">
      <c r="A14" s="15" t="s">
        <v>85</v>
      </c>
      <c r="B14" s="15" t="s">
        <v>86</v>
      </c>
      <c r="C14" s="15" t="s">
        <v>67</v>
      </c>
      <c r="D14" s="16">
        <v>0.5</v>
      </c>
      <c r="E14" s="17">
        <v>0</v>
      </c>
      <c r="F14" s="17">
        <v>33000</v>
      </c>
      <c r="G14" s="17">
        <v>5000</v>
      </c>
      <c r="H14" s="17">
        <v>2000</v>
      </c>
      <c r="I14" s="17">
        <v>6000</v>
      </c>
      <c r="J14" s="17">
        <f>(1-$D14)*E14</f>
        <v>0</v>
      </c>
      <c r="K14" s="17">
        <f>(1-$D14)*F14</f>
        <v>16500</v>
      </c>
      <c r="L14" s="17">
        <f>G14</f>
        <v>5000</v>
      </c>
      <c r="M14" s="17">
        <f>(1-$D14)*H14</f>
        <v>1000</v>
      </c>
      <c r="N14" s="17">
        <f>(1-$D14)*I14</f>
        <v>3000</v>
      </c>
      <c r="O14" s="17">
        <v>22580</v>
      </c>
      <c r="P14" s="17">
        <v>14330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f>SUM(J14:Y14)</f>
        <v>62410</v>
      </c>
      <c r="AA14" s="17">
        <v>0</v>
      </c>
      <c r="AB14" s="14">
        <f>Z14-AA14</f>
        <v>62410</v>
      </c>
      <c r="AC14" s="17" t="str">
        <f>IF(AND($T14=6000, ($T14+$W14-$AB14)&gt;=6000),T14,"")</f>
        <v/>
      </c>
      <c r="AD14" s="17" t="str">
        <f>IF(AND($T14=8000, ($T14+$W14-$AB14)&gt;=8000),T14,"")</f>
        <v/>
      </c>
      <c r="AE14" s="17" t="str">
        <f>IF(($T14+$W14-$AB14)&gt;=$T14+8000,W14,"")</f>
        <v/>
      </c>
    </row>
    <row r="15" spans="1:31" x14ac:dyDescent="0.25">
      <c r="A15" s="15" t="s">
        <v>111</v>
      </c>
      <c r="B15" s="15" t="s">
        <v>112</v>
      </c>
      <c r="C15" s="15" t="s">
        <v>67</v>
      </c>
      <c r="D15" s="16">
        <v>0.3</v>
      </c>
      <c r="E15" s="17">
        <v>0</v>
      </c>
      <c r="F15" s="17">
        <v>33000</v>
      </c>
      <c r="G15" s="17">
        <v>5000</v>
      </c>
      <c r="H15" s="17">
        <v>2000</v>
      </c>
      <c r="I15" s="17">
        <v>6000</v>
      </c>
      <c r="J15" s="17">
        <f>(1-$D15)*E15</f>
        <v>0</v>
      </c>
      <c r="K15" s="17">
        <f>(1-$D15)*F15</f>
        <v>23100</v>
      </c>
      <c r="L15" s="17">
        <f>G15</f>
        <v>5000</v>
      </c>
      <c r="M15" s="17">
        <f>(1-$D15)*H15</f>
        <v>1400</v>
      </c>
      <c r="N15" s="17">
        <f>(1-$D15)*I15</f>
        <v>4200</v>
      </c>
      <c r="O15" s="17">
        <v>22580</v>
      </c>
      <c r="P15" s="17">
        <v>14330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f>SUM(J15:Y15)</f>
        <v>70610</v>
      </c>
      <c r="AA15" s="17">
        <v>0</v>
      </c>
      <c r="AB15" s="14">
        <f>Z15-AA15</f>
        <v>70610</v>
      </c>
      <c r="AC15" s="17" t="str">
        <f>IF(AND($T15=6000, ($T15+$W15-$AB15)&gt;=6000),T15,"")</f>
        <v/>
      </c>
      <c r="AD15" s="17" t="str">
        <f>IF(AND($T15=8000, ($T15+$W15-$AB15)&gt;=8000),T15,"")</f>
        <v/>
      </c>
      <c r="AE15" s="17" t="str">
        <f>IF(($T15+$W15-$AB15)&gt;=$T15+8000,W15,"")</f>
        <v/>
      </c>
    </row>
    <row r="16" spans="1:31" x14ac:dyDescent="0.25">
      <c r="A16" s="15" t="s">
        <v>116</v>
      </c>
      <c r="B16" s="15" t="s">
        <v>117</v>
      </c>
      <c r="C16" s="15" t="s">
        <v>67</v>
      </c>
      <c r="D16" s="16">
        <v>0.5</v>
      </c>
      <c r="E16" s="17">
        <v>0</v>
      </c>
      <c r="F16" s="17">
        <v>33000</v>
      </c>
      <c r="G16" s="17">
        <v>5000</v>
      </c>
      <c r="H16" s="17">
        <v>2000</v>
      </c>
      <c r="I16" s="17">
        <v>6000</v>
      </c>
      <c r="J16" s="17">
        <f>(1-$D16)*E16</f>
        <v>0</v>
      </c>
      <c r="K16" s="17">
        <f>(1-$D16)*F16</f>
        <v>16500</v>
      </c>
      <c r="L16" s="17">
        <f>G16</f>
        <v>5000</v>
      </c>
      <c r="M16" s="17">
        <f>(1-$D16)*H16</f>
        <v>1000</v>
      </c>
      <c r="N16" s="17">
        <f>(1-$D16)*I16</f>
        <v>3000</v>
      </c>
      <c r="O16" s="17">
        <v>22580</v>
      </c>
      <c r="P16" s="17">
        <v>14330</v>
      </c>
      <c r="Q16" s="17">
        <v>0</v>
      </c>
      <c r="R16" s="17">
        <v>0</v>
      </c>
      <c r="S16" s="17">
        <v>0</v>
      </c>
      <c r="T16" s="17">
        <v>8000</v>
      </c>
      <c r="U16" s="17">
        <v>0</v>
      </c>
      <c r="V16" s="17">
        <v>0</v>
      </c>
      <c r="W16" s="17">
        <v>0</v>
      </c>
      <c r="X16" s="17">
        <v>0</v>
      </c>
      <c r="Y16" s="17">
        <v>-3145</v>
      </c>
      <c r="Z16" s="17">
        <f>SUM(J16:Y16)</f>
        <v>67265</v>
      </c>
      <c r="AA16" s="17">
        <v>0</v>
      </c>
      <c r="AB16" s="14">
        <f>Z16-AA16</f>
        <v>67265</v>
      </c>
      <c r="AC16" s="17" t="str">
        <f>IF(AND($T16=6000, ($T16+$W16-$AB16)&gt;=6000),T16,"")</f>
        <v/>
      </c>
      <c r="AD16" s="17" t="str">
        <f>IF(AND($T16=8000, ($T16+$W16-$AB16)&gt;=8000),T16,"")</f>
        <v/>
      </c>
      <c r="AE16" s="17" t="str">
        <f>IF(($T16+$W16-$AB16)&gt;=$T16+8000,W16,"")</f>
        <v/>
      </c>
    </row>
    <row r="17" spans="1:31" x14ac:dyDescent="0.25">
      <c r="A17" s="15" t="s">
        <v>130</v>
      </c>
      <c r="B17" s="15" t="s">
        <v>131</v>
      </c>
      <c r="C17" s="15" t="s">
        <v>67</v>
      </c>
      <c r="D17" s="16">
        <v>0.3</v>
      </c>
      <c r="E17" s="17">
        <v>0</v>
      </c>
      <c r="F17" s="17">
        <v>33000</v>
      </c>
      <c r="G17" s="17">
        <v>5000</v>
      </c>
      <c r="H17" s="17">
        <v>2000</v>
      </c>
      <c r="I17" s="17">
        <v>6000</v>
      </c>
      <c r="J17" s="17">
        <f>(1-$D17)*E17</f>
        <v>0</v>
      </c>
      <c r="K17" s="17">
        <f>(1-$D17)*F17</f>
        <v>23100</v>
      </c>
      <c r="L17" s="17">
        <f>G17</f>
        <v>5000</v>
      </c>
      <c r="M17" s="17">
        <f>(1-$D17)*H17</f>
        <v>1400</v>
      </c>
      <c r="N17" s="17">
        <f>(1-$D17)*I17</f>
        <v>4200</v>
      </c>
      <c r="O17" s="17">
        <v>22580</v>
      </c>
      <c r="P17" s="17">
        <v>14330</v>
      </c>
      <c r="Q17" s="17">
        <v>0</v>
      </c>
      <c r="R17" s="17">
        <v>0</v>
      </c>
      <c r="S17" s="17">
        <v>0</v>
      </c>
      <c r="T17" s="17">
        <v>8000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f>SUM(J17:Y17)</f>
        <v>78610</v>
      </c>
      <c r="AA17" s="17">
        <v>0</v>
      </c>
      <c r="AB17" s="14">
        <f>Z17-AA17</f>
        <v>78610</v>
      </c>
      <c r="AC17" s="17" t="str">
        <f>IF(AND($T17=6000, ($T17+$W17-$AB17)&gt;=6000),T17,"")</f>
        <v/>
      </c>
      <c r="AD17" s="17" t="str">
        <f>IF(AND($T17=8000, ($T17+$W17-$AB17)&gt;=8000),T17,"")</f>
        <v/>
      </c>
      <c r="AE17" s="17" t="str">
        <f>IF(($T17+$W17-$AB17)&gt;=$T17+8000,W17,"")</f>
        <v/>
      </c>
    </row>
    <row r="18" spans="1:31" x14ac:dyDescent="0.25">
      <c r="A18" s="15" t="s">
        <v>236</v>
      </c>
      <c r="B18" s="15" t="s">
        <v>240</v>
      </c>
      <c r="C18" s="15" t="s">
        <v>44</v>
      </c>
      <c r="D18" s="16">
        <v>0.25</v>
      </c>
      <c r="E18" s="17">
        <v>0</v>
      </c>
      <c r="F18" s="17">
        <v>26000</v>
      </c>
      <c r="G18" s="17">
        <v>4000</v>
      </c>
      <c r="H18" s="17">
        <v>0</v>
      </c>
      <c r="I18" s="17">
        <v>0</v>
      </c>
      <c r="J18" s="17">
        <f>(1-$D18)*E18</f>
        <v>0</v>
      </c>
      <c r="K18" s="17">
        <f>(1-$D18)*F18</f>
        <v>19500</v>
      </c>
      <c r="L18" s="17">
        <f>G18</f>
        <v>4000</v>
      </c>
      <c r="M18" s="17">
        <f>(1-$D18)*H18</f>
        <v>0</v>
      </c>
      <c r="N18" s="17">
        <f>(1-$D18)*I18</f>
        <v>0</v>
      </c>
      <c r="O18" s="17">
        <v>13080</v>
      </c>
      <c r="P18" s="17">
        <v>7550</v>
      </c>
      <c r="Q18" s="17">
        <v>0</v>
      </c>
      <c r="R18" s="17">
        <v>0</v>
      </c>
      <c r="S18" s="17">
        <v>0</v>
      </c>
      <c r="T18" s="17">
        <v>6000</v>
      </c>
      <c r="U18" s="17">
        <v>0</v>
      </c>
      <c r="V18" s="17">
        <v>0</v>
      </c>
      <c r="W18" s="17">
        <v>0</v>
      </c>
      <c r="X18" s="17">
        <v>0</v>
      </c>
      <c r="Y18" s="17">
        <v>750</v>
      </c>
      <c r="Z18" s="17">
        <f>SUM(J18:Y18)</f>
        <v>50880</v>
      </c>
      <c r="AA18" s="17">
        <v>0</v>
      </c>
      <c r="AB18" s="14">
        <f>Z18-AA18</f>
        <v>50880</v>
      </c>
      <c r="AC18" s="17" t="str">
        <f>IF(AND($T18=6000, ($T18+$W18-$AB18)&gt;=6000),T18,"")</f>
        <v/>
      </c>
      <c r="AD18" s="17" t="str">
        <f>IF(AND($T18=8000, ($T18+$W18-$AB18)&gt;=8000),T18,"")</f>
        <v/>
      </c>
      <c r="AE18" s="17" t="str">
        <f>IF(($T18+$W18-$AB18)&gt;=$T18+8000,W18,"")</f>
        <v/>
      </c>
    </row>
    <row r="19" spans="1:31" x14ac:dyDescent="0.25">
      <c r="A19" s="15" t="s">
        <v>182</v>
      </c>
      <c r="B19" s="15" t="s">
        <v>209</v>
      </c>
      <c r="C19" s="15" t="s">
        <v>44</v>
      </c>
      <c r="D19" s="16">
        <v>0.25</v>
      </c>
      <c r="E19" s="17">
        <v>0</v>
      </c>
      <c r="F19" s="17">
        <v>26000</v>
      </c>
      <c r="G19" s="17">
        <v>4000</v>
      </c>
      <c r="H19" s="17">
        <v>0</v>
      </c>
      <c r="I19" s="17">
        <v>0</v>
      </c>
      <c r="J19" s="17">
        <f>(1-$D19)*E19</f>
        <v>0</v>
      </c>
      <c r="K19" s="17">
        <f>(1-$D19)*F19</f>
        <v>19500</v>
      </c>
      <c r="L19" s="17">
        <f>G19</f>
        <v>4000</v>
      </c>
      <c r="M19" s="17">
        <f>(1-$D19)*H19</f>
        <v>0</v>
      </c>
      <c r="N19" s="17">
        <f>(1-$D19)*I19</f>
        <v>0</v>
      </c>
      <c r="O19" s="17">
        <v>13080</v>
      </c>
      <c r="P19" s="17">
        <v>7550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f>SUM(J19:Y19)</f>
        <v>44130</v>
      </c>
      <c r="AA19" s="17">
        <v>0</v>
      </c>
      <c r="AB19" s="14">
        <f>Z19-AA19</f>
        <v>44130</v>
      </c>
      <c r="AC19" s="17" t="str">
        <f>IF(AND($T19=6000, ($T19+$W19-$AB19)&gt;=6000),T19,"")</f>
        <v/>
      </c>
      <c r="AD19" s="17" t="str">
        <f>IF(AND($T19=8000, ($T19+$W19-$AB19)&gt;=8000),T19,"")</f>
        <v/>
      </c>
      <c r="AE19" s="17" t="str">
        <f>IF(($T19+$W19-$AB19)&gt;=$T19+8000,W19,"")</f>
        <v/>
      </c>
    </row>
    <row r="20" spans="1:31" x14ac:dyDescent="0.25">
      <c r="A20" s="15" t="s">
        <v>143</v>
      </c>
      <c r="B20" s="15" t="s">
        <v>144</v>
      </c>
      <c r="C20" s="15" t="s">
        <v>44</v>
      </c>
      <c r="D20" s="16">
        <v>0.25</v>
      </c>
      <c r="E20" s="17">
        <v>0</v>
      </c>
      <c r="F20" s="17">
        <v>26000</v>
      </c>
      <c r="G20" s="17">
        <v>4000</v>
      </c>
      <c r="H20" s="17">
        <v>0</v>
      </c>
      <c r="I20" s="17">
        <v>0</v>
      </c>
      <c r="J20" s="17">
        <f>(1-$D20)*E20</f>
        <v>0</v>
      </c>
      <c r="K20" s="17">
        <f>(1-$D20)*F20</f>
        <v>19500</v>
      </c>
      <c r="L20" s="17">
        <f>G20</f>
        <v>4000</v>
      </c>
      <c r="M20" s="17">
        <f>(1-$D20)*H20</f>
        <v>0</v>
      </c>
      <c r="N20" s="17">
        <f>(1-$D20)*I20</f>
        <v>0</v>
      </c>
      <c r="O20" s="17">
        <v>13080</v>
      </c>
      <c r="P20" s="17">
        <v>7550</v>
      </c>
      <c r="Q20" s="17">
        <v>0</v>
      </c>
      <c r="R20" s="17">
        <v>0</v>
      </c>
      <c r="S20" s="17">
        <v>0</v>
      </c>
      <c r="T20" s="17">
        <v>6000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f>SUM(J20:Y20)</f>
        <v>50130</v>
      </c>
      <c r="AA20" s="17">
        <v>0</v>
      </c>
      <c r="AB20" s="14">
        <f>Z20-AA20</f>
        <v>50130</v>
      </c>
      <c r="AC20" s="17" t="str">
        <f>IF(AND($T20=6000, ($T20+$W20-$AB20)&gt;=6000),T20,"")</f>
        <v/>
      </c>
      <c r="AD20" s="17" t="str">
        <f>IF(AND($T20=8000, ($T20+$W20-$AB20)&gt;=8000),T20,"")</f>
        <v/>
      </c>
      <c r="AE20" s="17" t="str">
        <f>IF(($T20+$W20-$AB20)&gt;=$T20+8000,W20,"")</f>
        <v/>
      </c>
    </row>
    <row r="21" spans="1:31" x14ac:dyDescent="0.25">
      <c r="A21" s="15" t="s">
        <v>63</v>
      </c>
      <c r="B21" s="15" t="s">
        <v>54</v>
      </c>
      <c r="C21" s="15" t="s">
        <v>44</v>
      </c>
      <c r="D21" s="16">
        <v>0</v>
      </c>
      <c r="E21" s="17">
        <v>0</v>
      </c>
      <c r="F21" s="17">
        <v>26000</v>
      </c>
      <c r="G21" s="17">
        <v>4000</v>
      </c>
      <c r="H21" s="17">
        <v>0</v>
      </c>
      <c r="I21" s="17">
        <v>0</v>
      </c>
      <c r="J21" s="17">
        <f>(1-$D21)*E21</f>
        <v>0</v>
      </c>
      <c r="K21" s="17">
        <f>(1-$D21)*F21</f>
        <v>26000</v>
      </c>
      <c r="L21" s="17">
        <f>G21</f>
        <v>4000</v>
      </c>
      <c r="M21" s="17">
        <f>(1-$D21)*H21</f>
        <v>0</v>
      </c>
      <c r="N21" s="17">
        <f>(1-$D21)*I21</f>
        <v>0</v>
      </c>
      <c r="O21" s="17">
        <v>13080</v>
      </c>
      <c r="P21" s="17">
        <v>7550</v>
      </c>
      <c r="Q21" s="17">
        <v>0</v>
      </c>
      <c r="R21" s="17">
        <v>0</v>
      </c>
      <c r="S21" s="17">
        <v>0</v>
      </c>
      <c r="T21" s="17">
        <v>6000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f>SUM(J21:Y21)</f>
        <v>56630</v>
      </c>
      <c r="AA21" s="17">
        <v>0</v>
      </c>
      <c r="AB21" s="14">
        <f>Z21-AA21</f>
        <v>56630</v>
      </c>
      <c r="AC21" s="17" t="str">
        <f>IF(AND($T21=6000, ($T21+$W21-$AB21)&gt;=6000),T21,"")</f>
        <v/>
      </c>
      <c r="AD21" s="17" t="str">
        <f>IF(AND($T21=8000, ($T21+$W21-$AB21)&gt;=8000),T21,"")</f>
        <v/>
      </c>
      <c r="AE21" s="17" t="str">
        <f>IF(($T21+$W21-$AB21)&gt;=$T21+8000,W21,"")</f>
        <v/>
      </c>
    </row>
    <row r="22" spans="1:31" x14ac:dyDescent="0.25">
      <c r="A22" s="15" t="s">
        <v>155</v>
      </c>
      <c r="B22" s="15" t="s">
        <v>156</v>
      </c>
      <c r="C22" s="15" t="s">
        <v>44</v>
      </c>
      <c r="D22" s="16">
        <v>0</v>
      </c>
      <c r="E22" s="17">
        <v>0</v>
      </c>
      <c r="F22" s="17">
        <v>26000</v>
      </c>
      <c r="G22" s="17">
        <v>4000</v>
      </c>
      <c r="H22" s="17">
        <v>0</v>
      </c>
      <c r="I22" s="17">
        <v>0</v>
      </c>
      <c r="J22" s="17">
        <f>(1-$D22)*E22</f>
        <v>0</v>
      </c>
      <c r="K22" s="17">
        <f>(1-$D22)*F22</f>
        <v>26000</v>
      </c>
      <c r="L22" s="17">
        <f>G22</f>
        <v>4000</v>
      </c>
      <c r="M22" s="17">
        <f>(1-$D22)*H22</f>
        <v>0</v>
      </c>
      <c r="N22" s="17">
        <f>(1-$D22)*I22</f>
        <v>0</v>
      </c>
      <c r="O22" s="17">
        <v>13080</v>
      </c>
      <c r="P22" s="17">
        <v>7550</v>
      </c>
      <c r="Q22" s="17">
        <v>0</v>
      </c>
      <c r="R22" s="17">
        <v>0</v>
      </c>
      <c r="S22" s="17">
        <v>0</v>
      </c>
      <c r="T22" s="17">
        <v>6000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f>SUM(J22:Y22)</f>
        <v>56630</v>
      </c>
      <c r="AA22" s="17">
        <v>0</v>
      </c>
      <c r="AB22" s="14">
        <f>Z22-AA22</f>
        <v>56630</v>
      </c>
      <c r="AC22" s="17" t="str">
        <f>IF(AND($T22=6000, ($T22+$W22-$AB22)&gt;=6000),T22,"")</f>
        <v/>
      </c>
      <c r="AD22" s="17" t="str">
        <f>IF(AND($T22=8000, ($T22+$W22-$AB22)&gt;=8000),T22,"")</f>
        <v/>
      </c>
      <c r="AE22" s="17" t="str">
        <f>IF(($T22+$W22-$AB22)&gt;=$T22+8000,W22,"")</f>
        <v/>
      </c>
    </row>
    <row r="23" spans="1:31" x14ac:dyDescent="0.25">
      <c r="A23" s="15" t="s">
        <v>177</v>
      </c>
      <c r="B23" s="15" t="s">
        <v>178</v>
      </c>
      <c r="C23" s="15" t="s">
        <v>44</v>
      </c>
      <c r="D23" s="16">
        <v>0</v>
      </c>
      <c r="E23" s="17">
        <v>0</v>
      </c>
      <c r="F23" s="17">
        <v>26000</v>
      </c>
      <c r="G23" s="17">
        <v>4000</v>
      </c>
      <c r="H23" s="17">
        <v>0</v>
      </c>
      <c r="I23" s="17">
        <v>0</v>
      </c>
      <c r="J23" s="17">
        <f>(1-$D23)*E23</f>
        <v>0</v>
      </c>
      <c r="K23" s="17">
        <f>(1-$D23)*F23</f>
        <v>26000</v>
      </c>
      <c r="L23" s="17">
        <f>G23</f>
        <v>4000</v>
      </c>
      <c r="M23" s="17">
        <f>(1-$D23)*H23</f>
        <v>0</v>
      </c>
      <c r="N23" s="17">
        <f>(1-$D23)*I23</f>
        <v>0</v>
      </c>
      <c r="O23" s="17">
        <v>13080</v>
      </c>
      <c r="P23" s="17">
        <v>7550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f>SUM(J23:Y23)</f>
        <v>50630</v>
      </c>
      <c r="AA23" s="17">
        <v>0</v>
      </c>
      <c r="AB23" s="14">
        <f>Z23-AA23</f>
        <v>50630</v>
      </c>
      <c r="AC23" s="17" t="str">
        <f>IF(AND($T23=6000, ($T23+$W23-$AB23)&gt;=6000),T23,"")</f>
        <v/>
      </c>
      <c r="AD23" s="17" t="str">
        <f>IF(AND($T23=8000, ($T23+$W23-$AB23)&gt;=8000),T23,"")</f>
        <v/>
      </c>
      <c r="AE23" s="17" t="str">
        <f>IF(($T23+$W23-$AB23)&gt;=$T23+8000,W23,"")</f>
        <v/>
      </c>
    </row>
    <row r="24" spans="1:31" x14ac:dyDescent="0.25">
      <c r="A24" s="15" t="s">
        <v>234</v>
      </c>
      <c r="B24" s="15" t="s">
        <v>235</v>
      </c>
      <c r="C24" s="15" t="s">
        <v>44</v>
      </c>
      <c r="D24" s="16">
        <v>0</v>
      </c>
      <c r="E24" s="17">
        <v>0</v>
      </c>
      <c r="F24" s="17">
        <v>26000</v>
      </c>
      <c r="G24" s="17">
        <v>4000</v>
      </c>
      <c r="H24" s="17">
        <v>0</v>
      </c>
      <c r="I24" s="17">
        <v>0</v>
      </c>
      <c r="J24" s="17">
        <f>(1-$D24)*E24</f>
        <v>0</v>
      </c>
      <c r="K24" s="17">
        <f>(1-$D24)*F24</f>
        <v>26000</v>
      </c>
      <c r="L24" s="17">
        <f>G24</f>
        <v>4000</v>
      </c>
      <c r="M24" s="17">
        <f>(1-$D24)*H24</f>
        <v>0</v>
      </c>
      <c r="N24" s="17">
        <f>(1-$D24)*I24</f>
        <v>0</v>
      </c>
      <c r="O24" s="17">
        <v>13080</v>
      </c>
      <c r="P24" s="17">
        <v>7550</v>
      </c>
      <c r="Q24" s="17">
        <v>0</v>
      </c>
      <c r="R24" s="17">
        <v>0</v>
      </c>
      <c r="S24" s="17">
        <v>0</v>
      </c>
      <c r="T24" s="17">
        <v>6000</v>
      </c>
      <c r="U24" s="17">
        <v>0</v>
      </c>
      <c r="V24" s="17">
        <v>0</v>
      </c>
      <c r="W24" s="17">
        <v>0</v>
      </c>
      <c r="X24" s="17">
        <v>0</v>
      </c>
      <c r="Y24" s="17">
        <v>1000</v>
      </c>
      <c r="Z24" s="17">
        <f>SUM(J24:Y24)</f>
        <v>57630</v>
      </c>
      <c r="AA24" s="17">
        <v>0</v>
      </c>
      <c r="AB24" s="14">
        <f>Z24-AA24</f>
        <v>57630</v>
      </c>
      <c r="AC24" s="17" t="str">
        <f>IF(AND($T24=6000, ($T24+$W24-$AB24)&gt;=6000),T24,"")</f>
        <v/>
      </c>
      <c r="AD24" s="17" t="str">
        <f>IF(AND($T24=8000, ($T24+$W24-$AB24)&gt;=8000),T24,"")</f>
        <v/>
      </c>
      <c r="AE24" s="17" t="str">
        <f>IF(($T24+$W24-$AB24)&gt;=$T24+8000,W24,"")</f>
        <v/>
      </c>
    </row>
    <row r="25" spans="1:31" x14ac:dyDescent="0.25">
      <c r="A25" s="15" t="s">
        <v>157</v>
      </c>
      <c r="B25" s="15" t="s">
        <v>73</v>
      </c>
      <c r="C25" s="15" t="s">
        <v>44</v>
      </c>
      <c r="D25" s="16">
        <v>0.5</v>
      </c>
      <c r="E25" s="17">
        <v>0</v>
      </c>
      <c r="F25" s="17">
        <v>26000</v>
      </c>
      <c r="G25" s="17">
        <v>4000</v>
      </c>
      <c r="H25" s="17">
        <v>0</v>
      </c>
      <c r="I25" s="17">
        <v>0</v>
      </c>
      <c r="J25" s="17">
        <f>(1-$D25)*E25</f>
        <v>0</v>
      </c>
      <c r="K25" s="17">
        <f>(1-$D25)*F25</f>
        <v>13000</v>
      </c>
      <c r="L25" s="17">
        <f>G25</f>
        <v>4000</v>
      </c>
      <c r="M25" s="17">
        <f>(1-$D25)*H25</f>
        <v>0</v>
      </c>
      <c r="N25" s="17">
        <f>(1-$D25)*I25</f>
        <v>0</v>
      </c>
      <c r="O25" s="17">
        <v>13080</v>
      </c>
      <c r="P25" s="17">
        <v>7550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8000</v>
      </c>
      <c r="Z25" s="17">
        <f>SUM(J25:Y25)</f>
        <v>45630</v>
      </c>
      <c r="AA25" s="17">
        <v>0</v>
      </c>
      <c r="AB25" s="14">
        <f>Z25-AA25</f>
        <v>45630</v>
      </c>
      <c r="AC25" s="17" t="str">
        <f>IF(AND($T25=6000, ($T25+$W25-$AB25)&gt;=6000),T25,"")</f>
        <v/>
      </c>
      <c r="AD25" s="17" t="str">
        <f>IF(AND($T25=8000, ($T25+$W25-$AB25)&gt;=8000),T25,"")</f>
        <v/>
      </c>
      <c r="AE25" s="17" t="str">
        <f>IF(($T25+$W25-$AB25)&gt;=$T25+8000,W25,"")</f>
        <v/>
      </c>
    </row>
    <row r="26" spans="1:31" x14ac:dyDescent="0.25">
      <c r="A26" s="15" t="s">
        <v>157</v>
      </c>
      <c r="B26" s="15" t="s">
        <v>158</v>
      </c>
      <c r="C26" s="15" t="s">
        <v>44</v>
      </c>
      <c r="D26" s="16">
        <v>0.5</v>
      </c>
      <c r="E26" s="17">
        <v>0</v>
      </c>
      <c r="F26" s="17">
        <v>26000</v>
      </c>
      <c r="G26" s="17">
        <v>4000</v>
      </c>
      <c r="H26" s="17">
        <v>0</v>
      </c>
      <c r="I26" s="17">
        <v>0</v>
      </c>
      <c r="J26" s="17">
        <f>(1-$D26)*E26</f>
        <v>0</v>
      </c>
      <c r="K26" s="17">
        <f>(1-$D26)*F26</f>
        <v>13000</v>
      </c>
      <c r="L26" s="17">
        <f>G26</f>
        <v>4000</v>
      </c>
      <c r="M26" s="17">
        <f>(1-$D26)*H26</f>
        <v>0</v>
      </c>
      <c r="N26" s="17">
        <f>(1-$D26)*I26</f>
        <v>0</v>
      </c>
      <c r="O26" s="17">
        <v>13080</v>
      </c>
      <c r="P26" s="17">
        <v>7550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8000</v>
      </c>
      <c r="Z26" s="17">
        <f>SUM(J26:Y26)</f>
        <v>45630</v>
      </c>
      <c r="AA26" s="17">
        <v>0</v>
      </c>
      <c r="AB26" s="14">
        <f>Z26-AA26</f>
        <v>45630</v>
      </c>
      <c r="AC26" s="17" t="str">
        <f>IF(AND($T26=6000, ($T26+$W26-$AB26)&gt;=6000),T26,"")</f>
        <v/>
      </c>
      <c r="AD26" s="17" t="str">
        <f>IF(AND($T26=8000, ($T26+$W26-$AB26)&gt;=8000),T26,"")</f>
        <v/>
      </c>
      <c r="AE26" s="17" t="str">
        <f>IF(($T26+$W26-$AB26)&gt;=$T26+8000,W26,"")</f>
        <v/>
      </c>
    </row>
    <row r="27" spans="1:31" x14ac:dyDescent="0.25">
      <c r="A27" s="15" t="s">
        <v>159</v>
      </c>
      <c r="B27" s="15" t="s">
        <v>160</v>
      </c>
      <c r="C27" s="15" t="s">
        <v>44</v>
      </c>
      <c r="D27" s="16">
        <v>0.25</v>
      </c>
      <c r="E27" s="17">
        <v>0</v>
      </c>
      <c r="F27" s="17">
        <v>26000</v>
      </c>
      <c r="G27" s="17">
        <v>4000</v>
      </c>
      <c r="H27" s="17">
        <v>0</v>
      </c>
      <c r="I27" s="17">
        <v>0</v>
      </c>
      <c r="J27" s="17">
        <f>(1-$D27)*E27</f>
        <v>0</v>
      </c>
      <c r="K27" s="17">
        <f>(1-$D27)*F27</f>
        <v>19500</v>
      </c>
      <c r="L27" s="17">
        <f>G27</f>
        <v>4000</v>
      </c>
      <c r="M27" s="17">
        <f>(1-$D27)*H27</f>
        <v>0</v>
      </c>
      <c r="N27" s="17">
        <f>(1-$D27)*I27</f>
        <v>0</v>
      </c>
      <c r="O27" s="17">
        <v>13080</v>
      </c>
      <c r="P27" s="17">
        <v>7550</v>
      </c>
      <c r="Q27" s="17">
        <v>0</v>
      </c>
      <c r="R27" s="17">
        <v>0</v>
      </c>
      <c r="S27" s="17">
        <v>0</v>
      </c>
      <c r="T27" s="17">
        <v>6000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f>SUM(J27:Y27)</f>
        <v>50130</v>
      </c>
      <c r="AA27" s="17">
        <v>0</v>
      </c>
      <c r="AB27" s="14">
        <f>Z27-AA27</f>
        <v>50130</v>
      </c>
      <c r="AC27" s="17" t="str">
        <f>IF(AND($T27=6000, ($T27+$W27-$AB27)&gt;=6000),T27,"")</f>
        <v/>
      </c>
      <c r="AD27" s="17" t="str">
        <f>IF(AND($T27=8000, ($T27+$W27-$AB27)&gt;=8000),T27,"")</f>
        <v/>
      </c>
      <c r="AE27" s="17" t="str">
        <f>IF(($T27+$W27-$AB27)&gt;=$T27+8000,W27,"")</f>
        <v/>
      </c>
    </row>
    <row r="28" spans="1:31" x14ac:dyDescent="0.25">
      <c r="A28" s="15" t="s">
        <v>161</v>
      </c>
      <c r="B28" s="15" t="s">
        <v>163</v>
      </c>
      <c r="C28" s="15" t="s">
        <v>44</v>
      </c>
      <c r="D28" s="16">
        <v>0.25</v>
      </c>
      <c r="E28" s="17">
        <v>0</v>
      </c>
      <c r="F28" s="17">
        <v>26000</v>
      </c>
      <c r="G28" s="17">
        <v>4000</v>
      </c>
      <c r="H28" s="17">
        <v>0</v>
      </c>
      <c r="I28" s="17">
        <v>0</v>
      </c>
      <c r="J28" s="17">
        <f>(1-$D28)*E28</f>
        <v>0</v>
      </c>
      <c r="K28" s="17">
        <f>(1-$D28)*F28</f>
        <v>19500</v>
      </c>
      <c r="L28" s="17">
        <f>G28</f>
        <v>4000</v>
      </c>
      <c r="M28" s="17">
        <f>(1-$D28)*H28</f>
        <v>0</v>
      </c>
      <c r="N28" s="17">
        <f>(1-$D28)*I28</f>
        <v>0</v>
      </c>
      <c r="O28" s="17">
        <v>13080</v>
      </c>
      <c r="P28" s="17">
        <v>7550</v>
      </c>
      <c r="Q28" s="17">
        <v>0</v>
      </c>
      <c r="R28" s="17">
        <v>0</v>
      </c>
      <c r="S28" s="17">
        <v>0</v>
      </c>
      <c r="T28" s="17">
        <v>6000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f>SUM(J28:Y28)</f>
        <v>50130</v>
      </c>
      <c r="AA28" s="17">
        <v>0</v>
      </c>
      <c r="AB28" s="14">
        <f>Z28-AA28</f>
        <v>50130</v>
      </c>
      <c r="AC28" s="17" t="str">
        <f>IF(AND($T28=6000, ($T28+$W28-$AB28)&gt;=6000),T28,"")</f>
        <v/>
      </c>
      <c r="AD28" s="17" t="str">
        <f>IF(AND($T28=8000, ($T28+$W28-$AB28)&gt;=8000),T28,"")</f>
        <v/>
      </c>
      <c r="AE28" s="17" t="str">
        <f>IF(($T28+$W28-$AB28)&gt;=$T28+8000,W28,"")</f>
        <v/>
      </c>
    </row>
    <row r="29" spans="1:31" x14ac:dyDescent="0.25">
      <c r="A29" s="15" t="s">
        <v>238</v>
      </c>
      <c r="B29" s="15" t="s">
        <v>239</v>
      </c>
      <c r="C29" s="15" t="s">
        <v>44</v>
      </c>
      <c r="D29" s="16">
        <v>0</v>
      </c>
      <c r="E29" s="17">
        <v>0</v>
      </c>
      <c r="F29" s="17">
        <v>26000</v>
      </c>
      <c r="G29" s="17">
        <v>4000</v>
      </c>
      <c r="H29" s="17">
        <v>0</v>
      </c>
      <c r="I29" s="17">
        <v>0</v>
      </c>
      <c r="J29" s="17">
        <f>(1-$D29)*E29</f>
        <v>0</v>
      </c>
      <c r="K29" s="17">
        <f>(1-$D29)*F29</f>
        <v>26000</v>
      </c>
      <c r="L29" s="17">
        <f>G29</f>
        <v>4000</v>
      </c>
      <c r="M29" s="17">
        <f>(1-$D29)*H29</f>
        <v>0</v>
      </c>
      <c r="N29" s="17">
        <f>(1-$D29)*I29</f>
        <v>0</v>
      </c>
      <c r="O29" s="17">
        <v>13080</v>
      </c>
      <c r="P29" s="17">
        <v>7550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14000</v>
      </c>
      <c r="Z29" s="17">
        <f>SUM(J29:Y29)</f>
        <v>64630</v>
      </c>
      <c r="AA29" s="17">
        <v>0</v>
      </c>
      <c r="AB29" s="14">
        <f>Z29-AA29</f>
        <v>64630</v>
      </c>
      <c r="AC29" s="17" t="str">
        <f>IF(AND($T29=6000, ($T29+$W29-$AB29)&gt;=6000),T29,"")</f>
        <v/>
      </c>
      <c r="AD29" s="17" t="str">
        <f>IF(AND($T29=8000, ($T29+$W29-$AB29)&gt;=8000),T29,"")</f>
        <v/>
      </c>
      <c r="AE29" s="17" t="str">
        <f>IF(($T29+$W29-$AB29)&gt;=$T29+8000,W29,"")</f>
        <v/>
      </c>
    </row>
    <row r="30" spans="1:31" x14ac:dyDescent="0.25">
      <c r="A30" s="15" t="s">
        <v>93</v>
      </c>
      <c r="B30" s="15" t="s">
        <v>94</v>
      </c>
      <c r="C30" s="15" t="s">
        <v>44</v>
      </c>
      <c r="D30" s="16">
        <v>0</v>
      </c>
      <c r="E30" s="17">
        <v>0</v>
      </c>
      <c r="F30" s="17">
        <v>26000</v>
      </c>
      <c r="G30" s="17">
        <v>4000</v>
      </c>
      <c r="H30" s="17">
        <v>0</v>
      </c>
      <c r="I30" s="17">
        <v>0</v>
      </c>
      <c r="J30" s="17">
        <f>(1-$D30)*E30</f>
        <v>0</v>
      </c>
      <c r="K30" s="17">
        <f>(1-$D30)*F30</f>
        <v>26000</v>
      </c>
      <c r="L30" s="17">
        <f>G30</f>
        <v>4000</v>
      </c>
      <c r="M30" s="17">
        <f>(1-$D30)*H30</f>
        <v>0</v>
      </c>
      <c r="N30" s="17">
        <f>(1-$D30)*I30</f>
        <v>0</v>
      </c>
      <c r="O30" s="17">
        <v>13080</v>
      </c>
      <c r="P30" s="17">
        <v>7550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7000</v>
      </c>
      <c r="Z30" s="17">
        <f>SUM(J30:Y30)</f>
        <v>57630</v>
      </c>
      <c r="AA30" s="17">
        <v>0</v>
      </c>
      <c r="AB30" s="14">
        <f>Z30-AA30</f>
        <v>57630</v>
      </c>
      <c r="AC30" s="17" t="str">
        <f>IF(AND($T30=6000, ($T30+$W30-$AB30)&gt;=6000),T30,"")</f>
        <v/>
      </c>
      <c r="AD30" s="17" t="str">
        <f>IF(AND($T30=8000, ($T30+$W30-$AB30)&gt;=8000),T30,"")</f>
        <v/>
      </c>
      <c r="AE30" s="17" t="str">
        <f>IF(($T30+$W30-$AB30)&gt;=$T30+8000,W30,"")</f>
        <v/>
      </c>
    </row>
    <row r="31" spans="1:31" x14ac:dyDescent="0.25">
      <c r="A31" s="15" t="s">
        <v>100</v>
      </c>
      <c r="B31" s="15" t="s">
        <v>101</v>
      </c>
      <c r="C31" s="15" t="s">
        <v>44</v>
      </c>
      <c r="D31" s="16">
        <v>0</v>
      </c>
      <c r="E31" s="17">
        <v>0</v>
      </c>
      <c r="F31" s="17">
        <v>26000</v>
      </c>
      <c r="G31" s="17">
        <v>4000</v>
      </c>
      <c r="H31" s="17">
        <v>0</v>
      </c>
      <c r="I31" s="17">
        <v>0</v>
      </c>
      <c r="J31" s="17">
        <f>(1-$D31)*E31</f>
        <v>0</v>
      </c>
      <c r="K31" s="17">
        <f>(1-$D31)*F31</f>
        <v>26000</v>
      </c>
      <c r="L31" s="17">
        <f>G31</f>
        <v>4000</v>
      </c>
      <c r="M31" s="17">
        <f>(1-$D31)*H31</f>
        <v>0</v>
      </c>
      <c r="N31" s="17">
        <f>(1-$D31)*I31</f>
        <v>0</v>
      </c>
      <c r="O31" s="17">
        <v>13080</v>
      </c>
      <c r="P31" s="17">
        <v>7550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-3030</v>
      </c>
      <c r="Z31" s="17">
        <f>SUM(J31:Y31)</f>
        <v>47600</v>
      </c>
      <c r="AA31" s="17">
        <v>0</v>
      </c>
      <c r="AB31" s="14">
        <f>Z31-AA31</f>
        <v>47600</v>
      </c>
      <c r="AC31" s="17" t="str">
        <f>IF(AND($T31=6000, ($T31+$W31-$AB31)&gt;=6000),T31,"")</f>
        <v/>
      </c>
      <c r="AD31" s="17" t="str">
        <f>IF(AND($T31=8000, ($T31+$W31-$AB31)&gt;=8000),T31,"")</f>
        <v/>
      </c>
      <c r="AE31" s="17" t="str">
        <f>IF(($T31+$W31-$AB31)&gt;=$T31+8000,W31,"")</f>
        <v/>
      </c>
    </row>
    <row r="32" spans="1:31" x14ac:dyDescent="0.25">
      <c r="A32" s="15" t="s">
        <v>146</v>
      </c>
      <c r="B32" s="15" t="s">
        <v>147</v>
      </c>
      <c r="C32" s="15" t="s">
        <v>44</v>
      </c>
      <c r="D32" s="16">
        <v>0</v>
      </c>
      <c r="E32" s="17">
        <v>0</v>
      </c>
      <c r="F32" s="17">
        <v>26000</v>
      </c>
      <c r="G32" s="17">
        <v>4000</v>
      </c>
      <c r="H32" s="17">
        <v>0</v>
      </c>
      <c r="I32" s="17">
        <v>0</v>
      </c>
      <c r="J32" s="17">
        <f>(1-$D32)*E32</f>
        <v>0</v>
      </c>
      <c r="K32" s="17">
        <f>(1-$D32)*F32</f>
        <v>26000</v>
      </c>
      <c r="L32" s="17">
        <f>G32</f>
        <v>4000</v>
      </c>
      <c r="M32" s="17">
        <f>(1-$D32)*H32</f>
        <v>0</v>
      </c>
      <c r="N32" s="17">
        <f>(1-$D32)*I32</f>
        <v>0</v>
      </c>
      <c r="O32" s="17">
        <v>13080</v>
      </c>
      <c r="P32" s="17">
        <v>7550</v>
      </c>
      <c r="Q32" s="17">
        <v>0</v>
      </c>
      <c r="R32" s="17">
        <v>0</v>
      </c>
      <c r="S32" s="17">
        <v>0</v>
      </c>
      <c r="T32" s="17">
        <v>6000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f>SUM(J32:Y32)</f>
        <v>56630</v>
      </c>
      <c r="AA32" s="17">
        <v>0</v>
      </c>
      <c r="AB32" s="14">
        <f>Z32-AA32</f>
        <v>56630</v>
      </c>
      <c r="AC32" s="17" t="str">
        <f>IF(AND($T32=6000, ($T32+$W32-$AB32)&gt;=6000),T32,"")</f>
        <v/>
      </c>
      <c r="AD32" s="17" t="str">
        <f>IF(AND($T32=8000, ($T32+$W32-$AB32)&gt;=8000),T32,"")</f>
        <v/>
      </c>
      <c r="AE32" s="17" t="str">
        <f>IF(($T32+$W32-$AB32)&gt;=$T32+8000,W32,"")</f>
        <v/>
      </c>
    </row>
    <row r="33" spans="1:31" x14ac:dyDescent="0.25">
      <c r="A33" s="15" t="s">
        <v>102</v>
      </c>
      <c r="B33" s="15" t="s">
        <v>104</v>
      </c>
      <c r="C33" s="15" t="s">
        <v>44</v>
      </c>
      <c r="D33" s="16">
        <v>0.25</v>
      </c>
      <c r="E33" s="17">
        <v>0</v>
      </c>
      <c r="F33" s="17">
        <v>26000</v>
      </c>
      <c r="G33" s="17">
        <v>4000</v>
      </c>
      <c r="H33" s="17">
        <v>0</v>
      </c>
      <c r="I33" s="17">
        <v>0</v>
      </c>
      <c r="J33" s="17">
        <f>(1-$D33)*E33</f>
        <v>0</v>
      </c>
      <c r="K33" s="17">
        <f>(1-$D33)*F33</f>
        <v>19500</v>
      </c>
      <c r="L33" s="17">
        <f>G33</f>
        <v>4000</v>
      </c>
      <c r="M33" s="17">
        <f>(1-$D33)*H33</f>
        <v>0</v>
      </c>
      <c r="N33" s="17">
        <f>(1-$D33)*I33</f>
        <v>0</v>
      </c>
      <c r="O33" s="17">
        <v>13080</v>
      </c>
      <c r="P33" s="17">
        <v>7550</v>
      </c>
      <c r="Q33" s="17">
        <v>0</v>
      </c>
      <c r="R33" s="17">
        <v>0</v>
      </c>
      <c r="S33" s="17">
        <v>0</v>
      </c>
      <c r="T33" s="17">
        <v>6000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f>SUM(J33:Y33)</f>
        <v>50130</v>
      </c>
      <c r="AA33" s="17">
        <v>0</v>
      </c>
      <c r="AB33" s="14">
        <f>Z33-AA33</f>
        <v>50130</v>
      </c>
      <c r="AC33" s="17" t="str">
        <f>IF(AND($T33=6000, ($T33+$W33-$AB33)&gt;=6000),T33,"")</f>
        <v/>
      </c>
      <c r="AD33" s="17" t="str">
        <f>IF(AND($T33=8000, ($T33+$W33-$AB33)&gt;=8000),T33,"")</f>
        <v/>
      </c>
      <c r="AE33" s="17" t="str">
        <f>IF(($T33+$W33-$AB33)&gt;=$T33+8000,W33,"")</f>
        <v/>
      </c>
    </row>
    <row r="34" spans="1:31" x14ac:dyDescent="0.25">
      <c r="A34" s="15" t="s">
        <v>113</v>
      </c>
      <c r="B34" s="15" t="s">
        <v>115</v>
      </c>
      <c r="C34" s="15" t="s">
        <v>44</v>
      </c>
      <c r="D34" s="16">
        <v>0.5</v>
      </c>
      <c r="E34" s="17">
        <v>0</v>
      </c>
      <c r="F34" s="17">
        <v>26000</v>
      </c>
      <c r="G34" s="17">
        <v>4000</v>
      </c>
      <c r="H34" s="17">
        <v>0</v>
      </c>
      <c r="I34" s="17">
        <v>0</v>
      </c>
      <c r="J34" s="17">
        <f>(1-$D34)*E34</f>
        <v>0</v>
      </c>
      <c r="K34" s="17">
        <f>(1-$D34)*F34</f>
        <v>13000</v>
      </c>
      <c r="L34" s="17">
        <f>G34</f>
        <v>4000</v>
      </c>
      <c r="M34" s="17">
        <f>(1-$D34)*H34</f>
        <v>0</v>
      </c>
      <c r="N34" s="17">
        <f>(1-$D34)*I34</f>
        <v>0</v>
      </c>
      <c r="O34" s="17">
        <v>13080</v>
      </c>
      <c r="P34" s="17">
        <v>7550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8000</v>
      </c>
      <c r="Z34" s="17">
        <f>SUM(J34:Y34)</f>
        <v>45630</v>
      </c>
      <c r="AA34" s="17">
        <v>0</v>
      </c>
      <c r="AB34" s="14">
        <f>Z34-AA34</f>
        <v>45630</v>
      </c>
      <c r="AC34" s="17" t="str">
        <f>IF(AND($T34=6000, ($T34+$W34-$AB34)&gt;=6000),T34,"")</f>
        <v/>
      </c>
      <c r="AD34" s="17" t="str">
        <f>IF(AND($T34=8000, ($T34+$W34-$AB34)&gt;=8000),T34,"")</f>
        <v/>
      </c>
      <c r="AE34" s="17" t="str">
        <f>IF(($T34+$W34-$AB34)&gt;=$T34+8000,W34,"")</f>
        <v/>
      </c>
    </row>
    <row r="35" spans="1:31" x14ac:dyDescent="0.25">
      <c r="A35" s="15" t="s">
        <v>118</v>
      </c>
      <c r="B35" s="15" t="s">
        <v>119</v>
      </c>
      <c r="C35" s="15" t="s">
        <v>44</v>
      </c>
      <c r="D35" s="16">
        <v>0.25</v>
      </c>
      <c r="E35" s="17">
        <v>0</v>
      </c>
      <c r="F35" s="17">
        <v>26000</v>
      </c>
      <c r="G35" s="17">
        <v>4000</v>
      </c>
      <c r="H35" s="17">
        <v>0</v>
      </c>
      <c r="I35" s="17">
        <v>0</v>
      </c>
      <c r="J35" s="17">
        <f>(1-$D35)*E35</f>
        <v>0</v>
      </c>
      <c r="K35" s="17">
        <f>(1-$D35)*F35</f>
        <v>19500</v>
      </c>
      <c r="L35" s="17">
        <f>G35</f>
        <v>4000</v>
      </c>
      <c r="M35" s="17">
        <f>(1-$D35)*H35</f>
        <v>0</v>
      </c>
      <c r="N35" s="17">
        <f>(1-$D35)*I35</f>
        <v>0</v>
      </c>
      <c r="O35" s="17">
        <v>13080</v>
      </c>
      <c r="P35" s="17">
        <v>7550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f>SUM(J35:Y35)</f>
        <v>44130</v>
      </c>
      <c r="AA35" s="17">
        <v>0</v>
      </c>
      <c r="AB35" s="14">
        <f>Z35-AA35</f>
        <v>44130</v>
      </c>
      <c r="AC35" s="17" t="str">
        <f>IF(AND($T35=6000, ($T35+$W35-$AB35)&gt;=6000),T35,"")</f>
        <v/>
      </c>
      <c r="AD35" s="17" t="str">
        <f>IF(AND($T35=8000, ($T35+$W35-$AB35)&gt;=8000),T35,"")</f>
        <v/>
      </c>
      <c r="AE35" s="17" t="str">
        <f>IF(($T35+$W35-$AB35)&gt;=$T35+8000,W35,"")</f>
        <v/>
      </c>
    </row>
    <row r="36" spans="1:31" x14ac:dyDescent="0.25">
      <c r="A36" s="15" t="s">
        <v>125</v>
      </c>
      <c r="B36" s="15" t="s">
        <v>128</v>
      </c>
      <c r="C36" s="15" t="s">
        <v>44</v>
      </c>
      <c r="D36" s="16">
        <v>0.25</v>
      </c>
      <c r="E36" s="17">
        <v>0</v>
      </c>
      <c r="F36" s="17">
        <v>26000</v>
      </c>
      <c r="G36" s="17">
        <v>4000</v>
      </c>
      <c r="H36" s="17">
        <v>0</v>
      </c>
      <c r="I36" s="17">
        <v>0</v>
      </c>
      <c r="J36" s="17">
        <f>(1-$D36)*E36</f>
        <v>0</v>
      </c>
      <c r="K36" s="17">
        <f>(1-$D36)*F36</f>
        <v>19500</v>
      </c>
      <c r="L36" s="17">
        <f>G36</f>
        <v>4000</v>
      </c>
      <c r="M36" s="17">
        <f>(1-$D36)*H36</f>
        <v>0</v>
      </c>
      <c r="N36" s="17">
        <f>(1-$D36)*I36</f>
        <v>0</v>
      </c>
      <c r="O36" s="17">
        <v>13080</v>
      </c>
      <c r="P36" s="17">
        <v>7550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f>SUM(J36:Y36)</f>
        <v>44130</v>
      </c>
      <c r="AA36" s="17">
        <v>0</v>
      </c>
      <c r="AB36" s="14">
        <f>Z36-AA36</f>
        <v>44130</v>
      </c>
      <c r="AC36" s="17" t="str">
        <f>IF(AND($T36=6000, ($T36+$W36-$AB36)&gt;=6000),T36,"")</f>
        <v/>
      </c>
      <c r="AD36" s="17" t="str">
        <f>IF(AND($T36=8000, ($T36+$W36-$AB36)&gt;=8000),T36,"")</f>
        <v/>
      </c>
      <c r="AE36" s="17" t="str">
        <f>IF(($T36+$W36-$AB36)&gt;=$T36+8000,W36,"")</f>
        <v/>
      </c>
    </row>
    <row r="37" spans="1:31" x14ac:dyDescent="0.25">
      <c r="A37" s="15" t="s">
        <v>137</v>
      </c>
      <c r="B37" s="15" t="s">
        <v>138</v>
      </c>
      <c r="C37" s="15" t="s">
        <v>44</v>
      </c>
      <c r="D37" s="16">
        <v>0</v>
      </c>
      <c r="E37" s="17">
        <v>0</v>
      </c>
      <c r="F37" s="17">
        <v>26000</v>
      </c>
      <c r="G37" s="17">
        <v>4000</v>
      </c>
      <c r="H37" s="17">
        <v>0</v>
      </c>
      <c r="I37" s="17">
        <v>0</v>
      </c>
      <c r="J37" s="17">
        <f>(1-$D37)*E37</f>
        <v>0</v>
      </c>
      <c r="K37" s="17">
        <f>(1-$D37)*F37</f>
        <v>26000</v>
      </c>
      <c r="L37" s="17">
        <f>G37</f>
        <v>4000</v>
      </c>
      <c r="M37" s="17">
        <f>(1-$D37)*H37</f>
        <v>0</v>
      </c>
      <c r="N37" s="17">
        <f>(1-$D37)*I37</f>
        <v>0</v>
      </c>
      <c r="O37" s="17">
        <v>13080</v>
      </c>
      <c r="P37" s="17">
        <v>7550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f>SUM(J37:Y37)</f>
        <v>50630</v>
      </c>
      <c r="AA37" s="17">
        <v>0</v>
      </c>
      <c r="AB37" s="14">
        <f>Z37-AA37</f>
        <v>50630</v>
      </c>
      <c r="AC37" s="17" t="str">
        <f>IF(AND($T37=6000, ($T37+$W37-$AB37)&gt;=6000),T37,"")</f>
        <v/>
      </c>
      <c r="AD37" s="17" t="str">
        <f>IF(AND($T37=8000, ($T37+$W37-$AB37)&gt;=8000),T37,"")</f>
        <v/>
      </c>
      <c r="AE37" s="17" t="str">
        <f>IF(($T37+$W37-$AB37)&gt;=$T37+8000,W37,"")</f>
        <v/>
      </c>
    </row>
    <row r="38" spans="1:31" x14ac:dyDescent="0.25">
      <c r="A38" s="15" t="s">
        <v>28</v>
      </c>
      <c r="B38" s="15" t="s">
        <v>29</v>
      </c>
      <c r="C38" s="15" t="s">
        <v>47</v>
      </c>
      <c r="D38" s="16">
        <v>0.25</v>
      </c>
      <c r="E38" s="17">
        <v>0</v>
      </c>
      <c r="F38" s="17">
        <v>26000</v>
      </c>
      <c r="G38" s="17">
        <v>4000</v>
      </c>
      <c r="H38" s="17">
        <v>0</v>
      </c>
      <c r="I38" s="17">
        <v>0</v>
      </c>
      <c r="J38" s="17">
        <f>(1-$D38)*E38</f>
        <v>0</v>
      </c>
      <c r="K38" s="17">
        <f>(1-$D38)*F38</f>
        <v>19500</v>
      </c>
      <c r="L38" s="17">
        <f>G38</f>
        <v>4000</v>
      </c>
      <c r="M38" s="17">
        <f>(1-$D38)*H38</f>
        <v>0</v>
      </c>
      <c r="N38" s="17">
        <f>(1-$D38)*I38</f>
        <v>0</v>
      </c>
      <c r="O38" s="17">
        <v>24870</v>
      </c>
      <c r="P38" s="17">
        <v>10730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f>SUM(J38:Y38)</f>
        <v>59100</v>
      </c>
      <c r="AA38" s="17">
        <v>0</v>
      </c>
      <c r="AB38" s="14">
        <f>Z38-AA38</f>
        <v>59100</v>
      </c>
      <c r="AC38" s="17" t="str">
        <f>IF(AND($T38=6000, ($T38+$W38-$AB38)&gt;=6000),T38,"")</f>
        <v/>
      </c>
      <c r="AD38" s="17" t="str">
        <f>IF(AND($T38=8000, ($T38+$W38-$AB38)&gt;=8000),T38,"")</f>
        <v/>
      </c>
      <c r="AE38" s="17" t="str">
        <f>IF(($T38+$W38-$AB38)&gt;=$T38+8000,W38,"")</f>
        <v/>
      </c>
    </row>
    <row r="39" spans="1:31" x14ac:dyDescent="0.25">
      <c r="A39" s="15" t="s">
        <v>37</v>
      </c>
      <c r="B39" s="15" t="s">
        <v>38</v>
      </c>
      <c r="C39" s="15" t="s">
        <v>47</v>
      </c>
      <c r="D39" s="16">
        <v>0.5</v>
      </c>
      <c r="E39" s="17">
        <v>0</v>
      </c>
      <c r="F39" s="17">
        <v>26000</v>
      </c>
      <c r="G39" s="17">
        <v>4000</v>
      </c>
      <c r="H39" s="17">
        <v>0</v>
      </c>
      <c r="I39" s="17">
        <v>0</v>
      </c>
      <c r="J39" s="17">
        <f>(1-$D39)*E39</f>
        <v>0</v>
      </c>
      <c r="K39" s="17">
        <f>(1-$D39)*F39</f>
        <v>13000</v>
      </c>
      <c r="L39" s="17">
        <f>G39</f>
        <v>4000</v>
      </c>
      <c r="M39" s="17">
        <f>(1-$D39)*H39</f>
        <v>0</v>
      </c>
      <c r="N39" s="17">
        <f>(1-$D39)*I39</f>
        <v>0</v>
      </c>
      <c r="O39" s="17">
        <v>24870</v>
      </c>
      <c r="P39" s="17">
        <v>10730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f>SUM(J39:Y39)</f>
        <v>52600</v>
      </c>
      <c r="AA39" s="17">
        <v>0</v>
      </c>
      <c r="AB39" s="14">
        <f>Z39-AA39</f>
        <v>52600</v>
      </c>
      <c r="AC39" s="17" t="str">
        <f>IF(AND($T39=6000, ($T39+$W39-$AB39)&gt;=6000),T39,"")</f>
        <v/>
      </c>
      <c r="AD39" s="17" t="str">
        <f>IF(AND($T39=8000, ($T39+$W39-$AB39)&gt;=8000),T39,"")</f>
        <v/>
      </c>
      <c r="AE39" s="17" t="str">
        <f>IF(($T39+$W39-$AB39)&gt;=$T39+8000,W39,"")</f>
        <v/>
      </c>
    </row>
    <row r="40" spans="1:31" x14ac:dyDescent="0.25">
      <c r="A40" s="15" t="s">
        <v>40</v>
      </c>
      <c r="B40" s="15" t="s">
        <v>41</v>
      </c>
      <c r="C40" s="15" t="s">
        <v>47</v>
      </c>
      <c r="D40" s="16">
        <v>0.25</v>
      </c>
      <c r="E40" s="17">
        <v>0</v>
      </c>
      <c r="F40" s="17">
        <v>26000</v>
      </c>
      <c r="G40" s="17">
        <v>4000</v>
      </c>
      <c r="H40" s="17">
        <v>0</v>
      </c>
      <c r="I40" s="17">
        <v>0</v>
      </c>
      <c r="J40" s="17">
        <f>(1-$D40)*E40</f>
        <v>0</v>
      </c>
      <c r="K40" s="17">
        <f>(1-$D40)*F40</f>
        <v>19500</v>
      </c>
      <c r="L40" s="17">
        <f>G40</f>
        <v>4000</v>
      </c>
      <c r="M40" s="17">
        <f>(1-$D40)*H40</f>
        <v>0</v>
      </c>
      <c r="N40" s="17">
        <f>(1-$D40)*I40</f>
        <v>0</v>
      </c>
      <c r="O40" s="17">
        <v>24870</v>
      </c>
      <c r="P40" s="17">
        <v>10730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f>SUM(J40:Y40)</f>
        <v>59100</v>
      </c>
      <c r="AA40" s="17">
        <v>0</v>
      </c>
      <c r="AB40" s="14">
        <f>Z40-AA40</f>
        <v>59100</v>
      </c>
      <c r="AC40" s="17" t="str">
        <f>IF(AND($T40=6000, ($T40+$W40-$AB40)&gt;=6000),T40,"")</f>
        <v/>
      </c>
      <c r="AD40" s="17" t="str">
        <f>IF(AND($T40=8000, ($T40+$W40-$AB40)&gt;=8000),T40,"")</f>
        <v/>
      </c>
      <c r="AE40" s="17" t="str">
        <f>IF(($T40+$W40-$AB40)&gt;=$T40+8000,W40,"")</f>
        <v/>
      </c>
    </row>
    <row r="41" spans="1:31" x14ac:dyDescent="0.25">
      <c r="A41" s="15" t="s">
        <v>60</v>
      </c>
      <c r="B41" s="15" t="s">
        <v>62</v>
      </c>
      <c r="C41" s="15" t="s">
        <v>47</v>
      </c>
      <c r="D41" s="16">
        <v>0.25</v>
      </c>
      <c r="E41" s="17">
        <v>0</v>
      </c>
      <c r="F41" s="17">
        <v>26000</v>
      </c>
      <c r="G41" s="17">
        <v>4000</v>
      </c>
      <c r="H41" s="17">
        <v>0</v>
      </c>
      <c r="I41" s="17">
        <v>0</v>
      </c>
      <c r="J41" s="17">
        <f>(1-$D41)*E41</f>
        <v>0</v>
      </c>
      <c r="K41" s="17">
        <f>(1-$D41)*F41</f>
        <v>19500</v>
      </c>
      <c r="L41" s="17">
        <f>G41</f>
        <v>4000</v>
      </c>
      <c r="M41" s="17">
        <f>(1-$D41)*H41</f>
        <v>0</v>
      </c>
      <c r="N41" s="17">
        <f>(1-$D41)*I41</f>
        <v>0</v>
      </c>
      <c r="O41" s="17">
        <v>24870</v>
      </c>
      <c r="P41" s="17">
        <v>10730</v>
      </c>
      <c r="Q41" s="17">
        <v>0</v>
      </c>
      <c r="R41" s="17">
        <v>0</v>
      </c>
      <c r="S41" s="17">
        <v>0</v>
      </c>
      <c r="T41" s="17">
        <v>6000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f>SUM(J41:Y41)</f>
        <v>65100</v>
      </c>
      <c r="AA41" s="17">
        <v>0</v>
      </c>
      <c r="AB41" s="14">
        <f>Z41-AA41</f>
        <v>65100</v>
      </c>
      <c r="AC41" s="17" t="str">
        <f>IF(AND($T41=6000, ($T41+$W41-$AB41)&gt;=6000),T41,"")</f>
        <v/>
      </c>
      <c r="AD41" s="17" t="str">
        <f>IF(AND($T41=8000, ($T41+$W41-$AB41)&gt;=8000),T41,"")</f>
        <v/>
      </c>
      <c r="AE41" s="17" t="str">
        <f>IF(($T41+$W41-$AB41)&gt;=$T41+8000,W41,"")</f>
        <v/>
      </c>
    </row>
    <row r="42" spans="1:31" x14ac:dyDescent="0.25">
      <c r="A42" s="15" t="s">
        <v>64</v>
      </c>
      <c r="B42" s="15" t="s">
        <v>76</v>
      </c>
      <c r="C42" s="15" t="s">
        <v>47</v>
      </c>
      <c r="D42" s="16">
        <v>0.25</v>
      </c>
      <c r="E42" s="17">
        <v>0</v>
      </c>
      <c r="F42" s="17">
        <v>26000</v>
      </c>
      <c r="G42" s="17">
        <v>4000</v>
      </c>
      <c r="H42" s="17">
        <v>0</v>
      </c>
      <c r="I42" s="17">
        <v>0</v>
      </c>
      <c r="J42" s="17">
        <f>(1-$D42)*E42</f>
        <v>0</v>
      </c>
      <c r="K42" s="17">
        <f>(1-$D42)*F42</f>
        <v>19500</v>
      </c>
      <c r="L42" s="17">
        <f>G42</f>
        <v>4000</v>
      </c>
      <c r="M42" s="17">
        <f>(1-$D42)*H42</f>
        <v>0</v>
      </c>
      <c r="N42" s="17">
        <f>(1-$D42)*I42</f>
        <v>0</v>
      </c>
      <c r="O42" s="17">
        <v>24870</v>
      </c>
      <c r="P42" s="17">
        <v>10730</v>
      </c>
      <c r="Q42" s="17">
        <v>0</v>
      </c>
      <c r="R42" s="17">
        <v>0</v>
      </c>
      <c r="S42" s="17">
        <v>0</v>
      </c>
      <c r="T42" s="17">
        <v>6000</v>
      </c>
      <c r="U42" s="17">
        <v>0</v>
      </c>
      <c r="V42" s="17">
        <v>0</v>
      </c>
      <c r="W42" s="17">
        <v>0</v>
      </c>
      <c r="X42" s="17">
        <v>0</v>
      </c>
      <c r="Y42" s="17">
        <v>18500</v>
      </c>
      <c r="Z42" s="17">
        <f>SUM(J42:Y42)</f>
        <v>83600</v>
      </c>
      <c r="AA42" s="17">
        <v>48000</v>
      </c>
      <c r="AB42" s="14">
        <f>Z42-AA42</f>
        <v>35600</v>
      </c>
      <c r="AC42" s="17" t="str">
        <f>IF(AND($T42=6000, ($T42+$W42-$AB42)&gt;=6000),T42,"")</f>
        <v/>
      </c>
      <c r="AD42" s="17" t="str">
        <f>IF(AND($T42=8000, ($T42+$W42-$AB42)&gt;=8000),T42,"")</f>
        <v/>
      </c>
      <c r="AE42" s="17" t="str">
        <f>IF(($T42+$W42-$AB42)&gt;=$T42+8000,W42,"")</f>
        <v/>
      </c>
    </row>
    <row r="43" spans="1:31" x14ac:dyDescent="0.25">
      <c r="A43" s="15" t="s">
        <v>88</v>
      </c>
      <c r="B43" s="15" t="s">
        <v>206</v>
      </c>
      <c r="C43" s="15" t="s">
        <v>47</v>
      </c>
      <c r="D43" s="16">
        <v>0.25</v>
      </c>
      <c r="E43" s="17">
        <v>0</v>
      </c>
      <c r="F43" s="17">
        <v>26000</v>
      </c>
      <c r="G43" s="17">
        <v>4000</v>
      </c>
      <c r="H43" s="17">
        <v>0</v>
      </c>
      <c r="I43" s="17">
        <v>0</v>
      </c>
      <c r="J43" s="17">
        <f>(1-$D43)*E43</f>
        <v>0</v>
      </c>
      <c r="K43" s="17">
        <f>(1-$D43)*F43</f>
        <v>19500</v>
      </c>
      <c r="L43" s="17">
        <f>G43</f>
        <v>4000</v>
      </c>
      <c r="M43" s="17">
        <f>(1-$D43)*H43</f>
        <v>0</v>
      </c>
      <c r="N43" s="17">
        <f>(1-$D43)*I43</f>
        <v>0</v>
      </c>
      <c r="O43" s="17">
        <v>24870</v>
      </c>
      <c r="P43" s="17">
        <v>10730</v>
      </c>
      <c r="Q43" s="17">
        <v>0</v>
      </c>
      <c r="R43" s="17">
        <v>0</v>
      </c>
      <c r="S43" s="17">
        <v>0</v>
      </c>
      <c r="T43" s="17">
        <v>6000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f>SUM(J43:Y43)</f>
        <v>65100</v>
      </c>
      <c r="AA43" s="17">
        <v>0</v>
      </c>
      <c r="AB43" s="14">
        <f>Z43-AA43</f>
        <v>65100</v>
      </c>
      <c r="AC43" s="17" t="str">
        <f>IF(AND($T43=6000, ($T43+$W43-$AB43)&gt;=6000),T43,"")</f>
        <v/>
      </c>
      <c r="AD43" s="17" t="str">
        <f>IF(AND($T43=8000, ($T43+$W43-$AB43)&gt;=8000),T43,"")</f>
        <v/>
      </c>
      <c r="AE43" s="17" t="str">
        <f>IF(($T43+$W43-$AB43)&gt;=$T43+8000,W43,"")</f>
        <v/>
      </c>
    </row>
    <row r="44" spans="1:31" x14ac:dyDescent="0.25">
      <c r="A44" s="15" t="s">
        <v>198</v>
      </c>
      <c r="B44" s="15" t="s">
        <v>31</v>
      </c>
      <c r="C44" s="15" t="s">
        <v>47</v>
      </c>
      <c r="D44" s="16">
        <v>0.25</v>
      </c>
      <c r="E44" s="17">
        <v>0</v>
      </c>
      <c r="F44" s="17">
        <v>26000</v>
      </c>
      <c r="G44" s="17">
        <v>4000</v>
      </c>
      <c r="H44" s="17">
        <v>0</v>
      </c>
      <c r="I44" s="17">
        <v>0</v>
      </c>
      <c r="J44" s="17">
        <f>(1-$D44)*E44</f>
        <v>0</v>
      </c>
      <c r="K44" s="17">
        <f>(1-$D44)*F44</f>
        <v>19500</v>
      </c>
      <c r="L44" s="17">
        <f>G44</f>
        <v>4000</v>
      </c>
      <c r="M44" s="17">
        <f>(1-$D44)*H44</f>
        <v>0</v>
      </c>
      <c r="N44" s="17">
        <f>(1-$D44)*I44</f>
        <v>0</v>
      </c>
      <c r="O44" s="17">
        <v>24870</v>
      </c>
      <c r="P44" s="17">
        <v>10730</v>
      </c>
      <c r="Q44" s="17">
        <v>0</v>
      </c>
      <c r="R44" s="17">
        <v>0</v>
      </c>
      <c r="S44" s="17">
        <v>0</v>
      </c>
      <c r="T44" s="17">
        <v>6000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f>SUM(J44:Y44)</f>
        <v>65100</v>
      </c>
      <c r="AA44" s="17">
        <v>0</v>
      </c>
      <c r="AB44" s="14">
        <f>Z44-AA44</f>
        <v>65100</v>
      </c>
      <c r="AC44" s="17" t="str">
        <f>IF(AND($T44=6000, ($T44+$W44-$AB44)&gt;=6000),T44,"")</f>
        <v/>
      </c>
      <c r="AD44" s="17" t="str">
        <f>IF(AND($T44=8000, ($T44+$W44-$AB44)&gt;=8000),T44,"")</f>
        <v/>
      </c>
      <c r="AE44" s="17" t="str">
        <f>IF(($T44+$W44-$AB44)&gt;=$T44+8000,W44,"")</f>
        <v/>
      </c>
    </row>
    <row r="45" spans="1:31" x14ac:dyDescent="0.25">
      <c r="A45" s="15" t="s">
        <v>121</v>
      </c>
      <c r="B45" s="15" t="s">
        <v>122</v>
      </c>
      <c r="C45" s="15" t="s">
        <v>47</v>
      </c>
      <c r="D45" s="16">
        <v>0.25</v>
      </c>
      <c r="E45" s="17">
        <v>0</v>
      </c>
      <c r="F45" s="17">
        <v>26000</v>
      </c>
      <c r="G45" s="17">
        <v>4000</v>
      </c>
      <c r="H45" s="17">
        <v>0</v>
      </c>
      <c r="I45" s="17">
        <v>0</v>
      </c>
      <c r="J45" s="17">
        <f>(1-$D45)*E45</f>
        <v>0</v>
      </c>
      <c r="K45" s="17">
        <f>(1-$D45)*F45</f>
        <v>19500</v>
      </c>
      <c r="L45" s="17">
        <f>G45</f>
        <v>4000</v>
      </c>
      <c r="M45" s="17">
        <f>(1-$D45)*H45</f>
        <v>0</v>
      </c>
      <c r="N45" s="17">
        <f>(1-$D45)*I45</f>
        <v>0</v>
      </c>
      <c r="O45" s="17">
        <v>24870</v>
      </c>
      <c r="P45" s="17">
        <v>10730</v>
      </c>
      <c r="Q45" s="17">
        <v>0</v>
      </c>
      <c r="R45" s="17">
        <v>0</v>
      </c>
      <c r="S45" s="17">
        <v>0</v>
      </c>
      <c r="T45" s="17">
        <v>6000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f>SUM(J45:Y45)</f>
        <v>65100</v>
      </c>
      <c r="AA45" s="17">
        <v>0</v>
      </c>
      <c r="AB45" s="14">
        <f>Z45-AA45</f>
        <v>65100</v>
      </c>
      <c r="AC45" s="17" t="str">
        <f>IF(AND($T45=6000, ($T45+$W45-$AB45)&gt;=6000),T45,"")</f>
        <v/>
      </c>
      <c r="AD45" s="17" t="str">
        <f>IF(AND($T45=8000, ($T45+$W45-$AB45)&gt;=8000),T45,"")</f>
        <v/>
      </c>
      <c r="AE45" s="17" t="str">
        <f>IF(($T45+$W45-$AB45)&gt;=$T45+8000,W45,"")</f>
        <v/>
      </c>
    </row>
    <row r="46" spans="1:31" x14ac:dyDescent="0.25">
      <c r="A46" s="15" t="s">
        <v>123</v>
      </c>
      <c r="B46" s="15" t="s">
        <v>124</v>
      </c>
      <c r="C46" s="15" t="s">
        <v>47</v>
      </c>
      <c r="D46" s="16">
        <v>0</v>
      </c>
      <c r="E46" s="17">
        <v>0</v>
      </c>
      <c r="F46" s="17">
        <v>26000</v>
      </c>
      <c r="G46" s="17">
        <v>4000</v>
      </c>
      <c r="H46" s="17">
        <v>0</v>
      </c>
      <c r="I46" s="17">
        <v>0</v>
      </c>
      <c r="J46" s="17">
        <f>(1-$D46)*E46</f>
        <v>0</v>
      </c>
      <c r="K46" s="17">
        <f>(1-$D46)*F46</f>
        <v>26000</v>
      </c>
      <c r="L46" s="17">
        <f>G46</f>
        <v>4000</v>
      </c>
      <c r="M46" s="17">
        <f>(1-$D46)*H46</f>
        <v>0</v>
      </c>
      <c r="N46" s="17">
        <f>(1-$D46)*I46</f>
        <v>0</v>
      </c>
      <c r="O46" s="17">
        <v>24870</v>
      </c>
      <c r="P46" s="17">
        <v>10730</v>
      </c>
      <c r="Q46" s="17">
        <v>0</v>
      </c>
      <c r="R46" s="17">
        <v>0</v>
      </c>
      <c r="S46" s="17">
        <v>0</v>
      </c>
      <c r="T46" s="17">
        <v>6000</v>
      </c>
      <c r="U46" s="17">
        <v>0</v>
      </c>
      <c r="V46" s="17">
        <v>0</v>
      </c>
      <c r="W46" s="17">
        <v>0</v>
      </c>
      <c r="X46" s="17">
        <v>0</v>
      </c>
      <c r="Y46" s="17">
        <v>14240</v>
      </c>
      <c r="Z46" s="17">
        <f>SUM(J46:Y46)</f>
        <v>85840</v>
      </c>
      <c r="AA46" s="17">
        <v>0</v>
      </c>
      <c r="AB46" s="14">
        <f>Z46-AA46</f>
        <v>85840</v>
      </c>
      <c r="AC46" s="17" t="str">
        <f>IF(AND($T46=6000, ($T46+$W46-$AB46)&gt;=6000),T46,"")</f>
        <v/>
      </c>
      <c r="AD46" s="17" t="str">
        <f>IF(AND($T46=8000, ($T46+$W46-$AB46)&gt;=8000),T46,"")</f>
        <v/>
      </c>
      <c r="AE46" s="17" t="str">
        <f>IF(($T46+$W46-$AB46)&gt;=$T46+8000,W46,"")</f>
        <v/>
      </c>
    </row>
    <row r="47" spans="1:31" x14ac:dyDescent="0.25">
      <c r="A47" s="15" t="s">
        <v>151</v>
      </c>
      <c r="B47" s="15" t="s">
        <v>152</v>
      </c>
      <c r="C47" s="15" t="s">
        <v>49</v>
      </c>
      <c r="D47" s="16">
        <v>0</v>
      </c>
      <c r="E47" s="17">
        <v>0</v>
      </c>
      <c r="F47" s="17">
        <v>26000</v>
      </c>
      <c r="G47" s="17">
        <v>4000</v>
      </c>
      <c r="H47" s="17">
        <v>1000</v>
      </c>
      <c r="I47" s="17">
        <v>0</v>
      </c>
      <c r="J47" s="17">
        <f>(1-$D47)*E47</f>
        <v>0</v>
      </c>
      <c r="K47" s="17">
        <f>(1-$D47)*F47</f>
        <v>26000</v>
      </c>
      <c r="L47" s="17">
        <f>G47</f>
        <v>4000</v>
      </c>
      <c r="M47" s="17">
        <f>(1-$D47)*H47</f>
        <v>1000</v>
      </c>
      <c r="N47" s="17">
        <f>(1-$D47)*I47</f>
        <v>0</v>
      </c>
      <c r="O47" s="17">
        <v>8040</v>
      </c>
      <c r="P47" s="17">
        <v>5300</v>
      </c>
      <c r="Q47" s="17">
        <v>16000</v>
      </c>
      <c r="R47" s="17">
        <v>8000</v>
      </c>
      <c r="S47" s="17">
        <v>7000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-1000</v>
      </c>
      <c r="Z47" s="17">
        <f>SUM(J47:Y47)</f>
        <v>74340</v>
      </c>
      <c r="AA47" s="17">
        <v>0</v>
      </c>
      <c r="AB47" s="14">
        <f>Z47-AA47</f>
        <v>74340</v>
      </c>
      <c r="AC47" s="17" t="str">
        <f>IF(AND($T47=6000, ($T47+$W47-$AB47)&gt;=6000),T47,"")</f>
        <v/>
      </c>
      <c r="AD47" s="17" t="str">
        <f>IF(AND($T47=8000, ($T47+$W47-$AB47)&gt;=8000),T47,"")</f>
        <v/>
      </c>
      <c r="AE47" s="17" t="str">
        <f>IF(($T47+$W47-$AB47)&gt;=$T47+8000,W47,"")</f>
        <v/>
      </c>
    </row>
    <row r="48" spans="1:31" x14ac:dyDescent="0.25">
      <c r="A48" s="15" t="s">
        <v>203</v>
      </c>
      <c r="B48" s="15" t="s">
        <v>214</v>
      </c>
      <c r="C48" s="15" t="s">
        <v>49</v>
      </c>
      <c r="D48" s="16">
        <v>0</v>
      </c>
      <c r="E48" s="17">
        <v>0</v>
      </c>
      <c r="F48" s="17">
        <v>26000</v>
      </c>
      <c r="G48" s="17">
        <v>4000</v>
      </c>
      <c r="H48" s="17">
        <v>1000</v>
      </c>
      <c r="I48" s="17">
        <v>0</v>
      </c>
      <c r="J48" s="17">
        <f>(1-$D48)*E48</f>
        <v>0</v>
      </c>
      <c r="K48" s="17">
        <f>(1-$D48)*F48</f>
        <v>26000</v>
      </c>
      <c r="L48" s="17">
        <f>G48</f>
        <v>4000</v>
      </c>
      <c r="M48" s="17">
        <f>(1-$D48)*H48</f>
        <v>1000</v>
      </c>
      <c r="N48" s="17">
        <f>(1-$D48)*I48</f>
        <v>0</v>
      </c>
      <c r="O48" s="17">
        <v>8040</v>
      </c>
      <c r="P48" s="17">
        <v>5300</v>
      </c>
      <c r="Q48" s="17">
        <v>16000</v>
      </c>
      <c r="R48" s="17">
        <v>8000</v>
      </c>
      <c r="S48" s="17">
        <v>7000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f>SUM(J48:Y48)</f>
        <v>75340</v>
      </c>
      <c r="AA48" s="17">
        <v>0</v>
      </c>
      <c r="AB48" s="14">
        <f>Z48-AA48</f>
        <v>75340</v>
      </c>
      <c r="AC48" s="17" t="str">
        <f>IF(AND($T48=6000, ($T48+$W48-$AB48)&gt;=6000),T48,"")</f>
        <v/>
      </c>
      <c r="AD48" s="17" t="str">
        <f>IF(AND($T48=8000, ($T48+$W48-$AB48)&gt;=8000),T48,"")</f>
        <v/>
      </c>
      <c r="AE48" s="17" t="str">
        <f>IF(($T48+$W48-$AB48)&gt;=$T48+8000,W48,"")</f>
        <v/>
      </c>
    </row>
    <row r="49" spans="1:31" x14ac:dyDescent="0.25">
      <c r="A49" s="15" t="s">
        <v>188</v>
      </c>
      <c r="B49" s="15" t="s">
        <v>190</v>
      </c>
      <c r="C49" s="15" t="s">
        <v>49</v>
      </c>
      <c r="D49" s="16">
        <v>0</v>
      </c>
      <c r="E49" s="17">
        <v>0</v>
      </c>
      <c r="F49" s="17">
        <v>26000</v>
      </c>
      <c r="G49" s="17">
        <v>4000</v>
      </c>
      <c r="H49" s="17">
        <v>1000</v>
      </c>
      <c r="I49" s="17">
        <v>0</v>
      </c>
      <c r="J49" s="17">
        <f>(1-$D49)*E49</f>
        <v>0</v>
      </c>
      <c r="K49" s="17">
        <f>(1-$D49)*F49</f>
        <v>26000</v>
      </c>
      <c r="L49" s="17">
        <f>G49</f>
        <v>4000</v>
      </c>
      <c r="M49" s="17">
        <f>(1-$D49)*H49</f>
        <v>1000</v>
      </c>
      <c r="N49" s="17">
        <f>(1-$D49)*I49</f>
        <v>0</v>
      </c>
      <c r="O49" s="17">
        <v>8040</v>
      </c>
      <c r="P49" s="17">
        <v>5300</v>
      </c>
      <c r="Q49" s="17">
        <v>16000</v>
      </c>
      <c r="R49" s="17">
        <v>8000</v>
      </c>
      <c r="S49" s="17">
        <v>7000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f>SUM(J49:Y49)</f>
        <v>75340</v>
      </c>
      <c r="AA49" s="17">
        <v>0</v>
      </c>
      <c r="AB49" s="14">
        <f>Z49-AA49</f>
        <v>75340</v>
      </c>
      <c r="AC49" s="17" t="str">
        <f>IF(AND($T49=6000, ($T49+$W49-$AB49)&gt;=6000),T49,"")</f>
        <v/>
      </c>
      <c r="AD49" s="17" t="str">
        <f>IF(AND($T49=8000, ($T49+$W49-$AB49)&gt;=8000),T49,"")</f>
        <v/>
      </c>
      <c r="AE49" s="17" t="str">
        <f>IF(($T49+$W49-$AB49)&gt;=$T49+8000,W49,"")</f>
        <v/>
      </c>
    </row>
    <row r="50" spans="1:31" x14ac:dyDescent="0.25">
      <c r="A50" s="15" t="s">
        <v>143</v>
      </c>
      <c r="B50" s="15" t="s">
        <v>241</v>
      </c>
      <c r="C50" s="15" t="s">
        <v>49</v>
      </c>
      <c r="D50" s="16">
        <v>0.25</v>
      </c>
      <c r="E50" s="17">
        <v>0</v>
      </c>
      <c r="F50" s="17">
        <v>26000</v>
      </c>
      <c r="G50" s="17">
        <v>4000</v>
      </c>
      <c r="H50" s="17">
        <v>1000</v>
      </c>
      <c r="I50" s="17">
        <v>0</v>
      </c>
      <c r="J50" s="17">
        <f>(1-$D50)*E50</f>
        <v>0</v>
      </c>
      <c r="K50" s="17">
        <f>(1-$D50)*F50</f>
        <v>19500</v>
      </c>
      <c r="L50" s="17">
        <f>G50</f>
        <v>4000</v>
      </c>
      <c r="M50" s="17">
        <f>(1-$D50)*H50</f>
        <v>750</v>
      </c>
      <c r="N50" s="17">
        <f>(1-$D50)*I50</f>
        <v>0</v>
      </c>
      <c r="O50" s="17">
        <v>8040</v>
      </c>
      <c r="P50" s="17">
        <v>5300</v>
      </c>
      <c r="Q50" s="17">
        <v>16000</v>
      </c>
      <c r="R50" s="17">
        <v>8000</v>
      </c>
      <c r="S50" s="17">
        <v>7000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f>SUM(J50:Y50)</f>
        <v>68590</v>
      </c>
      <c r="AA50" s="17">
        <v>0</v>
      </c>
      <c r="AB50" s="14">
        <f>Z50-AA50</f>
        <v>68590</v>
      </c>
      <c r="AC50" s="17" t="str">
        <f>IF(AND($T50=6000, ($T50+$W50-$AB50)&gt;=6000),T50,"")</f>
        <v/>
      </c>
      <c r="AD50" s="17" t="str">
        <f>IF(AND($T50=8000, ($T50+$W50-$AB50)&gt;=8000),T50,"")</f>
        <v/>
      </c>
      <c r="AE50" s="17" t="str">
        <f>IF(($T50+$W50-$AB50)&gt;=$T50+8000,W50,"")</f>
        <v/>
      </c>
    </row>
    <row r="51" spans="1:31" x14ac:dyDescent="0.25">
      <c r="A51" s="15" t="s">
        <v>187</v>
      </c>
      <c r="B51" s="15" t="s">
        <v>201</v>
      </c>
      <c r="C51" s="15" t="s">
        <v>49</v>
      </c>
      <c r="D51" s="16">
        <v>0</v>
      </c>
      <c r="E51" s="17">
        <v>0</v>
      </c>
      <c r="F51" s="17">
        <v>26000</v>
      </c>
      <c r="G51" s="17">
        <v>4000</v>
      </c>
      <c r="H51" s="17">
        <v>1000</v>
      </c>
      <c r="I51" s="17">
        <v>0</v>
      </c>
      <c r="J51" s="17">
        <f>(1-$D51)*E51</f>
        <v>0</v>
      </c>
      <c r="K51" s="17">
        <f>(1-$D51)*F51</f>
        <v>26000</v>
      </c>
      <c r="L51" s="17">
        <f>G51</f>
        <v>4000</v>
      </c>
      <c r="M51" s="17">
        <f>(1-$D51)*H51</f>
        <v>1000</v>
      </c>
      <c r="N51" s="17">
        <f>(1-$D51)*I51</f>
        <v>0</v>
      </c>
      <c r="O51" s="17">
        <v>8040</v>
      </c>
      <c r="P51" s="17">
        <v>5300</v>
      </c>
      <c r="Q51" s="17">
        <v>16000</v>
      </c>
      <c r="R51" s="17">
        <v>8000</v>
      </c>
      <c r="S51" s="17">
        <v>7000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f>SUM(J51:Y51)</f>
        <v>75340</v>
      </c>
      <c r="AA51" s="17">
        <v>0</v>
      </c>
      <c r="AB51" s="14">
        <f>Z51-AA51</f>
        <v>75340</v>
      </c>
      <c r="AC51" s="17" t="str">
        <f>IF(AND($T51=6000, ($T51+$W51-$AB51)&gt;=6000),T51,"")</f>
        <v/>
      </c>
      <c r="AD51" s="17" t="str">
        <f>IF(AND($T51=8000, ($T51+$W51-$AB51)&gt;=8000),T51,"")</f>
        <v/>
      </c>
      <c r="AE51" s="17" t="str">
        <f>IF(($T51+$W51-$AB51)&gt;=$T51+8000,W51,"")</f>
        <v/>
      </c>
    </row>
    <row r="52" spans="1:31" x14ac:dyDescent="0.25">
      <c r="A52" s="15" t="s">
        <v>242</v>
      </c>
      <c r="B52" s="15" t="s">
        <v>50</v>
      </c>
      <c r="C52" s="15" t="s">
        <v>49</v>
      </c>
      <c r="D52" s="16">
        <v>0</v>
      </c>
      <c r="E52" s="17">
        <v>0</v>
      </c>
      <c r="F52" s="17">
        <v>26000</v>
      </c>
      <c r="G52" s="17">
        <v>4000</v>
      </c>
      <c r="H52" s="17">
        <v>1000</v>
      </c>
      <c r="I52" s="17">
        <v>0</v>
      </c>
      <c r="J52" s="17">
        <f>(1-$D52)*E52</f>
        <v>0</v>
      </c>
      <c r="K52" s="17">
        <f>(1-$D52)*F52</f>
        <v>26000</v>
      </c>
      <c r="L52" s="17">
        <f>G52</f>
        <v>4000</v>
      </c>
      <c r="M52" s="17">
        <f>(1-$D52)*H52</f>
        <v>1000</v>
      </c>
      <c r="N52" s="17">
        <f>(1-$D52)*I52</f>
        <v>0</v>
      </c>
      <c r="O52" s="17">
        <v>8040</v>
      </c>
      <c r="P52" s="17">
        <v>5300</v>
      </c>
      <c r="Q52" s="17">
        <v>16000</v>
      </c>
      <c r="R52" s="17">
        <v>8000</v>
      </c>
      <c r="S52" s="17">
        <v>7000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f>SUM(J52:Y52)</f>
        <v>75340</v>
      </c>
      <c r="AA52" s="17">
        <v>0</v>
      </c>
      <c r="AB52" s="14">
        <f>Z52-AA52</f>
        <v>75340</v>
      </c>
      <c r="AC52" s="17" t="str">
        <f>IF(AND($T52=6000, ($T52+$W52-$AB52)&gt;=6000),T52,"")</f>
        <v/>
      </c>
      <c r="AD52" s="17" t="str">
        <f>IF(AND($T52=8000, ($T52+$W52-$AB52)&gt;=8000),T52,"")</f>
        <v/>
      </c>
      <c r="AE52" s="17" t="str">
        <f>IF(($T52+$W52-$AB52)&gt;=$T52+8000,W52,"")</f>
        <v/>
      </c>
    </row>
    <row r="53" spans="1:31" x14ac:dyDescent="0.25">
      <c r="A53" s="15" t="s">
        <v>173</v>
      </c>
      <c r="B53" s="15" t="s">
        <v>174</v>
      </c>
      <c r="C53" s="15" t="s">
        <v>49</v>
      </c>
      <c r="D53" s="16">
        <v>0</v>
      </c>
      <c r="E53" s="17">
        <v>0</v>
      </c>
      <c r="F53" s="17">
        <v>26000</v>
      </c>
      <c r="G53" s="17">
        <v>4000</v>
      </c>
      <c r="H53" s="17">
        <v>1000</v>
      </c>
      <c r="I53" s="17">
        <v>0</v>
      </c>
      <c r="J53" s="17">
        <f>(1-$D53)*E53</f>
        <v>0</v>
      </c>
      <c r="K53" s="17">
        <f>(1-$D53)*F53</f>
        <v>26000</v>
      </c>
      <c r="L53" s="17">
        <f>G53</f>
        <v>4000</v>
      </c>
      <c r="M53" s="17">
        <f>(1-$D53)*H53</f>
        <v>1000</v>
      </c>
      <c r="N53" s="17">
        <f>(1-$D53)*I53</f>
        <v>0</v>
      </c>
      <c r="O53" s="17">
        <v>8040</v>
      </c>
      <c r="P53" s="17">
        <v>5300</v>
      </c>
      <c r="Q53" s="17">
        <v>16000</v>
      </c>
      <c r="R53" s="17">
        <v>8000</v>
      </c>
      <c r="S53" s="17">
        <v>7000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f>SUM(J53:Y53)</f>
        <v>75340</v>
      </c>
      <c r="AA53" s="17">
        <v>0</v>
      </c>
      <c r="AB53" s="14">
        <f>Z53-AA53</f>
        <v>75340</v>
      </c>
      <c r="AC53" s="17" t="str">
        <f>IF(AND($T53=6000, ($T53+$W53-$AB53)&gt;=6000),T53,"")</f>
        <v/>
      </c>
      <c r="AD53" s="17" t="str">
        <f>IF(AND($T53=8000, ($T53+$W53-$AB53)&gt;=8000),T53,"")</f>
        <v/>
      </c>
      <c r="AE53" s="17" t="str">
        <f>IF(($T53+$W53-$AB53)&gt;=$T53+8000,W53,"")</f>
        <v/>
      </c>
    </row>
    <row r="54" spans="1:31" x14ac:dyDescent="0.25">
      <c r="A54" s="15" t="s">
        <v>244</v>
      </c>
      <c r="B54" s="15" t="s">
        <v>245</v>
      </c>
      <c r="C54" s="15" t="s">
        <v>49</v>
      </c>
      <c r="D54" s="16">
        <v>0</v>
      </c>
      <c r="E54" s="17">
        <v>0</v>
      </c>
      <c r="F54" s="17">
        <v>26000</v>
      </c>
      <c r="G54" s="17">
        <v>4000</v>
      </c>
      <c r="H54" s="17">
        <v>1000</v>
      </c>
      <c r="I54" s="17">
        <v>0</v>
      </c>
      <c r="J54" s="17">
        <f>(1-$D54)*E54</f>
        <v>0</v>
      </c>
      <c r="K54" s="17">
        <f>(1-$D54)*F54</f>
        <v>26000</v>
      </c>
      <c r="L54" s="17">
        <f>G54</f>
        <v>4000</v>
      </c>
      <c r="M54" s="17">
        <f>(1-$D54)*H54</f>
        <v>1000</v>
      </c>
      <c r="N54" s="17">
        <f>(1-$D54)*I54</f>
        <v>0</v>
      </c>
      <c r="O54" s="17">
        <v>8040</v>
      </c>
      <c r="P54" s="17">
        <v>5300</v>
      </c>
      <c r="Q54" s="17">
        <v>16000</v>
      </c>
      <c r="R54" s="17">
        <v>8000</v>
      </c>
      <c r="S54" s="17">
        <v>7000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f>SUM(J54:Y54)</f>
        <v>75340</v>
      </c>
      <c r="AA54" s="17">
        <v>0</v>
      </c>
      <c r="AB54" s="14">
        <f>Z54-AA54</f>
        <v>75340</v>
      </c>
      <c r="AC54" s="17" t="str">
        <f>IF(AND($T54=6000, ($T54+$W54-$AB54)&gt;=6000),T54,"")</f>
        <v/>
      </c>
      <c r="AD54" s="17" t="str">
        <f>IF(AND($T54=8000, ($T54+$W54-$AB54)&gt;=8000),T54,"")</f>
        <v/>
      </c>
      <c r="AE54" s="17" t="str">
        <f>IF(($T54+$W54-$AB54)&gt;=$T54+8000,W54,"")</f>
        <v/>
      </c>
    </row>
    <row r="55" spans="1:31" x14ac:dyDescent="0.25">
      <c r="A55" s="15" t="s">
        <v>175</v>
      </c>
      <c r="B55" s="15" t="s">
        <v>176</v>
      </c>
      <c r="C55" s="15" t="s">
        <v>49</v>
      </c>
      <c r="D55" s="16">
        <v>0</v>
      </c>
      <c r="E55" s="17">
        <v>0</v>
      </c>
      <c r="F55" s="17">
        <v>26000</v>
      </c>
      <c r="G55" s="17">
        <v>4000</v>
      </c>
      <c r="H55" s="17">
        <v>1000</v>
      </c>
      <c r="I55" s="17">
        <v>0</v>
      </c>
      <c r="J55" s="17">
        <f>(1-$D55)*E55</f>
        <v>0</v>
      </c>
      <c r="K55" s="17">
        <f>(1-$D55)*F55</f>
        <v>26000</v>
      </c>
      <c r="L55" s="17">
        <f>G55</f>
        <v>4000</v>
      </c>
      <c r="M55" s="17">
        <f>(1-$D55)*H55</f>
        <v>1000</v>
      </c>
      <c r="N55" s="17">
        <f>(1-$D55)*I55</f>
        <v>0</v>
      </c>
      <c r="O55" s="17">
        <v>8040</v>
      </c>
      <c r="P55" s="17">
        <v>5300</v>
      </c>
      <c r="Q55" s="17">
        <v>16000</v>
      </c>
      <c r="R55" s="17">
        <v>8000</v>
      </c>
      <c r="S55" s="17">
        <v>7000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2000</v>
      </c>
      <c r="Z55" s="17">
        <f>SUM(J55:Y55)</f>
        <v>77340</v>
      </c>
      <c r="AA55" s="17">
        <v>0</v>
      </c>
      <c r="AB55" s="14">
        <f>Z55-AA55</f>
        <v>77340</v>
      </c>
      <c r="AC55" s="17" t="str">
        <f>IF(AND($T55=6000, ($T55+$W55-$AB55)&gt;=6000),T55,"")</f>
        <v/>
      </c>
      <c r="AD55" s="17" t="str">
        <f>IF(AND($T55=8000, ($T55+$W55-$AB55)&gt;=8000),T55,"")</f>
        <v/>
      </c>
      <c r="AE55" s="17" t="str">
        <f>IF(($T55+$W55-$AB55)&gt;=$T55+8000,W55,"")</f>
        <v/>
      </c>
    </row>
    <row r="56" spans="1:31" x14ac:dyDescent="0.25">
      <c r="A56" s="15" t="s">
        <v>213</v>
      </c>
      <c r="B56" s="15" t="s">
        <v>223</v>
      </c>
      <c r="C56" s="15" t="s">
        <v>49</v>
      </c>
      <c r="D56" s="16">
        <v>0.5</v>
      </c>
      <c r="E56" s="17">
        <v>0</v>
      </c>
      <c r="F56" s="17">
        <v>26000</v>
      </c>
      <c r="G56" s="17">
        <v>4000</v>
      </c>
      <c r="H56" s="17">
        <v>1000</v>
      </c>
      <c r="I56" s="17">
        <v>0</v>
      </c>
      <c r="J56" s="17">
        <f>(1-$D56)*E56</f>
        <v>0</v>
      </c>
      <c r="K56" s="17">
        <f>(1-$D56)*F56</f>
        <v>13000</v>
      </c>
      <c r="L56" s="17">
        <f>G56</f>
        <v>4000</v>
      </c>
      <c r="M56" s="17">
        <f>(1-$D56)*H56</f>
        <v>500</v>
      </c>
      <c r="N56" s="17">
        <f>(1-$D56)*I56</f>
        <v>0</v>
      </c>
      <c r="O56" s="17">
        <v>8040</v>
      </c>
      <c r="P56" s="17">
        <v>5300</v>
      </c>
      <c r="Q56" s="17">
        <v>16000</v>
      </c>
      <c r="R56" s="17">
        <v>8000</v>
      </c>
      <c r="S56" s="17">
        <v>7000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f>SUM(J56:Y56)</f>
        <v>61840</v>
      </c>
      <c r="AA56" s="17">
        <v>0</v>
      </c>
      <c r="AB56" s="14">
        <f>Z56-AA56</f>
        <v>61840</v>
      </c>
      <c r="AC56" s="17" t="str">
        <f>IF(AND($T56=6000, ($T56+$W56-$AB56)&gt;=6000),T56,"")</f>
        <v/>
      </c>
      <c r="AD56" s="17" t="str">
        <f>IF(AND($T56=8000, ($T56+$W56-$AB56)&gt;=8000),T56,"")</f>
        <v/>
      </c>
      <c r="AE56" s="17" t="str">
        <f>IF(($T56+$W56-$AB56)&gt;=$T56+8000,W56,"")</f>
        <v/>
      </c>
    </row>
    <row r="57" spans="1:31" x14ac:dyDescent="0.25">
      <c r="A57" s="15" t="s">
        <v>171</v>
      </c>
      <c r="B57" s="15" t="s">
        <v>172</v>
      </c>
      <c r="C57" s="15" t="s">
        <v>49</v>
      </c>
      <c r="D57" s="16">
        <v>0</v>
      </c>
      <c r="E57" s="17">
        <v>0</v>
      </c>
      <c r="F57" s="17">
        <v>26000</v>
      </c>
      <c r="G57" s="17">
        <v>4000</v>
      </c>
      <c r="H57" s="17">
        <v>1000</v>
      </c>
      <c r="I57" s="17">
        <v>0</v>
      </c>
      <c r="J57" s="17">
        <f>(1-$D57)*E57</f>
        <v>0</v>
      </c>
      <c r="K57" s="17">
        <f>(1-$D57)*F57</f>
        <v>26000</v>
      </c>
      <c r="L57" s="17">
        <f>G57</f>
        <v>4000</v>
      </c>
      <c r="M57" s="17">
        <f>(1-$D57)*H57</f>
        <v>1000</v>
      </c>
      <c r="N57" s="17">
        <f>(1-$D57)*I57</f>
        <v>0</v>
      </c>
      <c r="O57" s="17">
        <v>8040</v>
      </c>
      <c r="P57" s="17">
        <v>5300</v>
      </c>
      <c r="Q57" s="17">
        <v>16000</v>
      </c>
      <c r="R57" s="17">
        <v>8000</v>
      </c>
      <c r="S57" s="17">
        <v>7000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f>SUM(J57:Y57)</f>
        <v>75340</v>
      </c>
      <c r="AA57" s="17">
        <v>0</v>
      </c>
      <c r="AB57" s="14">
        <f>Z57-AA57</f>
        <v>75340</v>
      </c>
      <c r="AC57" s="17" t="str">
        <f>IF(AND($T57=6000, ($T57+$W57-$AB57)&gt;=6000),T57,"")</f>
        <v/>
      </c>
      <c r="AD57" s="17" t="str">
        <f>IF(AND($T57=8000, ($T57+$W57-$AB57)&gt;=8000),T57,"")</f>
        <v/>
      </c>
      <c r="AE57" s="17" t="str">
        <f>IF(($T57+$W57-$AB57)&gt;=$T57+8000,W57,"")</f>
        <v/>
      </c>
    </row>
    <row r="58" spans="1:31" x14ac:dyDescent="0.25">
      <c r="A58" s="15" t="s">
        <v>88</v>
      </c>
      <c r="B58" s="15" t="s">
        <v>219</v>
      </c>
      <c r="C58" s="15" t="s">
        <v>49</v>
      </c>
      <c r="D58" s="16">
        <v>0.25</v>
      </c>
      <c r="E58" s="17">
        <v>0</v>
      </c>
      <c r="F58" s="17">
        <v>26000</v>
      </c>
      <c r="G58" s="17">
        <v>4000</v>
      </c>
      <c r="H58" s="17">
        <v>1000</v>
      </c>
      <c r="I58" s="17">
        <v>0</v>
      </c>
      <c r="J58" s="17">
        <f>(1-$D58)*E58</f>
        <v>0</v>
      </c>
      <c r="K58" s="17">
        <f>(1-$D58)*F58</f>
        <v>19500</v>
      </c>
      <c r="L58" s="17">
        <f>G58</f>
        <v>4000</v>
      </c>
      <c r="M58" s="17">
        <f>(1-$D58)*H58</f>
        <v>750</v>
      </c>
      <c r="N58" s="17">
        <f>(1-$D58)*I58</f>
        <v>0</v>
      </c>
      <c r="O58" s="17">
        <v>8040</v>
      </c>
      <c r="P58" s="17">
        <v>5300</v>
      </c>
      <c r="Q58" s="17">
        <v>16000</v>
      </c>
      <c r="R58" s="17">
        <v>8000</v>
      </c>
      <c r="S58" s="17">
        <v>7000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-500</v>
      </c>
      <c r="Z58" s="17">
        <f>SUM(J58:Y58)</f>
        <v>68090</v>
      </c>
      <c r="AA58" s="17">
        <v>0</v>
      </c>
      <c r="AB58" s="14">
        <f>Z58-AA58</f>
        <v>68090</v>
      </c>
      <c r="AC58" s="17" t="str">
        <f>IF(AND($T58=6000, ($T58+$W58-$AB58)&gt;=6000),T58,"")</f>
        <v/>
      </c>
      <c r="AD58" s="17" t="str">
        <f>IF(AND($T58=8000, ($T58+$W58-$AB58)&gt;=8000),T58,"")</f>
        <v/>
      </c>
      <c r="AE58" s="17" t="str">
        <f>IF(($T58+$W58-$AB58)&gt;=$T58+8000,W58,"")</f>
        <v/>
      </c>
    </row>
    <row r="59" spans="1:31" x14ac:dyDescent="0.25">
      <c r="A59" s="15" t="s">
        <v>159</v>
      </c>
      <c r="B59" s="15" t="s">
        <v>215</v>
      </c>
      <c r="C59" s="15" t="s">
        <v>49</v>
      </c>
      <c r="D59" s="16">
        <v>0.25</v>
      </c>
      <c r="E59" s="17">
        <v>0</v>
      </c>
      <c r="F59" s="17">
        <v>26000</v>
      </c>
      <c r="G59" s="17">
        <v>4000</v>
      </c>
      <c r="H59" s="17">
        <v>1000</v>
      </c>
      <c r="I59" s="17">
        <v>0</v>
      </c>
      <c r="J59" s="17">
        <f>(1-$D59)*E59</f>
        <v>0</v>
      </c>
      <c r="K59" s="17">
        <f>(1-$D59)*F59</f>
        <v>19500</v>
      </c>
      <c r="L59" s="17">
        <f>G59</f>
        <v>4000</v>
      </c>
      <c r="M59" s="17">
        <f>(1-$D59)*H59</f>
        <v>750</v>
      </c>
      <c r="N59" s="17">
        <f>(1-$D59)*I59</f>
        <v>0</v>
      </c>
      <c r="O59" s="17">
        <v>8040</v>
      </c>
      <c r="P59" s="17">
        <v>5300</v>
      </c>
      <c r="Q59" s="17">
        <v>16000</v>
      </c>
      <c r="R59" s="17">
        <v>8000</v>
      </c>
      <c r="S59" s="17">
        <v>7000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f>SUM(J59:Y59)</f>
        <v>68590</v>
      </c>
      <c r="AA59" s="17">
        <v>0</v>
      </c>
      <c r="AB59" s="14">
        <f>Z59-AA59</f>
        <v>68590</v>
      </c>
      <c r="AC59" s="17" t="str">
        <f>IF(AND($T59=6000, ($T59+$W59-$AB59)&gt;=6000),T59,"")</f>
        <v/>
      </c>
      <c r="AD59" s="17" t="str">
        <f>IF(AND($T59=8000, ($T59+$W59-$AB59)&gt;=8000),T59,"")</f>
        <v/>
      </c>
      <c r="AE59" s="17" t="str">
        <f>IF(($T59+$W59-$AB59)&gt;=$T59+8000,W59,"")</f>
        <v/>
      </c>
    </row>
    <row r="60" spans="1:31" x14ac:dyDescent="0.25">
      <c r="A60" s="15" t="s">
        <v>207</v>
      </c>
      <c r="B60" s="15" t="s">
        <v>217</v>
      </c>
      <c r="C60" s="15" t="s">
        <v>49</v>
      </c>
      <c r="D60" s="16">
        <v>0.25</v>
      </c>
      <c r="E60" s="17">
        <v>0</v>
      </c>
      <c r="F60" s="17">
        <v>26000</v>
      </c>
      <c r="G60" s="17">
        <v>4000</v>
      </c>
      <c r="H60" s="17">
        <v>1000</v>
      </c>
      <c r="I60" s="17">
        <v>0</v>
      </c>
      <c r="J60" s="17">
        <f>(1-$D60)*E60</f>
        <v>0</v>
      </c>
      <c r="K60" s="17">
        <f>(1-$D60)*F60</f>
        <v>19500</v>
      </c>
      <c r="L60" s="17">
        <f>G60</f>
        <v>4000</v>
      </c>
      <c r="M60" s="17">
        <f>(1-$D60)*H60</f>
        <v>750</v>
      </c>
      <c r="N60" s="17">
        <f>(1-$D60)*I60</f>
        <v>0</v>
      </c>
      <c r="O60" s="17">
        <v>8040</v>
      </c>
      <c r="P60" s="17">
        <v>5300</v>
      </c>
      <c r="Q60" s="17">
        <v>16000</v>
      </c>
      <c r="R60" s="17">
        <v>8000</v>
      </c>
      <c r="S60" s="17">
        <v>7000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19200</v>
      </c>
      <c r="Z60" s="17">
        <f>SUM(J60:Y60)</f>
        <v>87790</v>
      </c>
      <c r="AA60" s="17">
        <v>0</v>
      </c>
      <c r="AB60" s="14">
        <f>Z60-AA60</f>
        <v>87790</v>
      </c>
      <c r="AC60" s="17" t="str">
        <f>IF(AND($T60=6000, ($T60+$W60-$AB60)&gt;=6000),T60,"")</f>
        <v/>
      </c>
      <c r="AD60" s="17" t="str">
        <f>IF(AND($T60=8000, ($T60+$W60-$AB60)&gt;=8000),T60,"")</f>
        <v/>
      </c>
      <c r="AE60" s="17" t="str">
        <f>IF(($T60+$W60-$AB60)&gt;=$T60+8000,W60,"")</f>
        <v/>
      </c>
    </row>
    <row r="61" spans="1:31" x14ac:dyDescent="0.25">
      <c r="A61" s="15" t="s">
        <v>207</v>
      </c>
      <c r="B61" s="15" t="s">
        <v>216</v>
      </c>
      <c r="C61" s="15" t="s">
        <v>49</v>
      </c>
      <c r="D61" s="16">
        <v>0.25</v>
      </c>
      <c r="E61" s="17">
        <v>0</v>
      </c>
      <c r="F61" s="17">
        <v>26000</v>
      </c>
      <c r="G61" s="17">
        <v>4000</v>
      </c>
      <c r="H61" s="17">
        <v>1000</v>
      </c>
      <c r="I61" s="17">
        <v>0</v>
      </c>
      <c r="J61" s="17">
        <f>(1-$D61)*E61</f>
        <v>0</v>
      </c>
      <c r="K61" s="17">
        <f>(1-$D61)*F61</f>
        <v>19500</v>
      </c>
      <c r="L61" s="17">
        <f>G61</f>
        <v>4000</v>
      </c>
      <c r="M61" s="17">
        <f>(1-$D61)*H61</f>
        <v>750</v>
      </c>
      <c r="N61" s="17">
        <f>(1-$D61)*I61</f>
        <v>0</v>
      </c>
      <c r="O61" s="17">
        <v>8040</v>
      </c>
      <c r="P61" s="17">
        <v>5300</v>
      </c>
      <c r="Q61" s="17">
        <v>16000</v>
      </c>
      <c r="R61" s="17">
        <v>8000</v>
      </c>
      <c r="S61" s="17">
        <v>7000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19200</v>
      </c>
      <c r="Z61" s="17">
        <f>SUM(J61:Y61)</f>
        <v>87790</v>
      </c>
      <c r="AA61" s="17">
        <v>0</v>
      </c>
      <c r="AB61" s="14">
        <f>Z61-AA61</f>
        <v>87790</v>
      </c>
      <c r="AC61" s="17" t="str">
        <f>IF(AND($T61=6000, ($T61+$W61-$AB61)&gt;=6000),T61,"")</f>
        <v/>
      </c>
      <c r="AD61" s="17" t="str">
        <f>IF(AND($T61=8000, ($T61+$W61-$AB61)&gt;=8000),T61,"")</f>
        <v/>
      </c>
      <c r="AE61" s="17" t="str">
        <f>IF(($T61+$W61-$AB61)&gt;=$T61+8000,W61,"")</f>
        <v/>
      </c>
    </row>
    <row r="62" spans="1:31" x14ac:dyDescent="0.25">
      <c r="A62" s="15" t="s">
        <v>98</v>
      </c>
      <c r="B62" s="15" t="s">
        <v>145</v>
      </c>
      <c r="C62" s="15" t="s">
        <v>49</v>
      </c>
      <c r="D62" s="16">
        <v>0.25</v>
      </c>
      <c r="E62" s="17">
        <v>0</v>
      </c>
      <c r="F62" s="17">
        <v>26000</v>
      </c>
      <c r="G62" s="17">
        <v>4000</v>
      </c>
      <c r="H62" s="17">
        <v>1000</v>
      </c>
      <c r="I62" s="17">
        <v>0</v>
      </c>
      <c r="J62" s="17">
        <f>(1-$D62)*E62</f>
        <v>0</v>
      </c>
      <c r="K62" s="17">
        <f>(1-$D62)*F62</f>
        <v>19500</v>
      </c>
      <c r="L62" s="17">
        <f>G62</f>
        <v>4000</v>
      </c>
      <c r="M62" s="17">
        <f>(1-$D62)*H62</f>
        <v>750</v>
      </c>
      <c r="N62" s="17">
        <f>(1-$D62)*I62</f>
        <v>0</v>
      </c>
      <c r="O62" s="17">
        <v>8040</v>
      </c>
      <c r="P62" s="17">
        <v>5300</v>
      </c>
      <c r="Q62" s="17">
        <v>16000</v>
      </c>
      <c r="R62" s="17">
        <v>8000</v>
      </c>
      <c r="S62" s="17">
        <v>7000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f>SUM(J62:Y62)</f>
        <v>68590</v>
      </c>
      <c r="AA62" s="17">
        <v>0</v>
      </c>
      <c r="AB62" s="14">
        <f>Z62-AA62</f>
        <v>68590</v>
      </c>
      <c r="AC62" s="17" t="str">
        <f>IF(AND($T62=6000, ($T62+$W62-$AB62)&gt;=6000),T62,"")</f>
        <v/>
      </c>
      <c r="AD62" s="17" t="str">
        <f>IF(AND($T62=8000, ($T62+$W62-$AB62)&gt;=8000),T62,"")</f>
        <v/>
      </c>
      <c r="AE62" s="17" t="str">
        <f>IF(($T62+$W62-$AB62)&gt;=$T62+8000,W62,"")</f>
        <v/>
      </c>
    </row>
    <row r="63" spans="1:31" x14ac:dyDescent="0.25">
      <c r="A63" s="15" t="s">
        <v>204</v>
      </c>
      <c r="B63" s="15" t="s">
        <v>205</v>
      </c>
      <c r="C63" s="15" t="s">
        <v>49</v>
      </c>
      <c r="D63" s="16">
        <v>0.25</v>
      </c>
      <c r="E63" s="17">
        <v>0</v>
      </c>
      <c r="F63" s="17">
        <v>26000</v>
      </c>
      <c r="G63" s="17">
        <v>4000</v>
      </c>
      <c r="H63" s="17">
        <v>1000</v>
      </c>
      <c r="I63" s="17">
        <v>0</v>
      </c>
      <c r="J63" s="17">
        <f>(1-$D63)*E63</f>
        <v>0</v>
      </c>
      <c r="K63" s="17">
        <f>(1-$D63)*F63</f>
        <v>19500</v>
      </c>
      <c r="L63" s="17">
        <f>G63</f>
        <v>4000</v>
      </c>
      <c r="M63" s="17">
        <f>(1-$D63)*H63</f>
        <v>750</v>
      </c>
      <c r="N63" s="17">
        <f>(1-$D63)*I63</f>
        <v>0</v>
      </c>
      <c r="O63" s="17">
        <v>8040</v>
      </c>
      <c r="P63" s="17">
        <v>5300</v>
      </c>
      <c r="Q63" s="17">
        <v>16000</v>
      </c>
      <c r="R63" s="17">
        <v>8000</v>
      </c>
      <c r="S63" s="17">
        <v>7000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3500</v>
      </c>
      <c r="Z63" s="17">
        <f>SUM(J63:Y63)</f>
        <v>72090</v>
      </c>
      <c r="AA63" s="17">
        <v>0</v>
      </c>
      <c r="AB63" s="14">
        <f>Z63-AA63</f>
        <v>72090</v>
      </c>
      <c r="AC63" s="17" t="str">
        <f>IF(AND($T63=6000, ($T63+$W63-$AB63)&gt;=6000),T63,"")</f>
        <v/>
      </c>
      <c r="AD63" s="17" t="str">
        <f>IF(AND($T63=8000, ($T63+$W63-$AB63)&gt;=8000),T63,"")</f>
        <v/>
      </c>
      <c r="AE63" s="17" t="str">
        <f>IF(($T63+$W63-$AB63)&gt;=$T63+8000,W63,"")</f>
        <v/>
      </c>
    </row>
    <row r="64" spans="1:31" x14ac:dyDescent="0.25">
      <c r="A64" s="15" t="s">
        <v>211</v>
      </c>
      <c r="B64" s="15" t="s">
        <v>212</v>
      </c>
      <c r="C64" s="15" t="s">
        <v>49</v>
      </c>
      <c r="D64" s="16">
        <v>0</v>
      </c>
      <c r="E64" s="17">
        <v>0</v>
      </c>
      <c r="F64" s="17">
        <v>26000</v>
      </c>
      <c r="G64" s="17">
        <v>4000</v>
      </c>
      <c r="H64" s="17">
        <v>1000</v>
      </c>
      <c r="I64" s="17">
        <v>0</v>
      </c>
      <c r="J64" s="17">
        <f>(1-$D64)*E64</f>
        <v>0</v>
      </c>
      <c r="K64" s="17">
        <f>(1-$D64)*F64</f>
        <v>26000</v>
      </c>
      <c r="L64" s="17">
        <f>G64</f>
        <v>4000</v>
      </c>
      <c r="M64" s="17">
        <f>(1-$D64)*H64</f>
        <v>1000</v>
      </c>
      <c r="N64" s="17">
        <f>(1-$D64)*I64</f>
        <v>0</v>
      </c>
      <c r="O64" s="17">
        <v>8040</v>
      </c>
      <c r="P64" s="17">
        <v>5300</v>
      </c>
      <c r="Q64" s="17">
        <v>16000</v>
      </c>
      <c r="R64" s="17">
        <v>8000</v>
      </c>
      <c r="S64" s="17">
        <v>7000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-10000</v>
      </c>
      <c r="Z64" s="17">
        <f>SUM(J64:Y64)</f>
        <v>65340</v>
      </c>
      <c r="AA64" s="17">
        <v>0</v>
      </c>
      <c r="AB64" s="14">
        <f>Z64-AA64</f>
        <v>65340</v>
      </c>
      <c r="AC64" s="17" t="str">
        <f>IF(AND($T64=6000, ($T64+$W64-$AB64)&gt;=6000),T64,"")</f>
        <v/>
      </c>
      <c r="AD64" s="17" t="str">
        <f>IF(AND($T64=8000, ($T64+$W64-$AB64)&gt;=8000),T64,"")</f>
        <v/>
      </c>
      <c r="AE64" s="17" t="str">
        <f>IF(($T64+$W64-$AB64)&gt;=$T64+8000,W64,"")</f>
        <v/>
      </c>
    </row>
    <row r="65" spans="1:31" x14ac:dyDescent="0.25">
      <c r="A65" s="15" t="s">
        <v>121</v>
      </c>
      <c r="B65" s="15" t="s">
        <v>243</v>
      </c>
      <c r="C65" s="15" t="s">
        <v>49</v>
      </c>
      <c r="D65" s="16">
        <v>0.25</v>
      </c>
      <c r="E65" s="17">
        <v>0</v>
      </c>
      <c r="F65" s="17">
        <v>26000</v>
      </c>
      <c r="G65" s="17">
        <v>4000</v>
      </c>
      <c r="H65" s="17">
        <v>1000</v>
      </c>
      <c r="I65" s="17">
        <v>0</v>
      </c>
      <c r="J65" s="17">
        <f>(1-$D65)*E65</f>
        <v>0</v>
      </c>
      <c r="K65" s="17">
        <f>(1-$D65)*F65</f>
        <v>19500</v>
      </c>
      <c r="L65" s="17">
        <f>G65</f>
        <v>4000</v>
      </c>
      <c r="M65" s="17">
        <f>(1-$D65)*H65</f>
        <v>750</v>
      </c>
      <c r="N65" s="17">
        <f>(1-$D65)*I65</f>
        <v>0</v>
      </c>
      <c r="O65" s="17">
        <v>8040</v>
      </c>
      <c r="P65" s="17">
        <v>5300</v>
      </c>
      <c r="Q65" s="17">
        <v>16000</v>
      </c>
      <c r="R65" s="17">
        <v>8000</v>
      </c>
      <c r="S65" s="17">
        <v>7000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f>SUM(J65:Y65)</f>
        <v>68590</v>
      </c>
      <c r="AA65" s="17">
        <v>0</v>
      </c>
      <c r="AB65" s="14">
        <f>Z65-AA65</f>
        <v>68590</v>
      </c>
      <c r="AC65" s="17" t="str">
        <f>IF(AND($T65=6000, ($T65+$W65-$AB65)&gt;=6000),T65,"")</f>
        <v/>
      </c>
      <c r="AD65" s="17" t="str">
        <f>IF(AND($T65=8000, ($T65+$W65-$AB65)&gt;=8000),T65,"")</f>
        <v/>
      </c>
      <c r="AE65" s="17" t="str">
        <f>IF(($T65+$W65-$AB65)&gt;=$T65+8000,W65,"")</f>
        <v/>
      </c>
    </row>
    <row r="66" spans="1:31" x14ac:dyDescent="0.25">
      <c r="A66" s="15" t="s">
        <v>220</v>
      </c>
      <c r="B66" s="15" t="s">
        <v>221</v>
      </c>
      <c r="C66" s="15" t="s">
        <v>49</v>
      </c>
      <c r="D66" s="16">
        <v>0</v>
      </c>
      <c r="E66" s="17">
        <v>0</v>
      </c>
      <c r="F66" s="17">
        <v>26000</v>
      </c>
      <c r="G66" s="17">
        <v>4000</v>
      </c>
      <c r="H66" s="17">
        <v>1000</v>
      </c>
      <c r="I66" s="17">
        <v>0</v>
      </c>
      <c r="J66" s="17">
        <f>(1-$D66)*E66</f>
        <v>0</v>
      </c>
      <c r="K66" s="17">
        <f>(1-$D66)*F66</f>
        <v>26000</v>
      </c>
      <c r="L66" s="17">
        <f>G66</f>
        <v>4000</v>
      </c>
      <c r="M66" s="17">
        <f>(1-$D66)*H66</f>
        <v>1000</v>
      </c>
      <c r="N66" s="17">
        <f>(1-$D66)*I66</f>
        <v>0</v>
      </c>
      <c r="O66" s="17">
        <v>8040</v>
      </c>
      <c r="P66" s="17">
        <v>5300</v>
      </c>
      <c r="Q66" s="17">
        <v>16000</v>
      </c>
      <c r="R66" s="17">
        <v>8000</v>
      </c>
      <c r="S66" s="17">
        <v>7000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1000</v>
      </c>
      <c r="Z66" s="17">
        <f>SUM(J66:Y66)</f>
        <v>76340</v>
      </c>
      <c r="AA66" s="17">
        <v>0</v>
      </c>
      <c r="AB66" s="14">
        <f>Z66-AA66</f>
        <v>76340</v>
      </c>
      <c r="AC66" s="17" t="str">
        <f>IF(AND($T66=6000, ($T66+$W66-$AB66)&gt;=6000),T66,"")</f>
        <v/>
      </c>
      <c r="AD66" s="17" t="str">
        <f>IF(AND($T66=8000, ($T66+$W66-$AB66)&gt;=8000),T66,"")</f>
        <v/>
      </c>
      <c r="AE66" s="17" t="str">
        <f>IF(($T66+$W66-$AB66)&gt;=$T66+8000,W66,"")</f>
        <v/>
      </c>
    </row>
    <row r="67" spans="1:31" x14ac:dyDescent="0.25">
      <c r="A67" s="15" t="s">
        <v>135</v>
      </c>
      <c r="B67" s="15" t="s">
        <v>218</v>
      </c>
      <c r="C67" s="15" t="s">
        <v>49</v>
      </c>
      <c r="D67" s="16">
        <v>0.25</v>
      </c>
      <c r="E67" s="17">
        <v>0</v>
      </c>
      <c r="F67" s="17">
        <v>26000</v>
      </c>
      <c r="G67" s="17">
        <v>4000</v>
      </c>
      <c r="H67" s="17">
        <v>1000</v>
      </c>
      <c r="I67" s="17">
        <v>0</v>
      </c>
      <c r="J67" s="17">
        <f>(1-$D67)*E67</f>
        <v>0</v>
      </c>
      <c r="K67" s="17">
        <f>(1-$D67)*F67</f>
        <v>19500</v>
      </c>
      <c r="L67" s="17">
        <f>G67</f>
        <v>4000</v>
      </c>
      <c r="M67" s="17">
        <f>(1-$D67)*H67</f>
        <v>750</v>
      </c>
      <c r="N67" s="17">
        <f>(1-$D67)*I67</f>
        <v>0</v>
      </c>
      <c r="O67" s="17">
        <v>8040</v>
      </c>
      <c r="P67" s="17">
        <v>5300</v>
      </c>
      <c r="Q67" s="17">
        <v>16000</v>
      </c>
      <c r="R67" s="17">
        <v>8000</v>
      </c>
      <c r="S67" s="17">
        <v>7000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f>SUM(J67:Y67)</f>
        <v>68590</v>
      </c>
      <c r="AA67" s="17">
        <v>0</v>
      </c>
      <c r="AB67" s="14">
        <f>Z67-AA67</f>
        <v>68590</v>
      </c>
      <c r="AC67" s="17" t="str">
        <f>IF(AND($T67=6000, ($T67+$W67-$AB67)&gt;=6000),T67,"")</f>
        <v/>
      </c>
      <c r="AD67" s="17" t="str">
        <f>IF(AND($T67=8000, ($T67+$W67-$AB67)&gt;=8000),T67,"")</f>
        <v/>
      </c>
      <c r="AE67" s="17" t="str">
        <f>IF(($T67+$W67-$AB67)&gt;=$T67+8000,W67,"")</f>
        <v/>
      </c>
    </row>
    <row r="68" spans="1:31" x14ac:dyDescent="0.25">
      <c r="A68" s="15" t="s">
        <v>28</v>
      </c>
      <c r="B68" s="15" t="s">
        <v>233</v>
      </c>
      <c r="C68" s="15" t="s">
        <v>30</v>
      </c>
      <c r="D68" s="16">
        <v>0.25</v>
      </c>
      <c r="E68" s="17">
        <v>0</v>
      </c>
      <c r="F68" s="17">
        <v>26000</v>
      </c>
      <c r="G68" s="17">
        <v>4000</v>
      </c>
      <c r="H68" s="17">
        <v>0</v>
      </c>
      <c r="I68" s="17">
        <v>0</v>
      </c>
      <c r="J68" s="17">
        <f>(1-$D68)*E68</f>
        <v>0</v>
      </c>
      <c r="K68" s="17">
        <f>(1-$D68)*F68</f>
        <v>19500</v>
      </c>
      <c r="L68" s="17">
        <f>G68</f>
        <v>4000</v>
      </c>
      <c r="M68" s="17">
        <f>(1-$D68)*H68</f>
        <v>0</v>
      </c>
      <c r="N68" s="17">
        <f>(1-$D68)*I68</f>
        <v>0</v>
      </c>
      <c r="O68" s="17">
        <v>12240</v>
      </c>
      <c r="P68" s="17">
        <v>7550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f>SUM(J68:Y68)</f>
        <v>43290</v>
      </c>
      <c r="AA68" s="17">
        <v>0</v>
      </c>
      <c r="AB68" s="14">
        <f>Z68-AA68</f>
        <v>43290</v>
      </c>
      <c r="AC68" s="17" t="str">
        <f>IF(AND($T68=6000, ($T68+$W68-$AB68)&gt;=6000),T68,"")</f>
        <v/>
      </c>
      <c r="AD68" s="17" t="str">
        <f>IF(AND($T68=8000, ($T68+$W68-$AB68)&gt;=8000),T68,"")</f>
        <v/>
      </c>
      <c r="AE68" s="17" t="str">
        <f>IF(($T68+$W68-$AB68)&gt;=$T68+8000,W68,"")</f>
        <v/>
      </c>
    </row>
    <row r="69" spans="1:31" x14ac:dyDescent="0.25">
      <c r="A69" s="15" t="s">
        <v>182</v>
      </c>
      <c r="B69" s="15" t="s">
        <v>183</v>
      </c>
      <c r="C69" s="15" t="s">
        <v>30</v>
      </c>
      <c r="D69" s="16">
        <v>0.25</v>
      </c>
      <c r="E69" s="17">
        <v>0</v>
      </c>
      <c r="F69" s="17">
        <v>26000</v>
      </c>
      <c r="G69" s="17">
        <v>4000</v>
      </c>
      <c r="H69" s="17">
        <v>0</v>
      </c>
      <c r="I69" s="17">
        <v>0</v>
      </c>
      <c r="J69" s="17">
        <f>(1-$D69)*E69</f>
        <v>0</v>
      </c>
      <c r="K69" s="17">
        <f>(1-$D69)*F69</f>
        <v>19500</v>
      </c>
      <c r="L69" s="17">
        <f>G69</f>
        <v>4000</v>
      </c>
      <c r="M69" s="17">
        <f>(1-$D69)*H69</f>
        <v>0</v>
      </c>
      <c r="N69" s="17">
        <f>(1-$D69)*I69</f>
        <v>0</v>
      </c>
      <c r="O69" s="17">
        <v>12240</v>
      </c>
      <c r="P69" s="17">
        <v>7550</v>
      </c>
      <c r="Q69" s="17">
        <v>0</v>
      </c>
      <c r="R69" s="17">
        <v>0</v>
      </c>
      <c r="S69" s="17">
        <v>0</v>
      </c>
      <c r="T69" s="17">
        <v>6000</v>
      </c>
      <c r="U69" s="17">
        <v>0</v>
      </c>
      <c r="V69" s="17">
        <v>0</v>
      </c>
      <c r="W69" s="17">
        <v>0</v>
      </c>
      <c r="X69" s="17">
        <v>0</v>
      </c>
      <c r="Y69" s="17">
        <v>-90</v>
      </c>
      <c r="Z69" s="17">
        <f>SUM(J69:Y69)</f>
        <v>49200</v>
      </c>
      <c r="AA69" s="17">
        <v>0</v>
      </c>
      <c r="AB69" s="14">
        <f>Z69-AA69</f>
        <v>49200</v>
      </c>
      <c r="AC69" s="17" t="str">
        <f>IF(AND($T69=6000, ($T69+$W69-$AB69)&gt;=6000),T69,"")</f>
        <v/>
      </c>
      <c r="AD69" s="17" t="str">
        <f>IF(AND($T69=8000, ($T69+$W69-$AB69)&gt;=8000),T69,"")</f>
        <v/>
      </c>
      <c r="AE69" s="17" t="str">
        <f>IF(($T69+$W69-$AB69)&gt;=$T69+8000,W69,"")</f>
        <v/>
      </c>
    </row>
    <row r="70" spans="1:31" x14ac:dyDescent="0.25">
      <c r="A70" s="15" t="s">
        <v>182</v>
      </c>
      <c r="B70" s="15" t="s">
        <v>208</v>
      </c>
      <c r="C70" s="15" t="s">
        <v>30</v>
      </c>
      <c r="D70" s="16">
        <v>0.25</v>
      </c>
      <c r="E70" s="17">
        <v>0</v>
      </c>
      <c r="F70" s="17">
        <v>26000</v>
      </c>
      <c r="G70" s="17">
        <v>4000</v>
      </c>
      <c r="H70" s="17">
        <v>0</v>
      </c>
      <c r="I70" s="17">
        <v>0</v>
      </c>
      <c r="J70" s="17">
        <f>(1-$D70)*E70</f>
        <v>0</v>
      </c>
      <c r="K70" s="17">
        <f>(1-$D70)*F70</f>
        <v>19500</v>
      </c>
      <c r="L70" s="17">
        <f>G70</f>
        <v>4000</v>
      </c>
      <c r="M70" s="17">
        <f>(1-$D70)*H70</f>
        <v>0</v>
      </c>
      <c r="N70" s="17">
        <f>(1-$D70)*I70</f>
        <v>0</v>
      </c>
      <c r="O70" s="17">
        <v>12240</v>
      </c>
      <c r="P70" s="17">
        <v>7550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f>SUM(J70:Y70)</f>
        <v>43290</v>
      </c>
      <c r="AA70" s="17">
        <v>0</v>
      </c>
      <c r="AB70" s="14">
        <f>Z70-AA70</f>
        <v>43290</v>
      </c>
      <c r="AC70" s="17" t="str">
        <f>IF(AND($T70=6000, ($T70+$W70-$AB70)&gt;=6000),T70,"")</f>
        <v/>
      </c>
      <c r="AD70" s="17" t="str">
        <f>IF(AND($T70=8000, ($T70+$W70-$AB70)&gt;=8000),T70,"")</f>
        <v/>
      </c>
      <c r="AE70" s="17" t="str">
        <f>IF(($T70+$W70-$AB70)&gt;=$T70+8000,W70,"")</f>
        <v/>
      </c>
    </row>
    <row r="71" spans="1:31" x14ac:dyDescent="0.25">
      <c r="A71" s="15" t="s">
        <v>42</v>
      </c>
      <c r="B71" s="15" t="s">
        <v>141</v>
      </c>
      <c r="C71" s="15" t="s">
        <v>30</v>
      </c>
      <c r="D71" s="16">
        <v>0.25</v>
      </c>
      <c r="E71" s="17">
        <v>0</v>
      </c>
      <c r="F71" s="17">
        <v>26000</v>
      </c>
      <c r="G71" s="17">
        <v>4000</v>
      </c>
      <c r="H71" s="17">
        <v>0</v>
      </c>
      <c r="I71" s="17">
        <v>0</v>
      </c>
      <c r="J71" s="17">
        <f>(1-$D71)*E71</f>
        <v>0</v>
      </c>
      <c r="K71" s="17">
        <f>(1-$D71)*F71</f>
        <v>19500</v>
      </c>
      <c r="L71" s="17">
        <f>G71</f>
        <v>4000</v>
      </c>
      <c r="M71" s="17">
        <f>(1-$D71)*H71</f>
        <v>0</v>
      </c>
      <c r="N71" s="17">
        <f>(1-$D71)*I71</f>
        <v>0</v>
      </c>
      <c r="O71" s="17">
        <v>12240</v>
      </c>
      <c r="P71" s="17">
        <v>7550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f>SUM(J71:Y71)</f>
        <v>43290</v>
      </c>
      <c r="AA71" s="17">
        <v>0</v>
      </c>
      <c r="AB71" s="14">
        <f>Z71-AA71</f>
        <v>43290</v>
      </c>
      <c r="AC71" s="17" t="str">
        <f>IF(AND($T71=6000, ($T71+$W71-$AB71)&gt;=6000),T71,"")</f>
        <v/>
      </c>
      <c r="AD71" s="17" t="str">
        <f>IF(AND($T71=8000, ($T71+$W71-$AB71)&gt;=8000),T71,"")</f>
        <v/>
      </c>
      <c r="AE71" s="17" t="str">
        <f>IF(($T71+$W71-$AB71)&gt;=$T71+8000,W71,"")</f>
        <v/>
      </c>
    </row>
    <row r="72" spans="1:31" x14ac:dyDescent="0.25">
      <c r="A72" s="15" t="s">
        <v>57</v>
      </c>
      <c r="B72" s="15" t="s">
        <v>142</v>
      </c>
      <c r="C72" s="15" t="s">
        <v>30</v>
      </c>
      <c r="D72" s="16">
        <v>0</v>
      </c>
      <c r="E72" s="17">
        <v>0</v>
      </c>
      <c r="F72" s="17">
        <v>26000</v>
      </c>
      <c r="G72" s="17">
        <v>4000</v>
      </c>
      <c r="H72" s="17">
        <v>0</v>
      </c>
      <c r="I72" s="17">
        <v>0</v>
      </c>
      <c r="J72" s="17">
        <f>(1-$D72)*E72</f>
        <v>0</v>
      </c>
      <c r="K72" s="17">
        <f>(1-$D72)*F72</f>
        <v>26000</v>
      </c>
      <c r="L72" s="17">
        <f>G72</f>
        <v>4000</v>
      </c>
      <c r="M72" s="17">
        <f>(1-$D72)*H72</f>
        <v>0</v>
      </c>
      <c r="N72" s="17">
        <f>(1-$D72)*I72</f>
        <v>0</v>
      </c>
      <c r="O72" s="17">
        <v>12240</v>
      </c>
      <c r="P72" s="17">
        <v>7550</v>
      </c>
      <c r="Q72" s="17">
        <v>0</v>
      </c>
      <c r="R72" s="17">
        <v>0</v>
      </c>
      <c r="S72" s="17">
        <v>0</v>
      </c>
      <c r="T72" s="17">
        <v>6000</v>
      </c>
      <c r="U72" s="17">
        <v>0</v>
      </c>
      <c r="V72" s="17">
        <v>0</v>
      </c>
      <c r="W72" s="17">
        <v>0</v>
      </c>
      <c r="X72" s="17">
        <v>0</v>
      </c>
      <c r="Y72" s="17">
        <v>-400</v>
      </c>
      <c r="Z72" s="17">
        <f>SUM(J72:Y72)</f>
        <v>55390</v>
      </c>
      <c r="AA72" s="17">
        <v>0</v>
      </c>
      <c r="AB72" s="14">
        <f>Z72-AA72</f>
        <v>55390</v>
      </c>
      <c r="AC72" s="17" t="str">
        <f>IF(AND($T72=6000, ($T72+$W72-$AB72)&gt;=6000),T72,"")</f>
        <v/>
      </c>
      <c r="AD72" s="17" t="str">
        <f>IF(AND($T72=8000, ($T72+$W72-$AB72)&gt;=8000),T72,"")</f>
        <v/>
      </c>
      <c r="AE72" s="17" t="str">
        <f>IF(($T72+$W72-$AB72)&gt;=$T72+8000,W72,"")</f>
        <v/>
      </c>
    </row>
    <row r="73" spans="1:31" x14ac:dyDescent="0.25">
      <c r="A73" s="15" t="s">
        <v>38</v>
      </c>
      <c r="B73" s="15" t="s">
        <v>202</v>
      </c>
      <c r="C73" s="15" t="s">
        <v>30</v>
      </c>
      <c r="D73" s="16">
        <v>0</v>
      </c>
      <c r="E73" s="17">
        <v>0</v>
      </c>
      <c r="F73" s="17">
        <v>26000</v>
      </c>
      <c r="G73" s="17">
        <v>4000</v>
      </c>
      <c r="H73" s="17">
        <v>0</v>
      </c>
      <c r="I73" s="17">
        <v>0</v>
      </c>
      <c r="J73" s="17">
        <f>(1-$D73)*E73</f>
        <v>0</v>
      </c>
      <c r="K73" s="17">
        <f>(1-$D73)*F73</f>
        <v>26000</v>
      </c>
      <c r="L73" s="17">
        <f>G73</f>
        <v>4000</v>
      </c>
      <c r="M73" s="17">
        <f>(1-$D73)*H73</f>
        <v>0</v>
      </c>
      <c r="N73" s="17">
        <f>(1-$D73)*I73</f>
        <v>0</v>
      </c>
      <c r="O73" s="17">
        <v>12240</v>
      </c>
      <c r="P73" s="17">
        <v>7550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11000</v>
      </c>
      <c r="Z73" s="17">
        <f>SUM(J73:Y73)</f>
        <v>60790</v>
      </c>
      <c r="AA73" s="17">
        <v>0</v>
      </c>
      <c r="AB73" s="14">
        <f>Z73-AA73</f>
        <v>60790</v>
      </c>
      <c r="AC73" s="17" t="str">
        <f>IF(AND($T73=6000, ($T73+$W73-$AB73)&gt;=6000),T73,"")</f>
        <v/>
      </c>
      <c r="AD73" s="17" t="str">
        <f>IF(AND($T73=8000, ($T73+$W73-$AB73)&gt;=8000),T73,"")</f>
        <v/>
      </c>
      <c r="AE73" s="17" t="str">
        <f>IF(($T73+$W73-$AB73)&gt;=$T73+8000,W73,"")</f>
        <v/>
      </c>
    </row>
    <row r="74" spans="1:31" x14ac:dyDescent="0.25">
      <c r="A74" s="15" t="s">
        <v>153</v>
      </c>
      <c r="B74" s="15" t="s">
        <v>154</v>
      </c>
      <c r="C74" s="15" t="s">
        <v>30</v>
      </c>
      <c r="D74" s="16">
        <v>0</v>
      </c>
      <c r="E74" s="17">
        <v>0</v>
      </c>
      <c r="F74" s="17">
        <v>26000</v>
      </c>
      <c r="G74" s="17">
        <v>4000</v>
      </c>
      <c r="H74" s="17">
        <v>0</v>
      </c>
      <c r="I74" s="17">
        <v>0</v>
      </c>
      <c r="J74" s="17">
        <f>(1-$D74)*E74</f>
        <v>0</v>
      </c>
      <c r="K74" s="17">
        <f>(1-$D74)*F74</f>
        <v>26000</v>
      </c>
      <c r="L74" s="17">
        <f>G74</f>
        <v>4000</v>
      </c>
      <c r="M74" s="17">
        <f>(1-$D74)*H74</f>
        <v>0</v>
      </c>
      <c r="N74" s="17">
        <f>(1-$D74)*I74</f>
        <v>0</v>
      </c>
      <c r="O74" s="17">
        <v>12240</v>
      </c>
      <c r="P74" s="17">
        <v>7550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f>SUM(J74:Y74)</f>
        <v>49790</v>
      </c>
      <c r="AA74" s="17">
        <v>0</v>
      </c>
      <c r="AB74" s="14">
        <f>Z74-AA74</f>
        <v>49790</v>
      </c>
      <c r="AC74" s="17" t="str">
        <f>IF(AND($T74=6000, ($T74+$W74-$AB74)&gt;=6000),T74,"")</f>
        <v/>
      </c>
      <c r="AD74" s="17" t="str">
        <f>IF(AND($T74=8000, ($T74+$W74-$AB74)&gt;=8000),T74,"")</f>
        <v/>
      </c>
      <c r="AE74" s="17" t="str">
        <f>IF(($T74+$W74-$AB74)&gt;=$T74+8000,W74,"")</f>
        <v/>
      </c>
    </row>
    <row r="75" spans="1:31" x14ac:dyDescent="0.25">
      <c r="A75" s="15" t="s">
        <v>109</v>
      </c>
      <c r="B75" s="15" t="s">
        <v>164</v>
      </c>
      <c r="C75" s="15" t="s">
        <v>30</v>
      </c>
      <c r="D75" s="16">
        <v>0.25</v>
      </c>
      <c r="E75" s="17">
        <v>0</v>
      </c>
      <c r="F75" s="17">
        <v>26000</v>
      </c>
      <c r="G75" s="17">
        <v>4000</v>
      </c>
      <c r="H75" s="17">
        <v>0</v>
      </c>
      <c r="I75" s="17">
        <v>0</v>
      </c>
      <c r="J75" s="17">
        <f>(1-$D75)*E75</f>
        <v>0</v>
      </c>
      <c r="K75" s="17">
        <f>(1-$D75)*F75</f>
        <v>19500</v>
      </c>
      <c r="L75" s="17">
        <f>G75</f>
        <v>4000</v>
      </c>
      <c r="M75" s="17">
        <f>(1-$D75)*H75</f>
        <v>0</v>
      </c>
      <c r="N75" s="17">
        <f>(1-$D75)*I75</f>
        <v>0</v>
      </c>
      <c r="O75" s="17">
        <v>12240</v>
      </c>
      <c r="P75" s="17">
        <v>7550</v>
      </c>
      <c r="Q75" s="17">
        <v>0</v>
      </c>
      <c r="R75" s="17">
        <v>0</v>
      </c>
      <c r="S75" s="17">
        <v>0</v>
      </c>
      <c r="T75" s="17">
        <v>6000</v>
      </c>
      <c r="U75" s="17">
        <v>0</v>
      </c>
      <c r="V75" s="17">
        <v>0</v>
      </c>
      <c r="W75" s="17">
        <v>0</v>
      </c>
      <c r="X75" s="17">
        <v>0</v>
      </c>
      <c r="Y75" s="17">
        <v>65</v>
      </c>
      <c r="Z75" s="17">
        <f>SUM(J75:Y75)</f>
        <v>49355</v>
      </c>
      <c r="AA75" s="17">
        <v>0</v>
      </c>
      <c r="AB75" s="14">
        <f>Z75-AA75</f>
        <v>49355</v>
      </c>
      <c r="AC75" s="17" t="str">
        <f>IF(AND($T75=6000, ($T75+$W75-$AB75)&gt;=6000),T75,"")</f>
        <v/>
      </c>
      <c r="AD75" s="17" t="str">
        <f>IF(AND($T75=8000, ($T75+$W75-$AB75)&gt;=8000),T75,"")</f>
        <v/>
      </c>
      <c r="AE75" s="17" t="str">
        <f>IF(($T75+$W75-$AB75)&gt;=$T75+8000,W75,"")</f>
        <v/>
      </c>
    </row>
    <row r="76" spans="1:31" x14ac:dyDescent="0.25">
      <c r="A76" s="15" t="s">
        <v>184</v>
      </c>
      <c r="B76" s="15" t="s">
        <v>189</v>
      </c>
      <c r="C76" s="15" t="s">
        <v>30</v>
      </c>
      <c r="D76" s="16">
        <v>0.25</v>
      </c>
      <c r="E76" s="17">
        <v>0</v>
      </c>
      <c r="F76" s="17">
        <v>26000</v>
      </c>
      <c r="G76" s="17">
        <v>4000</v>
      </c>
      <c r="H76" s="17">
        <v>0</v>
      </c>
      <c r="I76" s="17">
        <v>0</v>
      </c>
      <c r="J76" s="17">
        <f>(1-$D76)*E76</f>
        <v>0</v>
      </c>
      <c r="K76" s="17">
        <f>(1-$D76)*F76</f>
        <v>19500</v>
      </c>
      <c r="L76" s="17">
        <f>G76</f>
        <v>4000</v>
      </c>
      <c r="M76" s="17">
        <f>(1-$D76)*H76</f>
        <v>0</v>
      </c>
      <c r="N76" s="17">
        <f>(1-$D76)*I76</f>
        <v>0</v>
      </c>
      <c r="O76" s="17">
        <v>12240</v>
      </c>
      <c r="P76" s="17">
        <v>7550</v>
      </c>
      <c r="Q76" s="17">
        <v>0</v>
      </c>
      <c r="R76" s="17">
        <v>0</v>
      </c>
      <c r="S76" s="17">
        <v>0</v>
      </c>
      <c r="T76" s="17">
        <v>6000</v>
      </c>
      <c r="U76" s="17">
        <v>0</v>
      </c>
      <c r="V76" s="17">
        <v>0</v>
      </c>
      <c r="W76" s="17">
        <v>0</v>
      </c>
      <c r="X76" s="17">
        <v>0</v>
      </c>
      <c r="Y76" s="17">
        <v>1250</v>
      </c>
      <c r="Z76" s="17">
        <f>SUM(J76:Y76)</f>
        <v>50540</v>
      </c>
      <c r="AA76" s="17">
        <v>0</v>
      </c>
      <c r="AB76" s="14">
        <f>Z76-AA76</f>
        <v>50540</v>
      </c>
      <c r="AC76" s="17" t="str">
        <f>IF(AND($T76=6000, ($T76+$W76-$AB76)&gt;=6000),T76,"")</f>
        <v/>
      </c>
      <c r="AD76" s="17" t="str">
        <f>IF(AND($T76=8000, ($T76+$W76-$AB76)&gt;=8000),T76,"")</f>
        <v/>
      </c>
      <c r="AE76" s="17" t="str">
        <f>IF(($T76+$W76-$AB76)&gt;=$T76+8000,W76,"")</f>
        <v/>
      </c>
    </row>
    <row r="77" spans="1:31" x14ac:dyDescent="0.25">
      <c r="A77" s="15" t="s">
        <v>135</v>
      </c>
      <c r="B77" s="15" t="s">
        <v>136</v>
      </c>
      <c r="C77" s="15" t="s">
        <v>30</v>
      </c>
      <c r="D77" s="16">
        <v>0.25</v>
      </c>
      <c r="E77" s="17">
        <v>0</v>
      </c>
      <c r="F77" s="17">
        <v>26000</v>
      </c>
      <c r="G77" s="17">
        <v>4000</v>
      </c>
      <c r="H77" s="17">
        <v>0</v>
      </c>
      <c r="I77" s="17">
        <v>0</v>
      </c>
      <c r="J77" s="17">
        <f>(1-$D77)*E77</f>
        <v>0</v>
      </c>
      <c r="K77" s="17">
        <f>(1-$D77)*F77</f>
        <v>19500</v>
      </c>
      <c r="L77" s="17">
        <f>G77</f>
        <v>4000</v>
      </c>
      <c r="M77" s="17">
        <f>(1-$D77)*H77</f>
        <v>0</v>
      </c>
      <c r="N77" s="17">
        <f>(1-$D77)*I77</f>
        <v>0</v>
      </c>
      <c r="O77" s="17">
        <v>12240</v>
      </c>
      <c r="P77" s="17">
        <v>7550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f>SUM(J77:Y77)</f>
        <v>43290</v>
      </c>
      <c r="AA77" s="17">
        <v>0</v>
      </c>
      <c r="AB77" s="14">
        <f>Z77-AA77</f>
        <v>43290</v>
      </c>
      <c r="AC77" s="17" t="str">
        <f>IF(AND($T77=6000, ($T77+$W77-$AB77)&gt;=6000),T77,"")</f>
        <v/>
      </c>
      <c r="AD77" s="17" t="str">
        <f>IF(AND($T77=8000, ($T77+$W77-$AB77)&gt;=8000),T77,"")</f>
        <v/>
      </c>
      <c r="AE77" s="17" t="str">
        <f>IF(($T77+$W77-$AB77)&gt;=$T77+8000,W77,"")</f>
        <v/>
      </c>
    </row>
    <row r="78" spans="1:31" x14ac:dyDescent="0.25">
      <c r="A78" s="15" t="s">
        <v>42</v>
      </c>
      <c r="B78" s="15" t="s">
        <v>43</v>
      </c>
      <c r="C78" s="15" t="s">
        <v>33</v>
      </c>
      <c r="D78" s="16">
        <v>0.25</v>
      </c>
      <c r="E78" s="17">
        <v>0</v>
      </c>
      <c r="F78" s="17">
        <v>28000</v>
      </c>
      <c r="G78" s="17">
        <v>4000</v>
      </c>
      <c r="H78" s="17">
        <v>0</v>
      </c>
      <c r="I78" s="17">
        <v>5000</v>
      </c>
      <c r="J78" s="17">
        <f>(1-$D78)*E78</f>
        <v>0</v>
      </c>
      <c r="K78" s="17">
        <f>(1-$D78)*F78</f>
        <v>21000</v>
      </c>
      <c r="L78" s="17">
        <f>G78</f>
        <v>4000</v>
      </c>
      <c r="M78" s="17">
        <f>(1-$D78)*H78</f>
        <v>0</v>
      </c>
      <c r="N78" s="17">
        <f>(1-$D78)*I78</f>
        <v>3750</v>
      </c>
      <c r="O78" s="17">
        <v>25890</v>
      </c>
      <c r="P78" s="17">
        <v>11330</v>
      </c>
      <c r="Q78" s="17">
        <v>0</v>
      </c>
      <c r="R78" s="17">
        <v>0</v>
      </c>
      <c r="S78" s="17">
        <v>0</v>
      </c>
      <c r="T78" s="17">
        <v>6000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f>SUM(J78:Y78)</f>
        <v>71970</v>
      </c>
      <c r="AA78" s="17">
        <v>0</v>
      </c>
      <c r="AB78" s="14">
        <f>Z78-AA78</f>
        <v>71970</v>
      </c>
      <c r="AC78" s="17" t="str">
        <f>IF(AND($T78=6000, ($T78+$W78-$AB78)&gt;=6000),T78,"")</f>
        <v/>
      </c>
      <c r="AD78" s="17" t="str">
        <f>IF(AND($T78=8000, ($T78+$W78-$AB78)&gt;=8000),T78,"")</f>
        <v/>
      </c>
      <c r="AE78" s="17" t="str">
        <f>IF(($T78+$W78-$AB78)&gt;=$T78+8000,W78,"")</f>
        <v/>
      </c>
    </row>
    <row r="79" spans="1:31" x14ac:dyDescent="0.25">
      <c r="A79" s="15" t="s">
        <v>78</v>
      </c>
      <c r="B79" s="15" t="s">
        <v>79</v>
      </c>
      <c r="C79" s="15" t="s">
        <v>33</v>
      </c>
      <c r="D79" s="16">
        <v>0</v>
      </c>
      <c r="E79" s="17">
        <v>0</v>
      </c>
      <c r="F79" s="17">
        <v>28000</v>
      </c>
      <c r="G79" s="17">
        <v>4000</v>
      </c>
      <c r="H79" s="17">
        <v>0</v>
      </c>
      <c r="I79" s="17">
        <v>5000</v>
      </c>
      <c r="J79" s="17">
        <f>(1-$D79)*E79</f>
        <v>0</v>
      </c>
      <c r="K79" s="17">
        <f>(1-$D79)*F79</f>
        <v>28000</v>
      </c>
      <c r="L79" s="17">
        <f>G79</f>
        <v>4000</v>
      </c>
      <c r="M79" s="17">
        <f>(1-$D79)*H79</f>
        <v>0</v>
      </c>
      <c r="N79" s="17">
        <f>(1-$D79)*I79</f>
        <v>5000</v>
      </c>
      <c r="O79" s="17">
        <v>25890</v>
      </c>
      <c r="P79" s="17">
        <v>11330</v>
      </c>
      <c r="Q79" s="17">
        <v>0</v>
      </c>
      <c r="R79" s="17">
        <v>0</v>
      </c>
      <c r="S79" s="17">
        <v>0</v>
      </c>
      <c r="T79" s="17">
        <v>6000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f>SUM(J79:Y79)</f>
        <v>80220</v>
      </c>
      <c r="AA79" s="17">
        <v>0</v>
      </c>
      <c r="AB79" s="14">
        <f>Z79-AA79</f>
        <v>80220</v>
      </c>
      <c r="AC79" s="17" t="str">
        <f>IF(AND($T79=6000, ($T79+$W79-$AB79)&gt;=6000),T79,"")</f>
        <v/>
      </c>
      <c r="AD79" s="17" t="str">
        <f>IF(AND($T79=8000, ($T79+$W79-$AB79)&gt;=8000),T79,"")</f>
        <v/>
      </c>
      <c r="AE79" s="17" t="str">
        <f>IF(($T79+$W79-$AB79)&gt;=$T79+8000,W79,"")</f>
        <v/>
      </c>
    </row>
    <row r="80" spans="1:31" x14ac:dyDescent="0.25">
      <c r="A80" s="15" t="s">
        <v>180</v>
      </c>
      <c r="B80" s="15" t="s">
        <v>181</v>
      </c>
      <c r="C80" s="15" t="s">
        <v>33</v>
      </c>
      <c r="D80" s="16">
        <v>0</v>
      </c>
      <c r="E80" s="17">
        <v>0</v>
      </c>
      <c r="F80" s="17">
        <v>28000</v>
      </c>
      <c r="G80" s="17">
        <v>4000</v>
      </c>
      <c r="H80" s="17">
        <v>0</v>
      </c>
      <c r="I80" s="17">
        <v>5000</v>
      </c>
      <c r="J80" s="17">
        <f>(1-$D80)*E80</f>
        <v>0</v>
      </c>
      <c r="K80" s="17">
        <f>(1-$D80)*F80</f>
        <v>28000</v>
      </c>
      <c r="L80" s="17">
        <f>G80</f>
        <v>4000</v>
      </c>
      <c r="M80" s="17">
        <f>(1-$D80)*H80</f>
        <v>0</v>
      </c>
      <c r="N80" s="17">
        <f>(1-$D80)*I80</f>
        <v>5000</v>
      </c>
      <c r="O80" s="17">
        <v>25890</v>
      </c>
      <c r="P80" s="17">
        <v>11330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f>SUM(J80:Y80)</f>
        <v>74220</v>
      </c>
      <c r="AA80" s="17">
        <v>0</v>
      </c>
      <c r="AB80" s="14">
        <f>Z80-AA80</f>
        <v>74220</v>
      </c>
      <c r="AC80" s="17" t="str">
        <f>IF(AND($T80=6000, ($T80+$W80-$AB80)&gt;=6000),T80,"")</f>
        <v/>
      </c>
      <c r="AD80" s="17" t="str">
        <f>IF(AND($T80=8000, ($T80+$W80-$AB80)&gt;=8000),T80,"")</f>
        <v/>
      </c>
      <c r="AE80" s="17" t="str">
        <f>IF(($T80+$W80-$AB80)&gt;=$T80+8000,W80,"")</f>
        <v/>
      </c>
    </row>
    <row r="81" spans="1:31" x14ac:dyDescent="0.25">
      <c r="A81" s="15" t="s">
        <v>81</v>
      </c>
      <c r="B81" s="15" t="s">
        <v>82</v>
      </c>
      <c r="C81" s="15" t="s">
        <v>33</v>
      </c>
      <c r="D81" s="16">
        <v>0</v>
      </c>
      <c r="E81" s="17">
        <v>0</v>
      </c>
      <c r="F81" s="17">
        <v>28000</v>
      </c>
      <c r="G81" s="17">
        <v>4000</v>
      </c>
      <c r="H81" s="17">
        <v>0</v>
      </c>
      <c r="I81" s="17">
        <v>5000</v>
      </c>
      <c r="J81" s="17">
        <f>(1-$D81)*E81</f>
        <v>0</v>
      </c>
      <c r="K81" s="17">
        <f>(1-$D81)*F81</f>
        <v>28000</v>
      </c>
      <c r="L81" s="17">
        <f>G81</f>
        <v>4000</v>
      </c>
      <c r="M81" s="17">
        <f>(1-$D81)*H81</f>
        <v>0</v>
      </c>
      <c r="N81" s="17">
        <f>(1-$D81)*I81</f>
        <v>5000</v>
      </c>
      <c r="O81" s="17">
        <v>25890</v>
      </c>
      <c r="P81" s="17">
        <v>11330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550</v>
      </c>
      <c r="Z81" s="17">
        <f>SUM(J81:Y81)</f>
        <v>74770</v>
      </c>
      <c r="AA81" s="17">
        <v>0</v>
      </c>
      <c r="AB81" s="14">
        <f>Z81-AA81</f>
        <v>74770</v>
      </c>
      <c r="AC81" s="17" t="str">
        <f>IF(AND($T81=6000, ($T81+$W81-$AB81)&gt;=6000),T81,"")</f>
        <v/>
      </c>
      <c r="AD81" s="17" t="str">
        <f>IF(AND($T81=8000, ($T81+$W81-$AB81)&gt;=8000),T81,"")</f>
        <v/>
      </c>
      <c r="AE81" s="17" t="str">
        <f>IF(($T81+$W81-$AB81)&gt;=$T81+8000,W81,"")</f>
        <v/>
      </c>
    </row>
    <row r="82" spans="1:31" x14ac:dyDescent="0.25">
      <c r="A82" s="15" t="s">
        <v>98</v>
      </c>
      <c r="B82" s="15" t="s">
        <v>99</v>
      </c>
      <c r="C82" s="15" t="s">
        <v>33</v>
      </c>
      <c r="D82" s="16">
        <v>0.25</v>
      </c>
      <c r="E82" s="17">
        <v>0</v>
      </c>
      <c r="F82" s="17">
        <v>28000</v>
      </c>
      <c r="G82" s="17">
        <v>4000</v>
      </c>
      <c r="H82" s="17">
        <v>0</v>
      </c>
      <c r="I82" s="17">
        <v>5000</v>
      </c>
      <c r="J82" s="17">
        <f>(1-$D82)*E82</f>
        <v>0</v>
      </c>
      <c r="K82" s="17">
        <f>(1-$D82)*F82</f>
        <v>21000</v>
      </c>
      <c r="L82" s="17">
        <f>G82</f>
        <v>4000</v>
      </c>
      <c r="M82" s="17">
        <f>(1-$D82)*H82</f>
        <v>0</v>
      </c>
      <c r="N82" s="17">
        <f>(1-$D82)*I82</f>
        <v>3750</v>
      </c>
      <c r="O82" s="17">
        <v>25890</v>
      </c>
      <c r="P82" s="17">
        <v>11330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f>SUM(J82:Y82)</f>
        <v>65970</v>
      </c>
      <c r="AA82" s="17">
        <v>0</v>
      </c>
      <c r="AB82" s="14">
        <f>Z82-AA82</f>
        <v>65970</v>
      </c>
      <c r="AC82" s="17" t="str">
        <f>IF(AND($T82=6000, ($T82+$W82-$AB82)&gt;=6000),T82,"")</f>
        <v/>
      </c>
      <c r="AD82" s="17" t="str">
        <f>IF(AND($T82=8000, ($T82+$W82-$AB82)&gt;=8000),T82,"")</f>
        <v/>
      </c>
      <c r="AE82" s="17" t="str">
        <f>IF(($T82+$W82-$AB82)&gt;=$T82+8000,W82,"")</f>
        <v/>
      </c>
    </row>
    <row r="83" spans="1:31" x14ac:dyDescent="0.25">
      <c r="A83" s="15" t="s">
        <v>102</v>
      </c>
      <c r="B83" s="15" t="s">
        <v>103</v>
      </c>
      <c r="C83" s="15" t="s">
        <v>33</v>
      </c>
      <c r="D83" s="16">
        <v>0.25</v>
      </c>
      <c r="E83" s="17">
        <v>0</v>
      </c>
      <c r="F83" s="17">
        <v>28000</v>
      </c>
      <c r="G83" s="17">
        <v>4000</v>
      </c>
      <c r="H83" s="17">
        <v>0</v>
      </c>
      <c r="I83" s="17">
        <v>5000</v>
      </c>
      <c r="J83" s="17">
        <f>(1-$D83)*E83</f>
        <v>0</v>
      </c>
      <c r="K83" s="17">
        <f>(1-$D83)*F83</f>
        <v>21000</v>
      </c>
      <c r="L83" s="17">
        <f>G83</f>
        <v>4000</v>
      </c>
      <c r="M83" s="17">
        <f>(1-$D83)*H83</f>
        <v>0</v>
      </c>
      <c r="N83" s="17">
        <f>(1-$D83)*I83</f>
        <v>3750</v>
      </c>
      <c r="O83" s="17">
        <v>25890</v>
      </c>
      <c r="P83" s="17">
        <v>11330</v>
      </c>
      <c r="Q83" s="17">
        <v>0</v>
      </c>
      <c r="R83" s="17">
        <v>0</v>
      </c>
      <c r="S83" s="17">
        <v>0</v>
      </c>
      <c r="T83" s="17">
        <v>6000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f>SUM(J83:Y83)</f>
        <v>71970</v>
      </c>
      <c r="AA83" s="17">
        <v>0</v>
      </c>
      <c r="AB83" s="14">
        <f>Z83-AA83</f>
        <v>71970</v>
      </c>
      <c r="AC83" s="17" t="str">
        <f>IF(AND($T83=6000, ($T83+$W83-$AB83)&gt;=6000),T83,"")</f>
        <v/>
      </c>
      <c r="AD83" s="17" t="str">
        <f>IF(AND($T83=8000, ($T83+$W83-$AB83)&gt;=8000),T83,"")</f>
        <v/>
      </c>
      <c r="AE83" s="17" t="str">
        <f>IF(($T83+$W83-$AB83)&gt;=$T83+8000,W83,"")</f>
        <v/>
      </c>
    </row>
    <row r="84" spans="1:31" x14ac:dyDescent="0.25">
      <c r="A84" s="15" t="s">
        <v>106</v>
      </c>
      <c r="B84" s="15" t="s">
        <v>45</v>
      </c>
      <c r="C84" s="15" t="s">
        <v>33</v>
      </c>
      <c r="D84" s="16">
        <v>0</v>
      </c>
      <c r="E84" s="17">
        <v>0</v>
      </c>
      <c r="F84" s="17">
        <v>28000</v>
      </c>
      <c r="G84" s="17">
        <v>4000</v>
      </c>
      <c r="H84" s="17">
        <v>0</v>
      </c>
      <c r="I84" s="17">
        <v>5000</v>
      </c>
      <c r="J84" s="17">
        <f>(1-$D84)*E84</f>
        <v>0</v>
      </c>
      <c r="K84" s="17">
        <f>(1-$D84)*F84</f>
        <v>28000</v>
      </c>
      <c r="L84" s="17">
        <f>G84</f>
        <v>4000</v>
      </c>
      <c r="M84" s="17">
        <f>(1-$D84)*H84</f>
        <v>0</v>
      </c>
      <c r="N84" s="17">
        <f>(1-$D84)*I84</f>
        <v>5000</v>
      </c>
      <c r="O84" s="17">
        <v>25890</v>
      </c>
      <c r="P84" s="17">
        <v>11330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f>SUM(J84:Y84)</f>
        <v>74220</v>
      </c>
      <c r="AA84" s="17">
        <v>0</v>
      </c>
      <c r="AB84" s="14">
        <f>Z84-AA84</f>
        <v>74220</v>
      </c>
      <c r="AC84" s="17" t="str">
        <f>IF(AND($T84=6000, ($T84+$W84-$AB84)&gt;=6000),T84,"")</f>
        <v/>
      </c>
      <c r="AD84" s="17" t="str">
        <f>IF(AND($T84=8000, ($T84+$W84-$AB84)&gt;=8000),T84,"")</f>
        <v/>
      </c>
      <c r="AE84" s="17" t="str">
        <f>IF(($T84+$W84-$AB84)&gt;=$T84+8000,W84,"")</f>
        <v/>
      </c>
    </row>
    <row r="85" spans="1:31" x14ac:dyDescent="0.25">
      <c r="A85" s="15" t="s">
        <v>109</v>
      </c>
      <c r="B85" s="15" t="s">
        <v>110</v>
      </c>
      <c r="C85" s="15" t="s">
        <v>33</v>
      </c>
      <c r="D85" s="16">
        <v>0.25</v>
      </c>
      <c r="E85" s="17">
        <v>0</v>
      </c>
      <c r="F85" s="17">
        <v>28000</v>
      </c>
      <c r="G85" s="17">
        <v>4000</v>
      </c>
      <c r="H85" s="17">
        <v>0</v>
      </c>
      <c r="I85" s="17">
        <v>5000</v>
      </c>
      <c r="J85" s="17">
        <f>(1-$D85)*E85</f>
        <v>0</v>
      </c>
      <c r="K85" s="17">
        <f>(1-$D85)*F85</f>
        <v>21000</v>
      </c>
      <c r="L85" s="17">
        <f>G85</f>
        <v>4000</v>
      </c>
      <c r="M85" s="17">
        <f>(1-$D85)*H85</f>
        <v>0</v>
      </c>
      <c r="N85" s="17">
        <f>(1-$D85)*I85</f>
        <v>3750</v>
      </c>
      <c r="O85" s="17">
        <v>25890</v>
      </c>
      <c r="P85" s="17">
        <v>11330</v>
      </c>
      <c r="Q85" s="17">
        <v>0</v>
      </c>
      <c r="R85" s="17">
        <v>0</v>
      </c>
      <c r="S85" s="17">
        <v>0</v>
      </c>
      <c r="T85" s="17">
        <v>6000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f>SUM(J85:Y85)</f>
        <v>71970</v>
      </c>
      <c r="AA85" s="17">
        <v>0</v>
      </c>
      <c r="AB85" s="14">
        <f>Z85-AA85</f>
        <v>71970</v>
      </c>
      <c r="AC85" s="17" t="str">
        <f>IF(AND($T85=6000, ($T85+$W85-$AB85)&gt;=6000),T85,"")</f>
        <v/>
      </c>
      <c r="AD85" s="17" t="str">
        <f>IF(AND($T85=8000, ($T85+$W85-$AB85)&gt;=8000),T85,"")</f>
        <v/>
      </c>
      <c r="AE85" s="17" t="str">
        <f>IF(($T85+$W85-$AB85)&gt;=$T85+8000,W85,"")</f>
        <v/>
      </c>
    </row>
    <row r="86" spans="1:31" x14ac:dyDescent="0.25">
      <c r="A86" s="15" t="s">
        <v>184</v>
      </c>
      <c r="B86" s="15" t="s">
        <v>185</v>
      </c>
      <c r="C86" s="15" t="s">
        <v>33</v>
      </c>
      <c r="D86" s="16">
        <v>0.25</v>
      </c>
      <c r="E86" s="17">
        <v>0</v>
      </c>
      <c r="F86" s="17">
        <v>28000</v>
      </c>
      <c r="G86" s="17">
        <v>4000</v>
      </c>
      <c r="H86" s="17">
        <v>0</v>
      </c>
      <c r="I86" s="17">
        <v>5000</v>
      </c>
      <c r="J86" s="17">
        <f>(1-$D86)*E86</f>
        <v>0</v>
      </c>
      <c r="K86" s="17">
        <f>(1-$D86)*F86</f>
        <v>21000</v>
      </c>
      <c r="L86" s="17">
        <f>G86</f>
        <v>4000</v>
      </c>
      <c r="M86" s="17">
        <f>(1-$D86)*H86</f>
        <v>0</v>
      </c>
      <c r="N86" s="17">
        <f>(1-$D86)*I86</f>
        <v>3750</v>
      </c>
      <c r="O86" s="17">
        <v>25890</v>
      </c>
      <c r="P86" s="17">
        <v>11330</v>
      </c>
      <c r="Q86" s="17">
        <v>0</v>
      </c>
      <c r="R86" s="17">
        <v>0</v>
      </c>
      <c r="S86" s="17">
        <v>0</v>
      </c>
      <c r="T86" s="17">
        <v>6000</v>
      </c>
      <c r="U86" s="17">
        <v>0</v>
      </c>
      <c r="V86" s="17">
        <v>0</v>
      </c>
      <c r="W86" s="17">
        <v>0</v>
      </c>
      <c r="X86" s="17">
        <v>0</v>
      </c>
      <c r="Y86" s="17">
        <v>9500</v>
      </c>
      <c r="Z86" s="17">
        <f>SUM(J86:Y86)</f>
        <v>81470</v>
      </c>
      <c r="AA86" s="17">
        <v>0</v>
      </c>
      <c r="AB86" s="14">
        <f>Z86-AA86</f>
        <v>81470</v>
      </c>
      <c r="AC86" s="17" t="str">
        <f>IF(AND($T86=6000, ($T86+$W86-$AB86)&gt;=6000),T86,"")</f>
        <v/>
      </c>
      <c r="AD86" s="17" t="str">
        <f>IF(AND($T86=8000, ($T86+$W86-$AB86)&gt;=8000),T86,"")</f>
        <v/>
      </c>
      <c r="AE86" s="17" t="str">
        <f>IF(($T86+$W86-$AB86)&gt;=$T86+8000,W86,"")</f>
        <v/>
      </c>
    </row>
    <row r="87" spans="1:31" x14ac:dyDescent="0.25">
      <c r="A87" s="15" t="s">
        <v>236</v>
      </c>
      <c r="B87" s="15" t="s">
        <v>237</v>
      </c>
      <c r="C87" s="15" t="s">
        <v>48</v>
      </c>
      <c r="D87" s="16">
        <v>0.25</v>
      </c>
      <c r="E87" s="17">
        <v>0</v>
      </c>
      <c r="F87" s="17">
        <v>28000</v>
      </c>
      <c r="G87" s="17">
        <v>4000</v>
      </c>
      <c r="H87" s="17">
        <v>0</v>
      </c>
      <c r="I87" s="17">
        <v>5000</v>
      </c>
      <c r="J87" s="17">
        <f>(1-$D87)*E87</f>
        <v>0</v>
      </c>
      <c r="K87" s="17">
        <f>(1-$D87)*F87</f>
        <v>21000</v>
      </c>
      <c r="L87" s="17">
        <f>G87</f>
        <v>4000</v>
      </c>
      <c r="M87" s="17">
        <f>(1-$D87)*H87</f>
        <v>0</v>
      </c>
      <c r="N87" s="17">
        <f>(1-$D87)*I87</f>
        <v>3750</v>
      </c>
      <c r="O87" s="17">
        <v>25890</v>
      </c>
      <c r="P87" s="17">
        <v>11330</v>
      </c>
      <c r="Q87" s="17">
        <v>0</v>
      </c>
      <c r="R87" s="17">
        <v>0</v>
      </c>
      <c r="S87" s="17">
        <v>0</v>
      </c>
      <c r="T87" s="17">
        <v>6000</v>
      </c>
      <c r="U87" s="17">
        <v>0</v>
      </c>
      <c r="V87" s="17">
        <v>0</v>
      </c>
      <c r="W87" s="17">
        <v>0</v>
      </c>
      <c r="X87" s="17">
        <v>0</v>
      </c>
      <c r="Y87" s="17">
        <v>125</v>
      </c>
      <c r="Z87" s="17">
        <f>SUM(J87:Y87)</f>
        <v>72095</v>
      </c>
      <c r="AA87" s="17">
        <v>0</v>
      </c>
      <c r="AB87" s="14">
        <f>Z87-AA87</f>
        <v>72095</v>
      </c>
      <c r="AC87" s="17" t="str">
        <f>IF(AND($T87=6000, ($T87+$W87-$AB87)&gt;=6000),T87,"")</f>
        <v/>
      </c>
      <c r="AD87" s="17" t="str">
        <f>IF(AND($T87=8000, ($T87+$W87-$AB87)&gt;=8000),T87,"")</f>
        <v/>
      </c>
      <c r="AE87" s="17" t="str">
        <f>IF(($T87+$W87-$AB87)&gt;=$T87+8000,W87,"")</f>
        <v/>
      </c>
    </row>
    <row r="88" spans="1:31" x14ac:dyDescent="0.25">
      <c r="A88" s="15" t="s">
        <v>53</v>
      </c>
      <c r="B88" s="15" t="s">
        <v>54</v>
      </c>
      <c r="C88" s="15" t="s">
        <v>48</v>
      </c>
      <c r="D88" s="16">
        <v>0.25</v>
      </c>
      <c r="E88" s="17">
        <v>0</v>
      </c>
      <c r="F88" s="17">
        <v>28000</v>
      </c>
      <c r="G88" s="17">
        <v>4000</v>
      </c>
      <c r="H88" s="17">
        <v>0</v>
      </c>
      <c r="I88" s="17">
        <v>5000</v>
      </c>
      <c r="J88" s="17">
        <f>(1-$D88)*E88</f>
        <v>0</v>
      </c>
      <c r="K88" s="17">
        <f>(1-$D88)*F88</f>
        <v>21000</v>
      </c>
      <c r="L88" s="17">
        <f>G88</f>
        <v>4000</v>
      </c>
      <c r="M88" s="17">
        <f>(1-$D88)*H88</f>
        <v>0</v>
      </c>
      <c r="N88" s="17">
        <f>(1-$D88)*I88</f>
        <v>3750</v>
      </c>
      <c r="O88" s="17">
        <v>25890</v>
      </c>
      <c r="P88" s="17">
        <v>11330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f>SUM(J88:Y88)</f>
        <v>65970</v>
      </c>
      <c r="AA88" s="17">
        <v>0</v>
      </c>
      <c r="AB88" s="14">
        <f>Z88-AA88</f>
        <v>65970</v>
      </c>
      <c r="AC88" s="17" t="str">
        <f>IF(AND($T88=6000, ($T88+$W88-$AB88)&gt;=6000),T88,"")</f>
        <v/>
      </c>
      <c r="AD88" s="17" t="str">
        <f>IF(AND($T88=8000, ($T88+$W88-$AB88)&gt;=8000),T88,"")</f>
        <v/>
      </c>
      <c r="AE88" s="17" t="str">
        <f>IF(($T88+$W88-$AB88)&gt;=$T88+8000,W88,"")</f>
        <v/>
      </c>
    </row>
    <row r="89" spans="1:31" x14ac:dyDescent="0.25">
      <c r="A89" s="15" t="s">
        <v>53</v>
      </c>
      <c r="B89" s="15" t="s">
        <v>55</v>
      </c>
      <c r="C89" s="15" t="s">
        <v>48</v>
      </c>
      <c r="D89" s="16">
        <v>0.25</v>
      </c>
      <c r="E89" s="17">
        <v>0</v>
      </c>
      <c r="F89" s="17">
        <v>28000</v>
      </c>
      <c r="G89" s="17">
        <v>4000</v>
      </c>
      <c r="H89" s="17">
        <v>0</v>
      </c>
      <c r="I89" s="17">
        <v>5000</v>
      </c>
      <c r="J89" s="17">
        <f>(1-$D89)*E89</f>
        <v>0</v>
      </c>
      <c r="K89" s="17">
        <f>(1-$D89)*F89</f>
        <v>21000</v>
      </c>
      <c r="L89" s="17">
        <f>G89</f>
        <v>4000</v>
      </c>
      <c r="M89" s="17">
        <f>(1-$D89)*H89</f>
        <v>0</v>
      </c>
      <c r="N89" s="17">
        <f>(1-$D89)*I89</f>
        <v>3750</v>
      </c>
      <c r="O89" s="17">
        <v>25890</v>
      </c>
      <c r="P89" s="17">
        <v>11330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f>SUM(J89:Y89)</f>
        <v>65970</v>
      </c>
      <c r="AA89" s="17">
        <v>0</v>
      </c>
      <c r="AB89" s="14">
        <f>Z89-AA89</f>
        <v>65970</v>
      </c>
      <c r="AC89" s="17" t="str">
        <f>IF(AND($T89=6000, ($T89+$W89-$AB89)&gt;=6000),T89,"")</f>
        <v/>
      </c>
      <c r="AD89" s="17" t="str">
        <f>IF(AND($T89=8000, ($T89+$W89-$AB89)&gt;=8000),T89,"")</f>
        <v/>
      </c>
      <c r="AE89" s="17" t="str">
        <f>IF(($T89+$W89-$AB89)&gt;=$T89+8000,W89,"")</f>
        <v/>
      </c>
    </row>
    <row r="90" spans="1:31" x14ac:dyDescent="0.25">
      <c r="A90" s="15" t="s">
        <v>60</v>
      </c>
      <c r="B90" s="15" t="s">
        <v>61</v>
      </c>
      <c r="C90" s="15" t="s">
        <v>48</v>
      </c>
      <c r="D90" s="16">
        <v>0.25</v>
      </c>
      <c r="E90" s="17">
        <v>0</v>
      </c>
      <c r="F90" s="17">
        <v>28000</v>
      </c>
      <c r="G90" s="17">
        <v>4000</v>
      </c>
      <c r="H90" s="17">
        <v>0</v>
      </c>
      <c r="I90" s="17">
        <v>5000</v>
      </c>
      <c r="J90" s="17">
        <f>(1-$D90)*E90</f>
        <v>0</v>
      </c>
      <c r="K90" s="17">
        <f>(1-$D90)*F90</f>
        <v>21000</v>
      </c>
      <c r="L90" s="17">
        <f>G90</f>
        <v>4000</v>
      </c>
      <c r="M90" s="17">
        <f>(1-$D90)*H90</f>
        <v>0</v>
      </c>
      <c r="N90" s="17">
        <f>(1-$D90)*I90</f>
        <v>3750</v>
      </c>
      <c r="O90" s="17">
        <v>25890</v>
      </c>
      <c r="P90" s="17">
        <v>11330</v>
      </c>
      <c r="Q90" s="17">
        <v>0</v>
      </c>
      <c r="R90" s="17">
        <v>0</v>
      </c>
      <c r="S90" s="17">
        <v>0</v>
      </c>
      <c r="T90" s="17">
        <v>6000</v>
      </c>
      <c r="U90" s="17">
        <v>0</v>
      </c>
      <c r="V90" s="17">
        <v>0</v>
      </c>
      <c r="W90" s="17">
        <v>0</v>
      </c>
      <c r="X90" s="17">
        <v>0</v>
      </c>
      <c r="Y90" s="17">
        <v>250</v>
      </c>
      <c r="Z90" s="17">
        <f>SUM(J90:Y90)</f>
        <v>72220</v>
      </c>
      <c r="AA90" s="17">
        <v>0</v>
      </c>
      <c r="AB90" s="14">
        <f>Z90-AA90</f>
        <v>72220</v>
      </c>
      <c r="AC90" s="17" t="str">
        <f>IF(AND($T90=6000, ($T90+$W90-$AB90)&gt;=6000),T90,"")</f>
        <v/>
      </c>
      <c r="AD90" s="17" t="str">
        <f>IF(AND($T90=8000, ($T90+$W90-$AB90)&gt;=8000),T90,"")</f>
        <v/>
      </c>
      <c r="AE90" s="17" t="str">
        <f>IF(($T90+$W90-$AB90)&gt;=$T90+8000,W90,"")</f>
        <v/>
      </c>
    </row>
    <row r="91" spans="1:31" x14ac:dyDescent="0.25">
      <c r="A91" s="15" t="s">
        <v>224</v>
      </c>
      <c r="B91" s="15" t="s">
        <v>226</v>
      </c>
      <c r="C91" s="15" t="s">
        <v>48</v>
      </c>
      <c r="D91" s="16">
        <v>0.25</v>
      </c>
      <c r="E91" s="17">
        <v>0</v>
      </c>
      <c r="F91" s="17">
        <v>28000</v>
      </c>
      <c r="G91" s="17">
        <v>4000</v>
      </c>
      <c r="H91" s="17">
        <v>0</v>
      </c>
      <c r="I91" s="17">
        <v>5000</v>
      </c>
      <c r="J91" s="17">
        <f>(1-$D91)*E91</f>
        <v>0</v>
      </c>
      <c r="K91" s="17">
        <f>(1-$D91)*F91</f>
        <v>21000</v>
      </c>
      <c r="L91" s="17">
        <f>G91</f>
        <v>4000</v>
      </c>
      <c r="M91" s="17">
        <f>(1-$D91)*H91</f>
        <v>0</v>
      </c>
      <c r="N91" s="17">
        <f>(1-$D91)*I91</f>
        <v>3750</v>
      </c>
      <c r="O91" s="17">
        <v>25890</v>
      </c>
      <c r="P91" s="17">
        <v>11330</v>
      </c>
      <c r="Q91" s="17">
        <v>0</v>
      </c>
      <c r="R91" s="17">
        <v>0</v>
      </c>
      <c r="S91" s="17">
        <v>0</v>
      </c>
      <c r="T91" s="17">
        <v>6000</v>
      </c>
      <c r="U91" s="17">
        <v>0</v>
      </c>
      <c r="V91" s="17">
        <v>0</v>
      </c>
      <c r="W91" s="17">
        <v>0</v>
      </c>
      <c r="X91" s="17">
        <v>0</v>
      </c>
      <c r="Y91" s="17">
        <v>22105</v>
      </c>
      <c r="Z91" s="17">
        <f>SUM(J91:Y91)</f>
        <v>94075</v>
      </c>
      <c r="AA91" s="17">
        <v>0</v>
      </c>
      <c r="AB91" s="14">
        <f>Z91-AA91</f>
        <v>94075</v>
      </c>
      <c r="AC91" s="17" t="str">
        <f>IF(AND($T91=6000, ($T91+$W91-$AB91)&gt;=6000),T91,"")</f>
        <v/>
      </c>
      <c r="AD91" s="17" t="str">
        <f>IF(AND($T91=8000, ($T91+$W91-$AB91)&gt;=8000),T91,"")</f>
        <v/>
      </c>
      <c r="AE91" s="17" t="str">
        <f>IF(($T91+$W91-$AB91)&gt;=$T91+8000,W91,"")</f>
        <v/>
      </c>
    </row>
    <row r="92" spans="1:31" x14ac:dyDescent="0.25">
      <c r="A92" s="15" t="s">
        <v>113</v>
      </c>
      <c r="B92" s="15" t="s">
        <v>114</v>
      </c>
      <c r="C92" s="15" t="s">
        <v>48</v>
      </c>
      <c r="D92" s="16">
        <v>0.5</v>
      </c>
      <c r="E92" s="17">
        <v>0</v>
      </c>
      <c r="F92" s="17">
        <v>28000</v>
      </c>
      <c r="G92" s="17">
        <v>4000</v>
      </c>
      <c r="H92" s="17">
        <v>0</v>
      </c>
      <c r="I92" s="17">
        <v>5000</v>
      </c>
      <c r="J92" s="17">
        <f>(1-$D92)*E92</f>
        <v>0</v>
      </c>
      <c r="K92" s="17">
        <f>(1-$D92)*F92</f>
        <v>14000</v>
      </c>
      <c r="L92" s="17">
        <f>G92</f>
        <v>4000</v>
      </c>
      <c r="M92" s="17">
        <f>(1-$D92)*H92</f>
        <v>0</v>
      </c>
      <c r="N92" s="17">
        <f>(1-$D92)*I92</f>
        <v>2500</v>
      </c>
      <c r="O92" s="17">
        <v>25890</v>
      </c>
      <c r="P92" s="17">
        <v>11330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f>SUM(J92:Y92)</f>
        <v>57720</v>
      </c>
      <c r="AA92" s="17">
        <v>0</v>
      </c>
      <c r="AB92" s="14">
        <f>Z92-AA92</f>
        <v>57720</v>
      </c>
      <c r="AC92" s="17" t="str">
        <f>IF(AND($T92=6000, ($T92+$W92-$AB92)&gt;=6000),T92,"")</f>
        <v/>
      </c>
      <c r="AD92" s="17" t="str">
        <f>IF(AND($T92=8000, ($T92+$W92-$AB92)&gt;=8000),T92,"")</f>
        <v/>
      </c>
      <c r="AE92" s="17" t="str">
        <f>IF(($T92+$W92-$AB92)&gt;=$T92+8000,W92,"")</f>
        <v/>
      </c>
    </row>
    <row r="93" spans="1:31" x14ac:dyDescent="0.25">
      <c r="A93" s="15" t="s">
        <v>125</v>
      </c>
      <c r="B93" s="15" t="s">
        <v>127</v>
      </c>
      <c r="C93" s="15" t="s">
        <v>48</v>
      </c>
      <c r="D93" s="16">
        <v>0.25</v>
      </c>
      <c r="E93" s="17">
        <v>0</v>
      </c>
      <c r="F93" s="17">
        <v>28000</v>
      </c>
      <c r="G93" s="17">
        <v>4000</v>
      </c>
      <c r="H93" s="17">
        <v>0</v>
      </c>
      <c r="I93" s="17">
        <v>5000</v>
      </c>
      <c r="J93" s="17">
        <f>(1-$D93)*E93</f>
        <v>0</v>
      </c>
      <c r="K93" s="17">
        <f>(1-$D93)*F93</f>
        <v>21000</v>
      </c>
      <c r="L93" s="17">
        <f>G93</f>
        <v>4000</v>
      </c>
      <c r="M93" s="17">
        <f>(1-$D93)*H93</f>
        <v>0</v>
      </c>
      <c r="N93" s="17">
        <f>(1-$D93)*I93</f>
        <v>3750</v>
      </c>
      <c r="O93" s="17">
        <v>25890</v>
      </c>
      <c r="P93" s="17">
        <v>11330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f>SUM(J93:Y93)</f>
        <v>65970</v>
      </c>
      <c r="AA93" s="17">
        <v>0</v>
      </c>
      <c r="AB93" s="14">
        <f>Z93-AA93</f>
        <v>65970</v>
      </c>
      <c r="AC93" s="17" t="str">
        <f>IF(AND($T93=6000, ($T93+$W93-$AB93)&gt;=6000),T93,"")</f>
        <v/>
      </c>
      <c r="AD93" s="17" t="str">
        <f>IF(AND($T93=8000, ($T93+$W93-$AB93)&gt;=8000),T93,"")</f>
        <v/>
      </c>
      <c r="AE93" s="17" t="str">
        <f>IF(($T93+$W93-$AB93)&gt;=$T93+8000,W93,"")</f>
        <v/>
      </c>
    </row>
    <row r="94" spans="1:31" x14ac:dyDescent="0.25">
      <c r="A94" s="15" t="s">
        <v>133</v>
      </c>
      <c r="B94" s="15" t="s">
        <v>134</v>
      </c>
      <c r="C94" s="15" t="s">
        <v>48</v>
      </c>
      <c r="D94" s="16">
        <v>0</v>
      </c>
      <c r="E94" s="17">
        <v>0</v>
      </c>
      <c r="F94" s="17">
        <v>28000</v>
      </c>
      <c r="G94" s="17">
        <v>4000</v>
      </c>
      <c r="H94" s="17">
        <v>0</v>
      </c>
      <c r="I94" s="17">
        <v>5000</v>
      </c>
      <c r="J94" s="17">
        <f>(1-$D94)*E94</f>
        <v>0</v>
      </c>
      <c r="K94" s="17">
        <f>(1-$D94)*F94</f>
        <v>28000</v>
      </c>
      <c r="L94" s="17">
        <f>G94</f>
        <v>4000</v>
      </c>
      <c r="M94" s="17">
        <f>(1-$D94)*H94</f>
        <v>0</v>
      </c>
      <c r="N94" s="17">
        <f>(1-$D94)*I94</f>
        <v>5000</v>
      </c>
      <c r="O94" s="17">
        <v>25890</v>
      </c>
      <c r="P94" s="17">
        <v>11330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4020</v>
      </c>
      <c r="Z94" s="17">
        <f>SUM(J94:Y94)</f>
        <v>78240</v>
      </c>
      <c r="AA94" s="17">
        <v>0</v>
      </c>
      <c r="AB94" s="14">
        <f>Z94-AA94</f>
        <v>78240</v>
      </c>
      <c r="AC94" s="17" t="str">
        <f>IF(AND($T94=6000, ($T94+$W94-$AB94)&gt;=6000),T94,"")</f>
        <v/>
      </c>
      <c r="AD94" s="17" t="str">
        <f>IF(AND($T94=8000, ($T94+$W94-$AB94)&gt;=8000),T94,"")</f>
        <v/>
      </c>
      <c r="AE94" s="17" t="str">
        <f>IF(($T94+$W94-$AB94)&gt;=$T94+8000,W94,"")</f>
        <v/>
      </c>
    </row>
    <row r="95" spans="1:31" x14ac:dyDescent="0.25">
      <c r="A95" s="15" t="s">
        <v>182</v>
      </c>
      <c r="B95" s="15" t="s">
        <v>210</v>
      </c>
      <c r="C95" s="15" t="s">
        <v>46</v>
      </c>
      <c r="D95" s="16">
        <v>0.25</v>
      </c>
      <c r="E95" s="17">
        <v>0</v>
      </c>
      <c r="F95" s="17">
        <v>28000</v>
      </c>
      <c r="G95" s="17">
        <v>4000</v>
      </c>
      <c r="H95" s="17">
        <v>0</v>
      </c>
      <c r="I95" s="17">
        <v>5000</v>
      </c>
      <c r="J95" s="17">
        <f>(1-$D95)*E95</f>
        <v>0</v>
      </c>
      <c r="K95" s="17">
        <f>(1-$D95)*F95</f>
        <v>21000</v>
      </c>
      <c r="L95" s="17">
        <f>G95</f>
        <v>4000</v>
      </c>
      <c r="M95" s="17">
        <f>(1-$D95)*H95</f>
        <v>0</v>
      </c>
      <c r="N95" s="17">
        <f>(1-$D95)*I95</f>
        <v>3750</v>
      </c>
      <c r="O95" s="17">
        <v>27030</v>
      </c>
      <c r="P95" s="17">
        <v>13230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f>SUM(J95:Y95)</f>
        <v>69010</v>
      </c>
      <c r="AA95" s="17">
        <v>0</v>
      </c>
      <c r="AB95" s="14">
        <f>Z95-AA95</f>
        <v>69010</v>
      </c>
      <c r="AC95" s="17" t="str">
        <f>IF(AND($T95=6000, ($T95+$W95-$AB95)&gt;=6000),T95,"")</f>
        <v/>
      </c>
      <c r="AD95" s="17" t="str">
        <f>IF(AND($T95=8000, ($T95+$W95-$AB95)&gt;=8000),T95,"")</f>
        <v/>
      </c>
      <c r="AE95" s="17" t="str">
        <f>IF(($T95+$W95-$AB95)&gt;=$T95+8000,W95,"")</f>
        <v/>
      </c>
    </row>
    <row r="96" spans="1:31" x14ac:dyDescent="0.25">
      <c r="A96" s="15" t="s">
        <v>37</v>
      </c>
      <c r="B96" s="15" t="s">
        <v>39</v>
      </c>
      <c r="C96" s="15" t="s">
        <v>46</v>
      </c>
      <c r="D96" s="16">
        <v>0.5</v>
      </c>
      <c r="E96" s="17">
        <v>0</v>
      </c>
      <c r="F96" s="17">
        <v>28000</v>
      </c>
      <c r="G96" s="17">
        <v>4000</v>
      </c>
      <c r="H96" s="17">
        <v>0</v>
      </c>
      <c r="I96" s="17">
        <v>5000</v>
      </c>
      <c r="J96" s="17">
        <f>(1-$D96)*E96</f>
        <v>0</v>
      </c>
      <c r="K96" s="17">
        <f>(1-$D96)*F96</f>
        <v>14000</v>
      </c>
      <c r="L96" s="17">
        <f>G96</f>
        <v>4000</v>
      </c>
      <c r="M96" s="17">
        <f>(1-$D96)*H96</f>
        <v>0</v>
      </c>
      <c r="N96" s="17">
        <f>(1-$D96)*I96</f>
        <v>2500</v>
      </c>
      <c r="O96" s="17">
        <v>27030</v>
      </c>
      <c r="P96" s="17">
        <v>13230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-530</v>
      </c>
      <c r="Z96" s="17">
        <f>SUM(J96:Y96)</f>
        <v>60230</v>
      </c>
      <c r="AA96" s="17">
        <v>0</v>
      </c>
      <c r="AB96" s="14">
        <f>Z96-AA96</f>
        <v>60230</v>
      </c>
      <c r="AC96" s="17" t="str">
        <f>IF(AND($T96=6000, ($T96+$W96-$AB96)&gt;=6000),T96,"")</f>
        <v/>
      </c>
      <c r="AD96" s="17" t="str">
        <f>IF(AND($T96=8000, ($T96+$W96-$AB96)&gt;=8000),T96,"")</f>
        <v/>
      </c>
      <c r="AE96" s="17" t="str">
        <f>IF(($T96+$W96-$AB96)&gt;=$T96+8000,W96,"")</f>
        <v/>
      </c>
    </row>
    <row r="97" spans="1:31" x14ac:dyDescent="0.25">
      <c r="A97" s="15" t="s">
        <v>40</v>
      </c>
      <c r="B97" s="15" t="s">
        <v>140</v>
      </c>
      <c r="C97" s="15" t="s">
        <v>46</v>
      </c>
      <c r="D97" s="16">
        <v>0.25</v>
      </c>
      <c r="E97" s="17">
        <v>0</v>
      </c>
      <c r="F97" s="17">
        <v>28000</v>
      </c>
      <c r="G97" s="17">
        <v>4000</v>
      </c>
      <c r="H97" s="17">
        <v>0</v>
      </c>
      <c r="I97" s="17">
        <v>5000</v>
      </c>
      <c r="J97" s="17">
        <f>(1-$D97)*E97</f>
        <v>0</v>
      </c>
      <c r="K97" s="17">
        <f>(1-$D97)*F97</f>
        <v>21000</v>
      </c>
      <c r="L97" s="17">
        <f>G97</f>
        <v>4000</v>
      </c>
      <c r="M97" s="17">
        <f>(1-$D97)*H97</f>
        <v>0</v>
      </c>
      <c r="N97" s="17">
        <f>(1-$D97)*I97</f>
        <v>3750</v>
      </c>
      <c r="O97" s="17">
        <v>27030</v>
      </c>
      <c r="P97" s="17">
        <v>13230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f>SUM(J97:Y97)</f>
        <v>69010</v>
      </c>
      <c r="AA97" s="17">
        <v>0</v>
      </c>
      <c r="AB97" s="14">
        <f>Z97-AA97</f>
        <v>69010</v>
      </c>
      <c r="AC97" s="17" t="str">
        <f>IF(AND($T97=6000, ($T97+$W97-$AB97)&gt;=6000),T97,"")</f>
        <v/>
      </c>
      <c r="AD97" s="17" t="str">
        <f>IF(AND($T97=8000, ($T97+$W97-$AB97)&gt;=8000),T97,"")</f>
        <v/>
      </c>
      <c r="AE97" s="17" t="str">
        <f>IF(($T97+$W97-$AB97)&gt;=$T97+8000,W97,"")</f>
        <v/>
      </c>
    </row>
    <row r="98" spans="1:31" x14ac:dyDescent="0.25">
      <c r="A98" s="15" t="s">
        <v>83</v>
      </c>
      <c r="B98" s="15" t="s">
        <v>84</v>
      </c>
      <c r="C98" s="15" t="s">
        <v>46</v>
      </c>
      <c r="D98" s="16">
        <v>0</v>
      </c>
      <c r="E98" s="17">
        <v>0</v>
      </c>
      <c r="F98" s="17">
        <v>28000</v>
      </c>
      <c r="G98" s="17">
        <v>4000</v>
      </c>
      <c r="H98" s="17">
        <v>0</v>
      </c>
      <c r="I98" s="17">
        <v>5000</v>
      </c>
      <c r="J98" s="17">
        <f>(1-$D98)*E98</f>
        <v>0</v>
      </c>
      <c r="K98" s="17">
        <f>(1-$D98)*F98</f>
        <v>28000</v>
      </c>
      <c r="L98" s="17">
        <f>G98</f>
        <v>4000</v>
      </c>
      <c r="M98" s="17">
        <f>(1-$D98)*H98</f>
        <v>0</v>
      </c>
      <c r="N98" s="17">
        <f>(1-$D98)*I98</f>
        <v>5000</v>
      </c>
      <c r="O98" s="17">
        <v>27030</v>
      </c>
      <c r="P98" s="17">
        <v>13230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f>SUM(J98:Y98)</f>
        <v>77260</v>
      </c>
      <c r="AA98" s="17">
        <v>0</v>
      </c>
      <c r="AB98" s="14">
        <f>Z98-AA98</f>
        <v>77260</v>
      </c>
      <c r="AC98" s="17" t="str">
        <f>IF(AND($T98=6000, ($T98+$W98-$AB98)&gt;=6000),T98,"")</f>
        <v/>
      </c>
      <c r="AD98" s="17" t="str">
        <f>IF(AND($T98=8000, ($T98+$W98-$AB98)&gt;=8000),T98,"")</f>
        <v/>
      </c>
      <c r="AE98" s="17" t="str">
        <f>IF(($T98+$W98-$AB98)&gt;=$T98+8000,W98,"")</f>
        <v/>
      </c>
    </row>
    <row r="99" spans="1:31" x14ac:dyDescent="0.25">
      <c r="A99" s="15" t="s">
        <v>161</v>
      </c>
      <c r="B99" s="15" t="s">
        <v>162</v>
      </c>
      <c r="C99" s="15" t="s">
        <v>46</v>
      </c>
      <c r="D99" s="16">
        <v>0.25</v>
      </c>
      <c r="E99" s="17">
        <v>0</v>
      </c>
      <c r="F99" s="17">
        <v>28000</v>
      </c>
      <c r="G99" s="17">
        <v>4000</v>
      </c>
      <c r="H99" s="17">
        <v>0</v>
      </c>
      <c r="I99" s="17">
        <v>5000</v>
      </c>
      <c r="J99" s="17">
        <f>(1-$D99)*E99</f>
        <v>0</v>
      </c>
      <c r="K99" s="17">
        <f>(1-$D99)*F99</f>
        <v>21000</v>
      </c>
      <c r="L99" s="17">
        <f>G99</f>
        <v>4000</v>
      </c>
      <c r="M99" s="17">
        <f>(1-$D99)*H99</f>
        <v>0</v>
      </c>
      <c r="N99" s="17">
        <f>(1-$D99)*I99</f>
        <v>3750</v>
      </c>
      <c r="O99" s="17">
        <v>27030</v>
      </c>
      <c r="P99" s="17">
        <v>13230</v>
      </c>
      <c r="Q99" s="17">
        <v>0</v>
      </c>
      <c r="R99" s="17">
        <v>0</v>
      </c>
      <c r="S99" s="17">
        <v>0</v>
      </c>
      <c r="T99" s="17">
        <v>6000</v>
      </c>
      <c r="U99" s="17">
        <v>0</v>
      </c>
      <c r="V99" s="17">
        <v>0</v>
      </c>
      <c r="W99" s="17">
        <v>0</v>
      </c>
      <c r="X99" s="17">
        <v>0</v>
      </c>
      <c r="Y99" s="17">
        <v>-695</v>
      </c>
      <c r="Z99" s="17">
        <f>SUM(J99:Y99)</f>
        <v>74315</v>
      </c>
      <c r="AA99" s="17">
        <v>0</v>
      </c>
      <c r="AB99" s="14">
        <f>Z99-AA99</f>
        <v>74315</v>
      </c>
      <c r="AC99" s="17" t="str">
        <f>IF(AND($T99=6000, ($T99+$W99-$AB99)&gt;=6000),T99,"")</f>
        <v/>
      </c>
      <c r="AD99" s="17" t="str">
        <f>IF(AND($T99=8000, ($T99+$W99-$AB99)&gt;=8000),T99,"")</f>
        <v/>
      </c>
      <c r="AE99" s="17" t="str">
        <f>IF(($T99+$W99-$AB99)&gt;=$T99+8000,W99,"")</f>
        <v/>
      </c>
    </row>
    <row r="100" spans="1:31" x14ac:dyDescent="0.25">
      <c r="A100" s="15" t="s">
        <v>89</v>
      </c>
      <c r="B100" s="15" t="s">
        <v>91</v>
      </c>
      <c r="C100" s="15" t="s">
        <v>46</v>
      </c>
      <c r="D100" s="16">
        <v>0.25</v>
      </c>
      <c r="E100" s="17">
        <v>0</v>
      </c>
      <c r="F100" s="17">
        <v>28000</v>
      </c>
      <c r="G100" s="17">
        <v>4000</v>
      </c>
      <c r="H100" s="17">
        <v>0</v>
      </c>
      <c r="I100" s="17">
        <v>5000</v>
      </c>
      <c r="J100" s="17">
        <f>(1-$D100)*E100</f>
        <v>0</v>
      </c>
      <c r="K100" s="17">
        <f>(1-$D100)*F100</f>
        <v>21000</v>
      </c>
      <c r="L100" s="17">
        <f>G100</f>
        <v>4000</v>
      </c>
      <c r="M100" s="17">
        <f>(1-$D100)*H100</f>
        <v>0</v>
      </c>
      <c r="N100" s="17">
        <f>(1-$D100)*I100</f>
        <v>3750</v>
      </c>
      <c r="O100" s="17">
        <v>27030</v>
      </c>
      <c r="P100" s="17">
        <v>13230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450</v>
      </c>
      <c r="Z100" s="17">
        <f>SUM(J100:Y100)</f>
        <v>69460</v>
      </c>
      <c r="AA100" s="17">
        <v>0</v>
      </c>
      <c r="AB100" s="14">
        <f>Z100-AA100</f>
        <v>69460</v>
      </c>
      <c r="AC100" s="17" t="str">
        <f>IF(AND($T100=6000, ($T100+$W100-$AB100)&gt;=6000),T100,"")</f>
        <v/>
      </c>
      <c r="AD100" s="17" t="str">
        <f>IF(AND($T100=8000, ($T100+$W100-$AB100)&gt;=8000),T100,"")</f>
        <v/>
      </c>
      <c r="AE100" s="17" t="str">
        <f>IF(($T100+$W100-$AB100)&gt;=$T100+8000,W100,"")</f>
        <v/>
      </c>
    </row>
    <row r="101" spans="1:31" x14ac:dyDescent="0.25">
      <c r="A101" s="15" t="s">
        <v>102</v>
      </c>
      <c r="B101" s="15" t="s">
        <v>105</v>
      </c>
      <c r="C101" s="15" t="s">
        <v>46</v>
      </c>
      <c r="D101" s="16">
        <v>0.25</v>
      </c>
      <c r="E101" s="17">
        <v>0</v>
      </c>
      <c r="F101" s="17">
        <v>28000</v>
      </c>
      <c r="G101" s="17">
        <v>4000</v>
      </c>
      <c r="H101" s="17">
        <v>0</v>
      </c>
      <c r="I101" s="17">
        <v>5000</v>
      </c>
      <c r="J101" s="17">
        <f>(1-$D101)*E101</f>
        <v>0</v>
      </c>
      <c r="K101" s="17">
        <f>(1-$D101)*F101</f>
        <v>21000</v>
      </c>
      <c r="L101" s="17">
        <f>G101</f>
        <v>4000</v>
      </c>
      <c r="M101" s="17">
        <f>(1-$D101)*H101</f>
        <v>0</v>
      </c>
      <c r="N101" s="17">
        <f>(1-$D101)*I101</f>
        <v>3750</v>
      </c>
      <c r="O101" s="17">
        <v>27030</v>
      </c>
      <c r="P101" s="17">
        <v>13230</v>
      </c>
      <c r="Q101" s="17">
        <v>0</v>
      </c>
      <c r="R101" s="17">
        <v>0</v>
      </c>
      <c r="S101" s="17">
        <v>0</v>
      </c>
      <c r="T101" s="17">
        <v>6000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f>SUM(J101:Y101)</f>
        <v>75010</v>
      </c>
      <c r="AA101" s="17">
        <v>0</v>
      </c>
      <c r="AB101" s="14">
        <f>Z101-AA101</f>
        <v>75010</v>
      </c>
      <c r="AC101" s="17" t="str">
        <f>IF(AND($T101=6000, ($T101+$W101-$AB101)&gt;=6000),T101,"")</f>
        <v/>
      </c>
      <c r="AD101" s="17" t="str">
        <f>IF(AND($T101=8000, ($T101+$W101-$AB101)&gt;=8000),T101,"")</f>
        <v/>
      </c>
      <c r="AE101" s="17" t="str">
        <f>IF(($T101+$W101-$AB101)&gt;=$T101+8000,W101,"")</f>
        <v/>
      </c>
    </row>
    <row r="102" spans="1:31" x14ac:dyDescent="0.25">
      <c r="A102" s="15" t="s">
        <v>118</v>
      </c>
      <c r="B102" s="15" t="s">
        <v>120</v>
      </c>
      <c r="C102" s="15" t="s">
        <v>46</v>
      </c>
      <c r="D102" s="16">
        <v>0.25</v>
      </c>
      <c r="E102" s="17">
        <v>0</v>
      </c>
      <c r="F102" s="17">
        <v>28000</v>
      </c>
      <c r="G102" s="17">
        <v>4000</v>
      </c>
      <c r="H102" s="17">
        <v>0</v>
      </c>
      <c r="I102" s="17">
        <v>5000</v>
      </c>
      <c r="J102" s="17">
        <f>(1-$D102)*E102</f>
        <v>0</v>
      </c>
      <c r="K102" s="17">
        <f>(1-$D102)*F102</f>
        <v>21000</v>
      </c>
      <c r="L102" s="17">
        <f>G102</f>
        <v>4000</v>
      </c>
      <c r="M102" s="17">
        <f>(1-$D102)*H102</f>
        <v>0</v>
      </c>
      <c r="N102" s="17">
        <f>(1-$D102)*I102</f>
        <v>3750</v>
      </c>
      <c r="O102" s="17">
        <v>27030</v>
      </c>
      <c r="P102" s="17">
        <v>13230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f>SUM(J102:Y102)</f>
        <v>69010</v>
      </c>
      <c r="AA102" s="17">
        <v>0</v>
      </c>
      <c r="AB102" s="14">
        <f>Z102-AA102</f>
        <v>69010</v>
      </c>
      <c r="AC102" s="17" t="str">
        <f>IF(AND($T102=6000, ($T102+$W102-$AB102)&gt;=6000),T102,"")</f>
        <v/>
      </c>
      <c r="AD102" s="17" t="str">
        <f>IF(AND($T102=8000, ($T102+$W102-$AB102)&gt;=8000),T102,"")</f>
        <v/>
      </c>
      <c r="AE102" s="17" t="str">
        <f>IF(($T102+$W102-$AB102)&gt;=$T102+8000,W102,"")</f>
        <v/>
      </c>
    </row>
    <row r="103" spans="1:31" x14ac:dyDescent="0.25">
      <c r="A103" s="15" t="s">
        <v>198</v>
      </c>
      <c r="B103" s="15" t="s">
        <v>32</v>
      </c>
      <c r="C103" s="15" t="s">
        <v>46</v>
      </c>
      <c r="D103" s="16">
        <v>0.25</v>
      </c>
      <c r="E103" s="17">
        <v>0</v>
      </c>
      <c r="F103" s="17">
        <v>28000</v>
      </c>
      <c r="G103" s="17">
        <v>4000</v>
      </c>
      <c r="H103" s="17">
        <v>0</v>
      </c>
      <c r="I103" s="17">
        <v>5000</v>
      </c>
      <c r="J103" s="17">
        <f>(1-$D103)*E103</f>
        <v>0</v>
      </c>
      <c r="K103" s="17">
        <f>(1-$D103)*F103</f>
        <v>21000</v>
      </c>
      <c r="L103" s="17">
        <f>G103</f>
        <v>4000</v>
      </c>
      <c r="M103" s="17">
        <f>(1-$D103)*H103</f>
        <v>0</v>
      </c>
      <c r="N103" s="17">
        <f>(1-$D103)*I103</f>
        <v>3750</v>
      </c>
      <c r="O103" s="17">
        <v>27030</v>
      </c>
      <c r="P103" s="17">
        <v>13230</v>
      </c>
      <c r="Q103" s="17">
        <v>0</v>
      </c>
      <c r="R103" s="17">
        <v>0</v>
      </c>
      <c r="S103" s="17">
        <v>0</v>
      </c>
      <c r="T103" s="17">
        <v>6000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f>SUM(J103:Y103)</f>
        <v>75010</v>
      </c>
      <c r="AA103" s="17">
        <v>0</v>
      </c>
      <c r="AB103" s="14">
        <f>Z103-AA103</f>
        <v>75010</v>
      </c>
      <c r="AC103" s="17" t="str">
        <f>IF(AND($T103=6000, ($T103+$W103-$AB103)&gt;=6000),T103,"")</f>
        <v/>
      </c>
      <c r="AD103" s="17" t="str">
        <f>IF(AND($T103=8000, ($T103+$W103-$AB103)&gt;=8000),T103,"")</f>
        <v/>
      </c>
      <c r="AE103" s="17" t="str">
        <f>IF(($T103+$W103-$AB103)&gt;=$T103+8000,W103,"")</f>
        <v/>
      </c>
    </row>
    <row r="104" spans="1:31" x14ac:dyDescent="0.25">
      <c r="A104" s="15" t="s">
        <v>85</v>
      </c>
      <c r="B104" s="15" t="s">
        <v>87</v>
      </c>
      <c r="C104" s="15" t="s">
        <v>59</v>
      </c>
      <c r="D104" s="16">
        <v>0.25</v>
      </c>
      <c r="E104" s="17">
        <v>0</v>
      </c>
      <c r="F104" s="17">
        <v>28000</v>
      </c>
      <c r="G104" s="17">
        <v>4000</v>
      </c>
      <c r="H104" s="17">
        <v>0</v>
      </c>
      <c r="I104" s="17">
        <v>5000</v>
      </c>
      <c r="J104" s="17">
        <f>(1-$D104)*E104</f>
        <v>0</v>
      </c>
      <c r="K104" s="17">
        <f>(1-$D104)*F104</f>
        <v>21000</v>
      </c>
      <c r="L104" s="17">
        <f>G104</f>
        <v>4000</v>
      </c>
      <c r="M104" s="17">
        <f>(1-$D104)*H104</f>
        <v>0</v>
      </c>
      <c r="N104" s="17">
        <f>(1-$D104)*I104</f>
        <v>3750</v>
      </c>
      <c r="O104" s="17">
        <v>27030</v>
      </c>
      <c r="P104" s="17">
        <v>13230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f>SUM(J104:Y104)</f>
        <v>69010</v>
      </c>
      <c r="AA104" s="17">
        <v>0</v>
      </c>
      <c r="AB104" s="14">
        <f>Z104-AA104</f>
        <v>69010</v>
      </c>
      <c r="AC104" s="17" t="str">
        <f>IF(AND($T104=6000, ($T104+$W104-$AB104)&gt;=6000),T104,"")</f>
        <v/>
      </c>
      <c r="AD104" s="17" t="str">
        <f>IF(AND($T104=8000, ($T104+$W104-$AB104)&gt;=8000),T104,"")</f>
        <v/>
      </c>
      <c r="AE104" s="17" t="str">
        <f>IF(($T104+$W104-$AB104)&gt;=$T104+8000,W104,"")</f>
        <v/>
      </c>
    </row>
    <row r="105" spans="1:31" x14ac:dyDescent="0.25">
      <c r="A105" s="15" t="s">
        <v>157</v>
      </c>
      <c r="B105" s="15" t="s">
        <v>222</v>
      </c>
      <c r="C105" s="15" t="s">
        <v>59</v>
      </c>
      <c r="D105" s="16">
        <v>0.5</v>
      </c>
      <c r="E105" s="17">
        <v>0</v>
      </c>
      <c r="F105" s="17">
        <v>28000</v>
      </c>
      <c r="G105" s="17">
        <v>4000</v>
      </c>
      <c r="H105" s="17">
        <v>0</v>
      </c>
      <c r="I105" s="17">
        <v>5000</v>
      </c>
      <c r="J105" s="17">
        <f>(1-$D105)*E105</f>
        <v>0</v>
      </c>
      <c r="K105" s="17">
        <f>(1-$D105)*F105</f>
        <v>14000</v>
      </c>
      <c r="L105" s="17">
        <f>G105</f>
        <v>4000</v>
      </c>
      <c r="M105" s="17">
        <f>(1-$D105)*H105</f>
        <v>0</v>
      </c>
      <c r="N105" s="17">
        <f>(1-$D105)*I105</f>
        <v>2500</v>
      </c>
      <c r="O105" s="17">
        <v>27030</v>
      </c>
      <c r="P105" s="17">
        <v>13230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8080</v>
      </c>
      <c r="Z105" s="17">
        <f>SUM(J105:Y105)</f>
        <v>68840</v>
      </c>
      <c r="AA105" s="17">
        <v>0</v>
      </c>
      <c r="AB105" s="14">
        <f>Z105-AA105</f>
        <v>68840</v>
      </c>
      <c r="AC105" s="17" t="str">
        <f>IF(AND($T105=6000, ($T105+$W105-$AB105)&gt;=6000),T105,"")</f>
        <v/>
      </c>
      <c r="AD105" s="17" t="str">
        <f>IF(AND($T105=8000, ($T105+$W105-$AB105)&gt;=8000),T105,"")</f>
        <v/>
      </c>
      <c r="AE105" s="17" t="str">
        <f>IF(($T105+$W105-$AB105)&gt;=$T105+8000,W105,"")</f>
        <v/>
      </c>
    </row>
    <row r="106" spans="1:31" x14ac:dyDescent="0.25">
      <c r="A106" s="15" t="s">
        <v>107</v>
      </c>
      <c r="B106" s="15" t="s">
        <v>108</v>
      </c>
      <c r="C106" s="15" t="s">
        <v>59</v>
      </c>
      <c r="D106" s="16">
        <v>1</v>
      </c>
      <c r="E106" s="17">
        <v>0</v>
      </c>
      <c r="F106" s="17">
        <v>28000</v>
      </c>
      <c r="G106" s="17">
        <v>4000</v>
      </c>
      <c r="H106" s="17">
        <v>0</v>
      </c>
      <c r="I106" s="17">
        <v>5000</v>
      </c>
      <c r="J106" s="17">
        <f>(1-$D106)*E106</f>
        <v>0</v>
      </c>
      <c r="K106" s="17">
        <f>(1-$D106)*F106</f>
        <v>0</v>
      </c>
      <c r="L106" s="17">
        <f>G106</f>
        <v>4000</v>
      </c>
      <c r="M106" s="17">
        <f>(1-$D106)*H106</f>
        <v>0</v>
      </c>
      <c r="N106" s="17">
        <f>(1-$D106)*I106</f>
        <v>0</v>
      </c>
      <c r="O106" s="17">
        <v>27030</v>
      </c>
      <c r="P106" s="17">
        <v>13230</v>
      </c>
      <c r="Q106" s="17">
        <v>0</v>
      </c>
      <c r="R106" s="17">
        <v>0</v>
      </c>
      <c r="S106" s="17">
        <v>0</v>
      </c>
      <c r="T106" s="17">
        <v>6000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f>SUM(J106:Y106)</f>
        <v>50260</v>
      </c>
      <c r="AA106" s="17">
        <v>0</v>
      </c>
      <c r="AB106" s="14">
        <f>Z106-AA106</f>
        <v>50260</v>
      </c>
      <c r="AC106" s="17" t="str">
        <f>IF(AND($T106=6000, ($T106+$W106-$AB106)&gt;=6000),T106,"")</f>
        <v/>
      </c>
      <c r="AD106" s="17" t="str">
        <f>IF(AND($T106=8000, ($T106+$W106-$AB106)&gt;=8000),T106,"")</f>
        <v/>
      </c>
      <c r="AE106" s="17" t="str">
        <f>IF(($T106+$W106-$AB106)&gt;=$T106+8000,W106,"")</f>
        <v/>
      </c>
    </row>
    <row r="107" spans="1:31" x14ac:dyDescent="0.25">
      <c r="A107" s="15" t="s">
        <v>184</v>
      </c>
      <c r="B107" s="15" t="s">
        <v>186</v>
      </c>
      <c r="C107" s="15" t="s">
        <v>59</v>
      </c>
      <c r="D107" s="16">
        <v>0.25</v>
      </c>
      <c r="E107" s="17">
        <v>0</v>
      </c>
      <c r="F107" s="17">
        <v>28000</v>
      </c>
      <c r="G107" s="17">
        <v>4000</v>
      </c>
      <c r="H107" s="17">
        <v>0</v>
      </c>
      <c r="I107" s="17">
        <v>5000</v>
      </c>
      <c r="J107" s="17">
        <f>(1-$D107)*E107</f>
        <v>0</v>
      </c>
      <c r="K107" s="17">
        <f>(1-$D107)*F107</f>
        <v>21000</v>
      </c>
      <c r="L107" s="17">
        <f>G107</f>
        <v>4000</v>
      </c>
      <c r="M107" s="17">
        <f>(1-$D107)*H107</f>
        <v>0</v>
      </c>
      <c r="N107" s="17">
        <f>(1-$D107)*I107</f>
        <v>3750</v>
      </c>
      <c r="O107" s="17">
        <v>27030</v>
      </c>
      <c r="P107" s="17">
        <v>13230</v>
      </c>
      <c r="Q107" s="17">
        <v>0</v>
      </c>
      <c r="R107" s="17">
        <v>0</v>
      </c>
      <c r="S107" s="17">
        <v>0</v>
      </c>
      <c r="T107" s="17">
        <v>6000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f>SUM(J107:Y107)</f>
        <v>75010</v>
      </c>
      <c r="AA107" s="17">
        <v>0</v>
      </c>
      <c r="AB107" s="14">
        <f>Z107-AA107</f>
        <v>75010</v>
      </c>
      <c r="AC107" s="17" t="str">
        <f>IF(AND($T107=6000, ($T107+$W107-$AB107)&gt;=6000),T107,"")</f>
        <v/>
      </c>
      <c r="AD107" s="17" t="str">
        <f>IF(AND($T107=8000, ($T107+$W107-$AB107)&gt;=8000),T107,"")</f>
        <v/>
      </c>
      <c r="AE107" s="17" t="str">
        <f>IF(($T107+$W107-$AB107)&gt;=$T107+8000,W107,"")</f>
        <v/>
      </c>
    </row>
    <row r="108" spans="1:31" x14ac:dyDescent="0.25">
      <c r="A108" s="15" t="s">
        <v>42</v>
      </c>
      <c r="B108" s="15" t="s">
        <v>45</v>
      </c>
      <c r="C108" s="15" t="s">
        <v>249</v>
      </c>
      <c r="D108" s="16">
        <v>0.25</v>
      </c>
      <c r="E108" s="17">
        <v>0</v>
      </c>
      <c r="F108" s="17">
        <v>28000</v>
      </c>
      <c r="G108" s="17">
        <v>4000</v>
      </c>
      <c r="H108" s="17">
        <v>0</v>
      </c>
      <c r="I108" s="17">
        <v>5000</v>
      </c>
      <c r="J108" s="17">
        <f>(1-$D108)*E108</f>
        <v>0</v>
      </c>
      <c r="K108" s="17">
        <f>(1-$D108)*F108</f>
        <v>21000</v>
      </c>
      <c r="L108" s="17">
        <f>G108</f>
        <v>4000</v>
      </c>
      <c r="M108" s="17">
        <f>(1-$D108)*H108</f>
        <v>0</v>
      </c>
      <c r="N108" s="17">
        <f>(1-$D108)*I108</f>
        <v>3750</v>
      </c>
      <c r="O108" s="17">
        <v>28890</v>
      </c>
      <c r="P108" s="17">
        <v>13230</v>
      </c>
      <c r="Q108" s="17">
        <v>0</v>
      </c>
      <c r="R108" s="17">
        <v>0</v>
      </c>
      <c r="S108" s="17">
        <v>0</v>
      </c>
      <c r="T108" s="17">
        <v>6000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f>SUM(J108:Y108)</f>
        <v>76870</v>
      </c>
      <c r="AA108" s="17">
        <v>0</v>
      </c>
      <c r="AB108" s="14">
        <f>Z108-AA108</f>
        <v>76870</v>
      </c>
      <c r="AC108" s="17" t="str">
        <f>IF(AND($T108=6000, ($T108+$W108-$AB108)&gt;=6000),T108,"")</f>
        <v/>
      </c>
      <c r="AD108" s="17" t="str">
        <f>IF(AND($T108=8000, ($T108+$W108-$AB108)&gt;=8000),T108,"")</f>
        <v/>
      </c>
      <c r="AE108" s="17" t="str">
        <f>IF(($T108+$W108-$AB108)&gt;=$T108+8000,W108,"")</f>
        <v/>
      </c>
    </row>
    <row r="109" spans="1:31" x14ac:dyDescent="0.25">
      <c r="A109" s="15" t="s">
        <v>64</v>
      </c>
      <c r="B109" s="15" t="s">
        <v>77</v>
      </c>
      <c r="C109" s="15" t="s">
        <v>249</v>
      </c>
      <c r="D109" s="16">
        <v>0</v>
      </c>
      <c r="E109" s="17">
        <v>0</v>
      </c>
      <c r="F109" s="17">
        <v>28000</v>
      </c>
      <c r="G109" s="17">
        <v>4000</v>
      </c>
      <c r="H109" s="17">
        <v>0</v>
      </c>
      <c r="I109" s="17">
        <v>5000</v>
      </c>
      <c r="J109" s="17">
        <f>(1-$D109)*E109</f>
        <v>0</v>
      </c>
      <c r="K109" s="17">
        <f>(1-$D109)*F109</f>
        <v>28000</v>
      </c>
      <c r="L109" s="17">
        <f>G109</f>
        <v>4000</v>
      </c>
      <c r="M109" s="17">
        <f>(1-$D109)*H109</f>
        <v>0</v>
      </c>
      <c r="N109" s="17">
        <f>(1-$D109)*I109</f>
        <v>5000</v>
      </c>
      <c r="O109" s="17">
        <v>28890</v>
      </c>
      <c r="P109" s="17">
        <v>13230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f>SUM(J109:Y109)</f>
        <v>79120</v>
      </c>
      <c r="AA109" s="17">
        <v>0</v>
      </c>
      <c r="AB109" s="14">
        <f>Z109-AA109</f>
        <v>79120</v>
      </c>
      <c r="AC109" s="17" t="str">
        <f>IF(AND($T109=6000, ($T109+$W109-$AB109)&gt;=6000),T109,"")</f>
        <v/>
      </c>
      <c r="AD109" s="17" t="str">
        <f>IF(AND($T109=8000, ($T109+$W109-$AB109)&gt;=8000),T109,"")</f>
        <v/>
      </c>
      <c r="AE109" s="17" t="str">
        <f>IF(($T109+$W109-$AB109)&gt;=$T109+8000,W109,"")</f>
        <v/>
      </c>
    </row>
    <row r="110" spans="1:31" x14ac:dyDescent="0.25">
      <c r="A110" s="15" t="s">
        <v>224</v>
      </c>
      <c r="B110" s="15" t="s">
        <v>225</v>
      </c>
      <c r="C110" s="15" t="s">
        <v>249</v>
      </c>
      <c r="D110" s="16">
        <v>0.25</v>
      </c>
      <c r="E110" s="17">
        <v>0</v>
      </c>
      <c r="F110" s="17">
        <v>28000</v>
      </c>
      <c r="G110" s="17">
        <v>4000</v>
      </c>
      <c r="H110" s="17">
        <v>0</v>
      </c>
      <c r="I110" s="17">
        <v>5000</v>
      </c>
      <c r="J110" s="17">
        <f>(1-$D110)*E110</f>
        <v>0</v>
      </c>
      <c r="K110" s="17">
        <f>(1-$D110)*F110</f>
        <v>21000</v>
      </c>
      <c r="L110" s="17">
        <f>G110</f>
        <v>4000</v>
      </c>
      <c r="M110" s="17">
        <f>(1-$D110)*H110</f>
        <v>0</v>
      </c>
      <c r="N110" s="17">
        <f>(1-$D110)*I110</f>
        <v>3750</v>
      </c>
      <c r="O110" s="17">
        <v>28890</v>
      </c>
      <c r="P110" s="17">
        <v>13230</v>
      </c>
      <c r="Q110" s="17">
        <v>0</v>
      </c>
      <c r="R110" s="17">
        <v>0</v>
      </c>
      <c r="S110" s="17">
        <v>0</v>
      </c>
      <c r="T110" s="17">
        <v>6000</v>
      </c>
      <c r="U110" s="17">
        <v>0</v>
      </c>
      <c r="V110" s="17">
        <v>0</v>
      </c>
      <c r="W110" s="17">
        <v>0</v>
      </c>
      <c r="X110" s="17">
        <v>0</v>
      </c>
      <c r="Y110" s="17">
        <v>24395</v>
      </c>
      <c r="Z110" s="17">
        <f>SUM(J110:Y110)</f>
        <v>101265</v>
      </c>
      <c r="AA110" s="17">
        <v>0</v>
      </c>
      <c r="AB110" s="14">
        <f>Z110-AA110</f>
        <v>101265</v>
      </c>
      <c r="AC110" s="17" t="str">
        <f>IF(AND($T110=6000, ($T110+$W110-$AB110)&gt;=6000),T110,"")</f>
        <v/>
      </c>
      <c r="AD110" s="17" t="str">
        <f>IF(AND($T110=8000, ($T110+$W110-$AB110)&gt;=8000),T110,"")</f>
        <v/>
      </c>
      <c r="AE110" s="17" t="str">
        <f>IF(($T110+$W110-$AB110)&gt;=$T110+8000,W110,"")</f>
        <v/>
      </c>
    </row>
    <row r="111" spans="1:31" x14ac:dyDescent="0.25">
      <c r="A111" s="15" t="s">
        <v>125</v>
      </c>
      <c r="B111" s="15" t="s">
        <v>129</v>
      </c>
      <c r="C111" s="15" t="s">
        <v>249</v>
      </c>
      <c r="D111" s="16">
        <v>0.25</v>
      </c>
      <c r="E111" s="17">
        <v>0</v>
      </c>
      <c r="F111" s="17">
        <v>28000</v>
      </c>
      <c r="G111" s="17">
        <v>4000</v>
      </c>
      <c r="H111" s="17">
        <v>0</v>
      </c>
      <c r="I111" s="17">
        <v>5000</v>
      </c>
      <c r="J111" s="17">
        <f>(1-$D111)*E111</f>
        <v>0</v>
      </c>
      <c r="K111" s="17">
        <f>(1-$D111)*F111</f>
        <v>21000</v>
      </c>
      <c r="L111" s="17">
        <f>G111</f>
        <v>4000</v>
      </c>
      <c r="M111" s="17">
        <f>(1-$D111)*H111</f>
        <v>0</v>
      </c>
      <c r="N111" s="17">
        <f>(1-$D111)*I111</f>
        <v>3750</v>
      </c>
      <c r="O111" s="17">
        <v>28890</v>
      </c>
      <c r="P111" s="17">
        <v>13230</v>
      </c>
      <c r="Q111" s="17">
        <v>0</v>
      </c>
      <c r="R111" s="17">
        <v>0</v>
      </c>
      <c r="S111" s="17">
        <v>0</v>
      </c>
      <c r="T111" s="17">
        <v>6000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f>SUM(J111:Y111)</f>
        <v>76870</v>
      </c>
      <c r="AA111" s="17">
        <v>0</v>
      </c>
      <c r="AB111" s="14">
        <f>Z111-AA111</f>
        <v>76870</v>
      </c>
      <c r="AC111" s="17" t="str">
        <f>IF(AND($T111=6000, ($T111+$W111-$AB111)&gt;=6000),T111,"")</f>
        <v/>
      </c>
      <c r="AD111" s="17" t="str">
        <f>IF(AND($T111=8000, ($T111+$W111-$AB111)&gt;=8000),T111,"")</f>
        <v/>
      </c>
      <c r="AE111" s="17" t="str">
        <f>IF(($T111+$W111-$AB111)&gt;=$T111+8000,W111,"")</f>
        <v/>
      </c>
    </row>
    <row r="112" spans="1:31" x14ac:dyDescent="0.25">
      <c r="A112" s="15" t="s">
        <v>34</v>
      </c>
      <c r="B112" s="15" t="s">
        <v>35</v>
      </c>
      <c r="C112" s="15" t="s">
        <v>97</v>
      </c>
      <c r="D112" s="16">
        <v>0.25</v>
      </c>
      <c r="E112" s="17">
        <v>0</v>
      </c>
      <c r="F112" s="17">
        <v>40000</v>
      </c>
      <c r="G112" s="17">
        <v>5000</v>
      </c>
      <c r="H112" s="17">
        <v>2000</v>
      </c>
      <c r="I112" s="17">
        <v>8000</v>
      </c>
      <c r="J112" s="17">
        <f>(1-$D112)*E112</f>
        <v>0</v>
      </c>
      <c r="K112" s="17">
        <f>(1-$D112)*F112</f>
        <v>30000</v>
      </c>
      <c r="L112" s="17">
        <f>G112</f>
        <v>5000</v>
      </c>
      <c r="M112" s="17">
        <f>(1-$D112)*H112</f>
        <v>1500</v>
      </c>
      <c r="N112" s="17">
        <f>(1-$D112)*I112</f>
        <v>6000</v>
      </c>
      <c r="O112" s="17">
        <v>14280</v>
      </c>
      <c r="P112" s="17">
        <v>14330</v>
      </c>
      <c r="Q112" s="17">
        <v>20000</v>
      </c>
      <c r="R112" s="17">
        <v>0</v>
      </c>
      <c r="S112" s="17">
        <v>0</v>
      </c>
      <c r="T112" s="17">
        <v>8000</v>
      </c>
      <c r="U112" s="17">
        <v>0</v>
      </c>
      <c r="V112" s="17">
        <v>0</v>
      </c>
      <c r="W112" s="17">
        <v>0</v>
      </c>
      <c r="X112" s="17">
        <v>0</v>
      </c>
      <c r="Y112" s="17">
        <v>540</v>
      </c>
      <c r="Z112" s="17">
        <f>SUM(J112:Y112)</f>
        <v>99650</v>
      </c>
      <c r="AA112" s="17">
        <v>0</v>
      </c>
      <c r="AB112" s="14">
        <f>Z112-AA112</f>
        <v>99650</v>
      </c>
      <c r="AC112" s="17" t="str">
        <f>IF(AND($T112=6000, ($T112+$W112-$AB112)&gt;=6000),T112,"")</f>
        <v/>
      </c>
      <c r="AD112" s="17" t="str">
        <f>IF(AND($T112=8000, ($T112+$W112-$AB112)&gt;=8000),T112,"")</f>
        <v/>
      </c>
      <c r="AE112" s="17" t="str">
        <f>IF(($T112+$W112-$AB112)&gt;=$T112+8000,W112,"")</f>
        <v/>
      </c>
    </row>
    <row r="113" spans="1:31" x14ac:dyDescent="0.25">
      <c r="A113" s="15" t="s">
        <v>193</v>
      </c>
      <c r="B113" s="15" t="s">
        <v>194</v>
      </c>
      <c r="C113" s="15" t="s">
        <v>70</v>
      </c>
      <c r="D113" s="16">
        <v>0</v>
      </c>
      <c r="E113" s="17">
        <v>0</v>
      </c>
      <c r="F113" s="17">
        <v>40000</v>
      </c>
      <c r="G113" s="17">
        <v>5000</v>
      </c>
      <c r="H113" s="17">
        <v>2000</v>
      </c>
      <c r="I113" s="17">
        <v>8000</v>
      </c>
      <c r="J113" s="17">
        <f>(1-$D113)*E113</f>
        <v>0</v>
      </c>
      <c r="K113" s="17">
        <f>(1-$D113)*F113</f>
        <v>40000</v>
      </c>
      <c r="L113" s="17">
        <f>G113</f>
        <v>5000</v>
      </c>
      <c r="M113" s="17">
        <f>(1-$D113)*H113</f>
        <v>2000</v>
      </c>
      <c r="N113" s="17">
        <f>(1-$D113)*I113</f>
        <v>8000</v>
      </c>
      <c r="O113" s="17">
        <v>14280</v>
      </c>
      <c r="P113" s="17">
        <v>14330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f>SUM(J113:Y113)</f>
        <v>83610</v>
      </c>
      <c r="AA113" s="17">
        <v>0</v>
      </c>
      <c r="AB113" s="14">
        <f>Z113-AA113</f>
        <v>83610</v>
      </c>
      <c r="AC113" s="17" t="str">
        <f>IF(AND($T113=6000, ($T113+$W113-$AB113)&gt;=6000),T113,"")</f>
        <v/>
      </c>
      <c r="AD113" s="17" t="str">
        <f>IF(AND($T113=8000, ($T113+$W113-$AB113)&gt;=8000),T113,"")</f>
        <v/>
      </c>
      <c r="AE113" s="17" t="str">
        <f>IF(($T113+$W113-$AB113)&gt;=$T113+8000,W113,"")</f>
        <v/>
      </c>
    </row>
    <row r="114" spans="1:31" x14ac:dyDescent="0.25">
      <c r="A114" s="15" t="s">
        <v>38</v>
      </c>
      <c r="B114" s="15" t="s">
        <v>200</v>
      </c>
      <c r="C114" s="15" t="s">
        <v>70</v>
      </c>
      <c r="D114" s="16">
        <v>0</v>
      </c>
      <c r="E114" s="17">
        <v>0</v>
      </c>
      <c r="F114" s="17">
        <v>40000</v>
      </c>
      <c r="G114" s="17">
        <v>5000</v>
      </c>
      <c r="H114" s="17">
        <v>2000</v>
      </c>
      <c r="I114" s="17">
        <v>8000</v>
      </c>
      <c r="J114" s="17">
        <f>(1-$D114)*E114</f>
        <v>0</v>
      </c>
      <c r="K114" s="17">
        <f>(1-$D114)*F114</f>
        <v>40000</v>
      </c>
      <c r="L114" s="17">
        <f>G114</f>
        <v>5000</v>
      </c>
      <c r="M114" s="17">
        <f>(1-$D114)*H114</f>
        <v>2000</v>
      </c>
      <c r="N114" s="17">
        <f>(1-$D114)*I114</f>
        <v>8000</v>
      </c>
      <c r="O114" s="17">
        <v>14280</v>
      </c>
      <c r="P114" s="17">
        <v>14330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f>SUM(J114:Y114)</f>
        <v>83610</v>
      </c>
      <c r="AA114" s="17">
        <v>0</v>
      </c>
      <c r="AB114" s="14">
        <f>Z114-AA114</f>
        <v>83610</v>
      </c>
      <c r="AC114" s="17" t="str">
        <f>IF(AND($T114=6000, ($T114+$W114-$AB114)&gt;=6000),T114,"")</f>
        <v/>
      </c>
      <c r="AD114" s="17" t="str">
        <f>IF(AND($T114=8000, ($T114+$W114-$AB114)&gt;=8000),T114,"")</f>
        <v/>
      </c>
      <c r="AE114" s="17" t="str">
        <f>IF(($T114+$W114-$AB114)&gt;=$T114+8000,W114,"")</f>
        <v/>
      </c>
    </row>
    <row r="115" spans="1:31" x14ac:dyDescent="0.25">
      <c r="A115" s="15" t="s">
        <v>71</v>
      </c>
      <c r="B115" s="15" t="s">
        <v>72</v>
      </c>
      <c r="C115" s="15" t="s">
        <v>70</v>
      </c>
      <c r="D115" s="16">
        <v>0</v>
      </c>
      <c r="E115" s="17">
        <v>0</v>
      </c>
      <c r="F115" s="17">
        <v>40000</v>
      </c>
      <c r="G115" s="17">
        <v>5000</v>
      </c>
      <c r="H115" s="17">
        <v>2000</v>
      </c>
      <c r="I115" s="17">
        <v>8000</v>
      </c>
      <c r="J115" s="17">
        <f>(1-$D115)*E115</f>
        <v>0</v>
      </c>
      <c r="K115" s="17">
        <f>(1-$D115)*F115</f>
        <v>40000</v>
      </c>
      <c r="L115" s="17">
        <f>G115</f>
        <v>5000</v>
      </c>
      <c r="M115" s="17">
        <f>(1-$D115)*H115</f>
        <v>2000</v>
      </c>
      <c r="N115" s="17">
        <f>(1-$D115)*I115</f>
        <v>8000</v>
      </c>
      <c r="O115" s="17">
        <v>14280</v>
      </c>
      <c r="P115" s="17">
        <v>14330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120</v>
      </c>
      <c r="Z115" s="17">
        <f>SUM(J115:Y115)</f>
        <v>83730</v>
      </c>
      <c r="AA115" s="17">
        <v>0</v>
      </c>
      <c r="AB115" s="14">
        <f>Z115-AA115</f>
        <v>83730</v>
      </c>
      <c r="AC115" s="17" t="str">
        <f>IF(AND($T115=6000, ($T115+$W115-$AB115)&gt;=6000),T115,"")</f>
        <v/>
      </c>
      <c r="AD115" s="17" t="str">
        <f>IF(AND($T115=8000, ($T115+$W115-$AB115)&gt;=8000),T115,"")</f>
        <v/>
      </c>
      <c r="AE115" s="17" t="str">
        <f>IF(($T115+$W115-$AB115)&gt;=$T115+8000,W115,"")</f>
        <v/>
      </c>
    </row>
    <row r="116" spans="1:31" x14ac:dyDescent="0.25">
      <c r="A116" s="15" t="s">
        <v>191</v>
      </c>
      <c r="B116" s="15" t="s">
        <v>192</v>
      </c>
      <c r="C116" s="15" t="s">
        <v>70</v>
      </c>
      <c r="D116" s="16">
        <v>0.25</v>
      </c>
      <c r="E116" s="17">
        <v>0</v>
      </c>
      <c r="F116" s="17">
        <v>40000</v>
      </c>
      <c r="G116" s="17">
        <v>5000</v>
      </c>
      <c r="H116" s="17">
        <v>2000</v>
      </c>
      <c r="I116" s="17">
        <v>8000</v>
      </c>
      <c r="J116" s="17">
        <f>(1-$D116)*E116</f>
        <v>0</v>
      </c>
      <c r="K116" s="17">
        <f>(1-$D116)*F116</f>
        <v>30000</v>
      </c>
      <c r="L116" s="17">
        <f>G116</f>
        <v>5000</v>
      </c>
      <c r="M116" s="17">
        <f>(1-$D116)*H116</f>
        <v>1500</v>
      </c>
      <c r="N116" s="17">
        <f>(1-$D116)*I116</f>
        <v>6000</v>
      </c>
      <c r="O116" s="17">
        <v>14280</v>
      </c>
      <c r="P116" s="17">
        <v>14330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f>SUM(J116:Y116)</f>
        <v>71110</v>
      </c>
      <c r="AA116" s="17">
        <v>0</v>
      </c>
      <c r="AB116" s="14">
        <f>Z116-AA116</f>
        <v>71110</v>
      </c>
      <c r="AC116" s="17" t="str">
        <f>IF(AND($T116=6000, ($T116+$W116-$AB116)&gt;=6000),T116,"")</f>
        <v/>
      </c>
      <c r="AD116" s="17" t="str">
        <f>IF(AND($T116=8000, ($T116+$W116-$AB116)&gt;=8000),T116,"")</f>
        <v/>
      </c>
      <c r="AE116" s="17" t="str">
        <f>IF(($T116+$W116-$AB116)&gt;=$T116+8000,W116,"")</f>
        <v/>
      </c>
    </row>
    <row r="117" spans="1:31" x14ac:dyDescent="0.25">
      <c r="A117" s="15" t="s">
        <v>89</v>
      </c>
      <c r="B117" s="15" t="s">
        <v>90</v>
      </c>
      <c r="C117" s="15" t="s">
        <v>70</v>
      </c>
      <c r="D117" s="16">
        <v>1</v>
      </c>
      <c r="E117" s="17">
        <v>0</v>
      </c>
      <c r="F117" s="17">
        <v>40000</v>
      </c>
      <c r="G117" s="17">
        <v>5000</v>
      </c>
      <c r="H117" s="17">
        <v>2000</v>
      </c>
      <c r="I117" s="17">
        <v>8000</v>
      </c>
      <c r="J117" s="17">
        <f>(1-$D117)*E117</f>
        <v>0</v>
      </c>
      <c r="K117" s="17">
        <f>(1-$D117)*F117</f>
        <v>0</v>
      </c>
      <c r="L117" s="17">
        <f>G117</f>
        <v>5000</v>
      </c>
      <c r="M117" s="17">
        <f>(1-$D117)*H117</f>
        <v>0</v>
      </c>
      <c r="N117" s="17">
        <f>(1-$D117)*I117</f>
        <v>0</v>
      </c>
      <c r="O117" s="17">
        <v>14280</v>
      </c>
      <c r="P117" s="17">
        <v>14330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f>SUM(J117:Y117)</f>
        <v>33610</v>
      </c>
      <c r="AA117" s="17">
        <v>0</v>
      </c>
      <c r="AB117" s="14">
        <f>Z117-AA117</f>
        <v>33610</v>
      </c>
      <c r="AC117" s="17" t="str">
        <f>IF(AND($T117=6000, ($T117+$W117-$AB117)&gt;=6000),T117,"")</f>
        <v/>
      </c>
      <c r="AD117" s="17" t="str">
        <f>IF(AND($T117=8000, ($T117+$W117-$AB117)&gt;=8000),T117,"")</f>
        <v/>
      </c>
      <c r="AE117" s="17" t="str">
        <f>IF(($T117+$W117-$AB117)&gt;=$T117+8000,W117,"")</f>
        <v/>
      </c>
    </row>
    <row r="118" spans="1:31" x14ac:dyDescent="0.25">
      <c r="A118" s="15" t="s">
        <v>125</v>
      </c>
      <c r="B118" s="15" t="s">
        <v>126</v>
      </c>
      <c r="C118" s="15" t="s">
        <v>70</v>
      </c>
      <c r="D118" s="16">
        <v>0.25</v>
      </c>
      <c r="E118" s="17">
        <v>0</v>
      </c>
      <c r="F118" s="17">
        <v>40000</v>
      </c>
      <c r="G118" s="17">
        <v>5000</v>
      </c>
      <c r="H118" s="17">
        <v>2000</v>
      </c>
      <c r="I118" s="17">
        <v>8000</v>
      </c>
      <c r="J118" s="17">
        <f>(1-$D118)*E118</f>
        <v>0</v>
      </c>
      <c r="K118" s="17">
        <f>(1-$D118)*F118</f>
        <v>30000</v>
      </c>
      <c r="L118" s="17">
        <f>G118</f>
        <v>5000</v>
      </c>
      <c r="M118" s="17">
        <f>(1-$D118)*H118</f>
        <v>1500</v>
      </c>
      <c r="N118" s="17">
        <f>(1-$D118)*I118</f>
        <v>6000</v>
      </c>
      <c r="O118" s="17">
        <v>14280</v>
      </c>
      <c r="P118" s="17">
        <v>14330</v>
      </c>
      <c r="Q118" s="17">
        <v>0</v>
      </c>
      <c r="R118" s="17">
        <v>0</v>
      </c>
      <c r="S118" s="17">
        <v>0</v>
      </c>
      <c r="T118" s="17">
        <v>8000</v>
      </c>
      <c r="U118" s="17">
        <v>0</v>
      </c>
      <c r="V118" s="17">
        <v>0</v>
      </c>
      <c r="W118" s="17">
        <v>0</v>
      </c>
      <c r="X118" s="17">
        <v>0</v>
      </c>
      <c r="Y118" s="17">
        <v>2660</v>
      </c>
      <c r="Z118" s="17">
        <f>SUM(J118:Y118)</f>
        <v>81770</v>
      </c>
      <c r="AA118" s="17">
        <v>0</v>
      </c>
      <c r="AB118" s="14">
        <f>Z118-AA118</f>
        <v>81770</v>
      </c>
      <c r="AC118" s="17" t="str">
        <f>IF(AND($T118=6000, ($T118+$W118-$AB118)&gt;=6000),T118,"")</f>
        <v/>
      </c>
      <c r="AD118" s="17" t="str">
        <f>IF(AND($T118=8000, ($T118+$W118-$AB118)&gt;=8000),T118,"")</f>
        <v/>
      </c>
      <c r="AE118" s="17" t="str">
        <f>IF(($T118+$W118-$AB118)&gt;=$T118+8000,W118,"")</f>
        <v/>
      </c>
    </row>
    <row r="119" spans="1:31" x14ac:dyDescent="0.25">
      <c r="A119" s="15" t="s">
        <v>130</v>
      </c>
      <c r="B119" s="15" t="s">
        <v>132</v>
      </c>
      <c r="C119" s="15" t="s">
        <v>70</v>
      </c>
      <c r="D119" s="16">
        <v>0.25</v>
      </c>
      <c r="E119" s="17">
        <v>0</v>
      </c>
      <c r="F119" s="17">
        <v>40000</v>
      </c>
      <c r="G119" s="17">
        <v>5000</v>
      </c>
      <c r="H119" s="17">
        <v>2000</v>
      </c>
      <c r="I119" s="17">
        <v>8000</v>
      </c>
      <c r="J119" s="17">
        <f>(1-$D119)*E119</f>
        <v>0</v>
      </c>
      <c r="K119" s="17">
        <f>(1-$D119)*F119</f>
        <v>30000</v>
      </c>
      <c r="L119" s="17">
        <f>G119</f>
        <v>5000</v>
      </c>
      <c r="M119" s="17">
        <f>(1-$D119)*H119</f>
        <v>1500</v>
      </c>
      <c r="N119" s="17">
        <f>(1-$D119)*I119</f>
        <v>6000</v>
      </c>
      <c r="O119" s="17">
        <v>14280</v>
      </c>
      <c r="P119" s="17">
        <v>14330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f>SUM(J119:Y119)</f>
        <v>71110</v>
      </c>
      <c r="AA119" s="17">
        <v>0</v>
      </c>
      <c r="AB119" s="14">
        <f>Z119-AA119</f>
        <v>71110</v>
      </c>
      <c r="AC119" s="17" t="str">
        <f>IF(AND($T119=6000, ($T119+$W119-$AB119)&gt;=6000),T119,"")</f>
        <v/>
      </c>
      <c r="AD119" s="17" t="str">
        <f>IF(AND($T119=8000, ($T119+$W119-$AB119)&gt;=8000),T119,"")</f>
        <v/>
      </c>
      <c r="AE119" s="17" t="str">
        <f>IF(($T119+$W119-$AB119)&gt;=$T119+8000,W119,"")</f>
        <v/>
      </c>
    </row>
    <row r="120" spans="1:31" x14ac:dyDescent="0.25">
      <c r="A120" s="15" t="s">
        <v>95</v>
      </c>
      <c r="B120" s="15" t="s">
        <v>96</v>
      </c>
      <c r="C120" s="15" t="s">
        <v>52</v>
      </c>
      <c r="D120" s="16">
        <v>0</v>
      </c>
      <c r="E120" s="17">
        <v>0</v>
      </c>
      <c r="F120" s="17">
        <v>40000</v>
      </c>
      <c r="G120" s="17">
        <v>5000</v>
      </c>
      <c r="H120" s="17">
        <v>2000</v>
      </c>
      <c r="I120" s="17">
        <v>8000</v>
      </c>
      <c r="J120" s="17">
        <f>(1-$D120)*E120</f>
        <v>0</v>
      </c>
      <c r="K120" s="17">
        <f>(1-$D120)*F120</f>
        <v>40000</v>
      </c>
      <c r="L120" s="17">
        <f>G120</f>
        <v>5000</v>
      </c>
      <c r="M120" s="17">
        <f>(1-$D120)*H120</f>
        <v>2000</v>
      </c>
      <c r="N120" s="17">
        <f>(1-$D120)*I120</f>
        <v>8000</v>
      </c>
      <c r="O120" s="17">
        <v>14280</v>
      </c>
      <c r="P120" s="17">
        <v>14330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5830</v>
      </c>
      <c r="Z120" s="17">
        <f>SUM(J120:Y120)</f>
        <v>89440</v>
      </c>
      <c r="AA120" s="17">
        <v>0</v>
      </c>
      <c r="AB120" s="14">
        <f>Z120-AA120</f>
        <v>89440</v>
      </c>
      <c r="AC120" s="17" t="str">
        <f>IF(AND($T120=6000, ($T120+$W120-$AB120)&gt;=6000),T120,"")</f>
        <v/>
      </c>
      <c r="AD120" s="17" t="str">
        <f>IF(AND($T120=8000, ($T120+$W120-$AB120)&gt;=8000),T120,"")</f>
        <v/>
      </c>
      <c r="AE120" s="17" t="str">
        <f>IF(($T120+$W120-$AB120)&gt;=$T120+8000,W120,"")</f>
        <v/>
      </c>
    </row>
    <row r="121" spans="1:31" x14ac:dyDescent="0.25">
      <c r="A121" s="32"/>
      <c r="B121" s="32"/>
      <c r="C121" s="32"/>
      <c r="D121" s="33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>
        <f>SUM(Y2:Y120)</f>
        <v>188670</v>
      </c>
      <c r="Z121" s="29">
        <f>SUM(Z2:Z120)</f>
        <v>7931310</v>
      </c>
      <c r="AA121" s="29">
        <f>SUM(AA2:AA120)</f>
        <v>48000</v>
      </c>
      <c r="AB121" s="29">
        <f>SUM(AB2:AB120)</f>
        <v>7883310</v>
      </c>
      <c r="AC121" s="29">
        <f>SUM(AC2:AC120)</f>
        <v>0</v>
      </c>
      <c r="AD121" s="29">
        <f>SUM(AD2:AD120)</f>
        <v>0</v>
      </c>
      <c r="AE121" s="29">
        <f>SUM(AE2:AE120)</f>
        <v>0</v>
      </c>
    </row>
    <row r="122" spans="1:31" x14ac:dyDescent="0.25">
      <c r="A122" s="20"/>
      <c r="B122" s="20"/>
      <c r="C122" s="20"/>
      <c r="D122" s="21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19"/>
      <c r="AC122" s="28"/>
      <c r="AD122" s="28"/>
    </row>
    <row r="123" spans="1:31" x14ac:dyDescent="0.25">
      <c r="A123" s="20"/>
      <c r="B123" s="20"/>
      <c r="C123" s="20"/>
      <c r="D123" s="21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19"/>
      <c r="AC123" s="28"/>
      <c r="AD123" s="28"/>
    </row>
    <row r="124" spans="1:31" x14ac:dyDescent="0.25">
      <c r="A124" s="20"/>
      <c r="B124" s="20"/>
      <c r="C124" s="20"/>
      <c r="D124" s="21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19"/>
      <c r="AC124" s="28"/>
      <c r="AD124" s="28"/>
    </row>
    <row r="125" spans="1:31" x14ac:dyDescent="0.25">
      <c r="A125" s="20"/>
      <c r="B125" s="20"/>
      <c r="C125" s="20"/>
      <c r="D125" s="21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19"/>
      <c r="AC125" s="28"/>
      <c r="AD125" s="28"/>
    </row>
    <row r="126" spans="1:31" x14ac:dyDescent="0.25">
      <c r="A126" s="20"/>
      <c r="B126" s="20"/>
      <c r="C126" s="20"/>
      <c r="D126" s="21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19"/>
      <c r="AC126" s="28"/>
      <c r="AD126" s="28"/>
    </row>
    <row r="127" spans="1:31" x14ac:dyDescent="0.25">
      <c r="A127" s="20"/>
      <c r="B127" s="20"/>
      <c r="C127" s="20"/>
      <c r="D127" s="21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19"/>
      <c r="AC127" s="28"/>
      <c r="AD127" s="28"/>
    </row>
    <row r="128" spans="1:31" x14ac:dyDescent="0.25">
      <c r="A128" s="20"/>
      <c r="B128" s="20"/>
      <c r="C128" s="20"/>
      <c r="D128" s="21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19"/>
      <c r="AC128" s="28"/>
      <c r="AD128" s="28"/>
    </row>
    <row r="129" spans="1:30" x14ac:dyDescent="0.25">
      <c r="A129" s="20"/>
      <c r="B129" s="20"/>
      <c r="C129" s="20"/>
      <c r="D129" s="21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19"/>
      <c r="AC129" s="28"/>
      <c r="AD129" s="28"/>
    </row>
    <row r="130" spans="1:30" x14ac:dyDescent="0.25">
      <c r="A130" s="20"/>
      <c r="B130" s="20"/>
      <c r="C130" s="20"/>
      <c r="D130" s="21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19"/>
      <c r="AC130" s="28"/>
      <c r="AD130" s="28"/>
    </row>
    <row r="131" spans="1:30" x14ac:dyDescent="0.25">
      <c r="A131" s="20"/>
      <c r="B131" s="20"/>
      <c r="C131" s="20"/>
      <c r="D131" s="21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19"/>
      <c r="AC131" s="28"/>
      <c r="AD131" s="28"/>
    </row>
    <row r="132" spans="1:30" x14ac:dyDescent="0.25">
      <c r="A132" s="20"/>
      <c r="B132" s="20"/>
      <c r="C132" s="20"/>
      <c r="D132" s="21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19"/>
      <c r="AC132" s="28"/>
      <c r="AD132" s="28"/>
    </row>
    <row r="133" spans="1:30" x14ac:dyDescent="0.25">
      <c r="A133" s="20"/>
      <c r="B133" s="20"/>
      <c r="C133" s="20"/>
      <c r="D133" s="21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19"/>
      <c r="AC133" s="28"/>
      <c r="AD133" s="28"/>
    </row>
    <row r="134" spans="1:30" x14ac:dyDescent="0.25">
      <c r="A134" s="20"/>
      <c r="B134" s="20"/>
      <c r="C134" s="20"/>
      <c r="D134" s="21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19"/>
      <c r="AC134" s="28"/>
      <c r="AD134" s="28"/>
    </row>
    <row r="135" spans="1:30" x14ac:dyDescent="0.25">
      <c r="A135" s="20"/>
      <c r="B135" s="20"/>
      <c r="C135" s="20"/>
      <c r="D135" s="21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19"/>
      <c r="AC135" s="28"/>
      <c r="AD135" s="28"/>
    </row>
    <row r="136" spans="1:30" x14ac:dyDescent="0.25">
      <c r="A136" s="20"/>
      <c r="B136" s="20"/>
      <c r="C136" s="20"/>
      <c r="D136" s="21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19"/>
      <c r="AC136" s="28"/>
      <c r="AD136" s="28"/>
    </row>
    <row r="137" spans="1:30" x14ac:dyDescent="0.25">
      <c r="A137" s="20"/>
      <c r="B137" s="20"/>
      <c r="C137" s="20"/>
      <c r="D137" s="21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19"/>
      <c r="AC137" s="28"/>
      <c r="AD137" s="28"/>
    </row>
    <row r="138" spans="1:30" x14ac:dyDescent="0.25">
      <c r="A138" s="20"/>
      <c r="B138" s="20"/>
      <c r="C138" s="20"/>
      <c r="D138" s="21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19"/>
      <c r="AC138" s="28"/>
      <c r="AD138" s="28"/>
    </row>
    <row r="139" spans="1:30" x14ac:dyDescent="0.25">
      <c r="A139" s="20"/>
      <c r="B139" s="20"/>
      <c r="C139" s="20"/>
      <c r="D139" s="21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19"/>
      <c r="AC139" s="28"/>
      <c r="AD139" s="28"/>
    </row>
    <row r="140" spans="1:30" x14ac:dyDescent="0.25">
      <c r="A140" s="20"/>
      <c r="B140" s="20"/>
      <c r="C140" s="20"/>
      <c r="D140" s="21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19"/>
      <c r="AC140" s="28"/>
      <c r="AD140" s="28"/>
    </row>
    <row r="141" spans="1:30" x14ac:dyDescent="0.25">
      <c r="A141" s="20"/>
      <c r="B141" s="20"/>
      <c r="C141" s="20"/>
      <c r="D141" s="21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19"/>
      <c r="AC141" s="28"/>
      <c r="AD141" s="28"/>
    </row>
    <row r="142" spans="1:30" x14ac:dyDescent="0.25">
      <c r="A142" s="20"/>
      <c r="B142" s="20"/>
      <c r="C142" s="20"/>
      <c r="D142" s="21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19"/>
      <c r="AC142" s="28"/>
      <c r="AD142" s="28"/>
    </row>
    <row r="143" spans="1:30" x14ac:dyDescent="0.25">
      <c r="A143" s="20"/>
      <c r="B143" s="20"/>
      <c r="C143" s="20"/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19"/>
      <c r="AC143" s="28"/>
      <c r="AD143" s="28"/>
    </row>
    <row r="144" spans="1:30" x14ac:dyDescent="0.25">
      <c r="A144" s="20"/>
      <c r="B144" s="20"/>
      <c r="C144" s="20"/>
      <c r="D144" s="21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19"/>
      <c r="AC144" s="28"/>
      <c r="AD144" s="28"/>
    </row>
    <row r="145" spans="1:30" x14ac:dyDescent="0.25">
      <c r="A145" s="20"/>
      <c r="B145" s="20"/>
      <c r="C145" s="20"/>
      <c r="D145" s="21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19"/>
      <c r="AC145" s="28"/>
      <c r="AD145" s="28"/>
    </row>
    <row r="146" spans="1:30" x14ac:dyDescent="0.25">
      <c r="A146" s="20"/>
      <c r="B146" s="20"/>
      <c r="C146" s="20"/>
      <c r="D146" s="21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19"/>
      <c r="AC146" s="28"/>
      <c r="AD146" s="28"/>
    </row>
    <row r="147" spans="1:30" x14ac:dyDescent="0.25">
      <c r="A147" s="20"/>
      <c r="B147" s="20"/>
      <c r="C147" s="20"/>
      <c r="D147" s="21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19"/>
      <c r="AC147" s="28"/>
      <c r="AD147" s="28"/>
    </row>
    <row r="148" spans="1:30" x14ac:dyDescent="0.25">
      <c r="A148" s="20"/>
      <c r="B148" s="20"/>
      <c r="C148" s="20"/>
      <c r="D148" s="21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19"/>
      <c r="AC148" s="28"/>
      <c r="AD148" s="28"/>
    </row>
    <row r="149" spans="1:30" x14ac:dyDescent="0.25">
      <c r="A149" s="20"/>
      <c r="B149" s="20"/>
      <c r="C149" s="20"/>
      <c r="D149" s="21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19"/>
      <c r="AC149" s="28"/>
      <c r="AD149" s="28"/>
    </row>
    <row r="150" spans="1:30" x14ac:dyDescent="0.25">
      <c r="A150" s="20"/>
      <c r="B150" s="20"/>
      <c r="C150" s="20"/>
      <c r="D150" s="21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19"/>
      <c r="AC150" s="28"/>
      <c r="AD150" s="28"/>
    </row>
    <row r="151" spans="1:30" x14ac:dyDescent="0.25">
      <c r="A151" s="20"/>
      <c r="B151" s="20"/>
      <c r="C151" s="20"/>
      <c r="D151" s="21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19"/>
      <c r="AC151" s="28"/>
      <c r="AD151" s="28"/>
    </row>
    <row r="152" spans="1:30" x14ac:dyDescent="0.25">
      <c r="A152" s="20"/>
      <c r="B152" s="20"/>
      <c r="C152" s="20"/>
      <c r="D152" s="21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19"/>
      <c r="AC152" s="28"/>
      <c r="AD152" s="28"/>
    </row>
    <row r="153" spans="1:30" x14ac:dyDescent="0.25">
      <c r="A153" s="20"/>
      <c r="B153" s="20"/>
      <c r="C153" s="20"/>
      <c r="D153" s="21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19"/>
      <c r="AC153" s="28"/>
      <c r="AD153" s="28"/>
    </row>
    <row r="154" spans="1:30" x14ac:dyDescent="0.25">
      <c r="A154" s="20"/>
      <c r="B154" s="20"/>
      <c r="C154" s="20"/>
      <c r="D154" s="21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19"/>
      <c r="AC154" s="28"/>
      <c r="AD154" s="28"/>
    </row>
    <row r="155" spans="1:30" x14ac:dyDescent="0.25">
      <c r="A155" s="20"/>
      <c r="B155" s="20"/>
      <c r="C155" s="20"/>
      <c r="D155" s="21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19"/>
      <c r="AC155" s="28"/>
      <c r="AD155" s="28"/>
    </row>
    <row r="156" spans="1:30" x14ac:dyDescent="0.25">
      <c r="A156" s="20"/>
      <c r="B156" s="20"/>
      <c r="C156" s="20"/>
      <c r="D156" s="21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19"/>
      <c r="AC156" s="28"/>
      <c r="AD156" s="28"/>
    </row>
    <row r="157" spans="1:30" x14ac:dyDescent="0.25">
      <c r="A157" s="20"/>
      <c r="B157" s="20"/>
      <c r="C157" s="20"/>
      <c r="D157" s="21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19"/>
      <c r="AC157" s="28"/>
      <c r="AD157" s="28"/>
    </row>
    <row r="158" spans="1:30" x14ac:dyDescent="0.25">
      <c r="A158" s="20"/>
      <c r="B158" s="20"/>
      <c r="C158" s="20"/>
      <c r="D158" s="21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19"/>
      <c r="AC158" s="28"/>
      <c r="AD158" s="28"/>
    </row>
    <row r="159" spans="1:30" x14ac:dyDescent="0.25">
      <c r="A159" s="20"/>
      <c r="B159" s="20"/>
      <c r="C159" s="20"/>
      <c r="D159" s="21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19"/>
      <c r="AC159" s="28"/>
      <c r="AD159" s="28"/>
    </row>
    <row r="160" spans="1:30" x14ac:dyDescent="0.25">
      <c r="A160" s="20"/>
      <c r="B160" s="20"/>
      <c r="C160" s="20"/>
      <c r="D160" s="21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19"/>
      <c r="AC160" s="28"/>
      <c r="AD160" s="28"/>
    </row>
    <row r="161" spans="1:30" x14ac:dyDescent="0.25">
      <c r="A161" s="20"/>
      <c r="B161" s="20"/>
      <c r="C161" s="20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19"/>
      <c r="AC161" s="28"/>
      <c r="AD161" s="28"/>
    </row>
    <row r="162" spans="1:30" x14ac:dyDescent="0.25">
      <c r="A162" s="20"/>
      <c r="B162" s="20"/>
      <c r="C162" s="20"/>
      <c r="D162" s="21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19"/>
      <c r="AC162" s="28"/>
      <c r="AD162" s="28"/>
    </row>
    <row r="163" spans="1:30" x14ac:dyDescent="0.25">
      <c r="A163" s="20"/>
      <c r="B163" s="20"/>
      <c r="C163" s="20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19"/>
      <c r="AC163" s="28"/>
      <c r="AD163" s="28"/>
    </row>
    <row r="164" spans="1:30" x14ac:dyDescent="0.25">
      <c r="A164" s="20"/>
      <c r="B164" s="20"/>
      <c r="C164" s="20"/>
      <c r="D164" s="21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19"/>
      <c r="AC164" s="28"/>
      <c r="AD164" s="28"/>
    </row>
    <row r="165" spans="1:30" x14ac:dyDescent="0.25">
      <c r="A165" s="20"/>
      <c r="B165" s="20"/>
      <c r="C165" s="20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19"/>
      <c r="AC165" s="28"/>
      <c r="AD165" s="28"/>
    </row>
    <row r="166" spans="1:30" x14ac:dyDescent="0.25">
      <c r="A166" s="20"/>
      <c r="B166" s="20"/>
      <c r="C166" s="20"/>
      <c r="D166" s="21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19"/>
      <c r="AC166" s="28"/>
      <c r="AD166" s="28"/>
    </row>
    <row r="167" spans="1:30" x14ac:dyDescent="0.25">
      <c r="A167" s="20"/>
      <c r="B167" s="20"/>
      <c r="C167" s="20"/>
      <c r="D167" s="21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19"/>
      <c r="AC167" s="28"/>
      <c r="AD167" s="28"/>
    </row>
    <row r="168" spans="1:30" x14ac:dyDescent="0.25">
      <c r="A168" s="20"/>
      <c r="B168" s="20"/>
      <c r="C168" s="20"/>
      <c r="D168" s="21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19"/>
      <c r="AC168" s="28"/>
      <c r="AD168" s="28"/>
    </row>
    <row r="169" spans="1:30" x14ac:dyDescent="0.25">
      <c r="A169" s="20"/>
      <c r="B169" s="20"/>
      <c r="C169" s="20"/>
      <c r="D169" s="21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19"/>
      <c r="AC169" s="28"/>
      <c r="AD169" s="28"/>
    </row>
    <row r="170" spans="1:30" x14ac:dyDescent="0.25">
      <c r="A170" s="20"/>
      <c r="B170" s="20"/>
      <c r="C170" s="20"/>
      <c r="D170" s="21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19"/>
      <c r="AC170" s="28"/>
      <c r="AD170" s="28"/>
    </row>
    <row r="171" spans="1:30" x14ac:dyDescent="0.25">
      <c r="A171" s="20"/>
      <c r="B171" s="20"/>
      <c r="C171" s="20"/>
      <c r="D171" s="21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19"/>
      <c r="AC171" s="28"/>
      <c r="AD171" s="28"/>
    </row>
    <row r="172" spans="1:30" x14ac:dyDescent="0.25">
      <c r="A172" s="20"/>
      <c r="B172" s="20"/>
      <c r="C172" s="20"/>
      <c r="D172" s="21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19"/>
      <c r="AC172" s="28"/>
      <c r="AD172" s="28"/>
    </row>
    <row r="173" spans="1:30" x14ac:dyDescent="0.25">
      <c r="A173" s="20"/>
      <c r="B173" s="20"/>
      <c r="C173" s="20"/>
      <c r="D173" s="21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19"/>
      <c r="AC173" s="28"/>
      <c r="AD173" s="28"/>
    </row>
    <row r="174" spans="1:30" x14ac:dyDescent="0.25">
      <c r="A174" s="20"/>
      <c r="B174" s="20"/>
      <c r="C174" s="20"/>
      <c r="D174" s="21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19"/>
      <c r="AC174" s="28"/>
      <c r="AD174" s="28"/>
    </row>
    <row r="175" spans="1:30" x14ac:dyDescent="0.25">
      <c r="A175" s="20"/>
      <c r="B175" s="20"/>
      <c r="C175" s="20"/>
      <c r="D175" s="21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19"/>
      <c r="AC175" s="28"/>
      <c r="AD175" s="28"/>
    </row>
    <row r="176" spans="1:30" x14ac:dyDescent="0.25">
      <c r="A176" s="20"/>
      <c r="B176" s="20"/>
      <c r="C176" s="20"/>
      <c r="D176" s="21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19"/>
      <c r="AC176" s="28"/>
      <c r="AD176" s="28"/>
    </row>
    <row r="177" spans="1:30" x14ac:dyDescent="0.25">
      <c r="A177" s="20"/>
      <c r="B177" s="20"/>
      <c r="C177" s="20"/>
      <c r="D177" s="21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19"/>
      <c r="AC177" s="28"/>
      <c r="AD177" s="28"/>
    </row>
    <row r="178" spans="1:30" x14ac:dyDescent="0.25">
      <c r="A178" s="20"/>
      <c r="B178" s="20"/>
      <c r="C178" s="20"/>
      <c r="D178" s="21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19"/>
      <c r="AC178" s="28"/>
      <c r="AD178" s="28"/>
    </row>
    <row r="179" spans="1:30" x14ac:dyDescent="0.25">
      <c r="A179" s="20"/>
      <c r="B179" s="20"/>
      <c r="C179" s="20"/>
      <c r="D179" s="21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19"/>
      <c r="AC179" s="28"/>
      <c r="AD179" s="28"/>
    </row>
    <row r="180" spans="1:30" x14ac:dyDescent="0.25">
      <c r="A180" s="20"/>
      <c r="B180" s="20"/>
      <c r="C180" s="20"/>
      <c r="D180" s="21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19"/>
      <c r="AC180" s="28"/>
      <c r="AD180" s="28"/>
    </row>
    <row r="181" spans="1:30" x14ac:dyDescent="0.25">
      <c r="A181" s="20"/>
      <c r="B181" s="20"/>
      <c r="C181" s="20"/>
      <c r="D181" s="21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19"/>
      <c r="AC181" s="28"/>
      <c r="AD181" s="28"/>
    </row>
    <row r="182" spans="1:30" x14ac:dyDescent="0.25">
      <c r="A182" s="20"/>
      <c r="B182" s="20"/>
      <c r="C182" s="20"/>
      <c r="D182" s="21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19"/>
      <c r="AC182" s="28"/>
      <c r="AD182" s="28"/>
    </row>
    <row r="183" spans="1:30" x14ac:dyDescent="0.25">
      <c r="A183" s="20"/>
      <c r="B183" s="20"/>
      <c r="C183" s="20"/>
      <c r="D183" s="21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19"/>
      <c r="AC183" s="28"/>
      <c r="AD183" s="28"/>
    </row>
    <row r="184" spans="1:30" x14ac:dyDescent="0.25">
      <c r="A184" s="20"/>
      <c r="B184" s="20"/>
      <c r="C184" s="20"/>
      <c r="D184" s="21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19"/>
      <c r="AC184" s="28"/>
      <c r="AD184" s="28"/>
    </row>
    <row r="185" spans="1:30" x14ac:dyDescent="0.25">
      <c r="A185" s="20"/>
      <c r="B185" s="20"/>
      <c r="C185" s="20"/>
      <c r="D185" s="21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19"/>
      <c r="AC185" s="28"/>
      <c r="AD185" s="28"/>
    </row>
    <row r="186" spans="1:30" x14ac:dyDescent="0.25">
      <c r="A186" s="20"/>
      <c r="B186" s="20"/>
      <c r="C186" s="20"/>
      <c r="D186" s="21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19"/>
      <c r="AC186" s="28"/>
      <c r="AD186" s="28"/>
    </row>
    <row r="187" spans="1:30" x14ac:dyDescent="0.25">
      <c r="A187" s="20"/>
      <c r="B187" s="20"/>
      <c r="C187" s="20"/>
      <c r="D187" s="21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19"/>
      <c r="AC187" s="28"/>
      <c r="AD187" s="28"/>
    </row>
    <row r="188" spans="1:30" x14ac:dyDescent="0.25">
      <c r="A188" s="20"/>
      <c r="B188" s="20"/>
      <c r="C188" s="20"/>
      <c r="D188" s="21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19"/>
      <c r="AC188" s="28"/>
      <c r="AD188" s="28"/>
    </row>
    <row r="189" spans="1:30" x14ac:dyDescent="0.25">
      <c r="A189" s="20"/>
      <c r="B189" s="20"/>
      <c r="C189" s="20"/>
      <c r="D189" s="21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19"/>
      <c r="AC189" s="28"/>
      <c r="AD189" s="28"/>
    </row>
    <row r="190" spans="1:30" x14ac:dyDescent="0.25">
      <c r="A190" s="20"/>
      <c r="B190" s="20"/>
      <c r="C190" s="20"/>
      <c r="D190" s="21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19"/>
      <c r="AC190" s="28"/>
      <c r="AD190" s="28"/>
    </row>
    <row r="191" spans="1:30" x14ac:dyDescent="0.25">
      <c r="A191" s="20"/>
      <c r="B191" s="20"/>
      <c r="C191" s="20"/>
      <c r="D191" s="21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19"/>
      <c r="AC191" s="28"/>
      <c r="AD191" s="28"/>
    </row>
    <row r="192" spans="1:30" x14ac:dyDescent="0.25">
      <c r="A192" s="20"/>
      <c r="B192" s="20"/>
      <c r="C192" s="20"/>
      <c r="D192" s="21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19"/>
      <c r="AC192" s="28"/>
      <c r="AD192" s="28"/>
    </row>
    <row r="193" spans="1:30" x14ac:dyDescent="0.25">
      <c r="A193" s="20"/>
      <c r="B193" s="20"/>
      <c r="C193" s="20"/>
      <c r="D193" s="21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19"/>
      <c r="AC193" s="28"/>
      <c r="AD193" s="28"/>
    </row>
    <row r="194" spans="1:30" x14ac:dyDescent="0.25">
      <c r="A194" s="20"/>
      <c r="B194" s="20"/>
      <c r="C194" s="20"/>
      <c r="D194" s="21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19"/>
      <c r="AC194" s="28"/>
      <c r="AD194" s="28"/>
    </row>
    <row r="195" spans="1:30" x14ac:dyDescent="0.25">
      <c r="A195" s="20"/>
      <c r="B195" s="20"/>
      <c r="C195" s="20"/>
      <c r="D195" s="21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19"/>
      <c r="AC195" s="28"/>
      <c r="AD195" s="28"/>
    </row>
    <row r="196" spans="1:30" x14ac:dyDescent="0.25">
      <c r="A196" s="20"/>
      <c r="B196" s="20"/>
      <c r="C196" s="20"/>
      <c r="D196" s="21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19"/>
      <c r="AC196" s="28"/>
      <c r="AD196" s="28"/>
    </row>
    <row r="197" spans="1:30" x14ac:dyDescent="0.25">
      <c r="A197" s="20"/>
      <c r="B197" s="20"/>
      <c r="C197" s="20"/>
      <c r="D197" s="21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19"/>
      <c r="AC197" s="28"/>
      <c r="AD197" s="28"/>
    </row>
    <row r="198" spans="1:30" x14ac:dyDescent="0.25">
      <c r="A198" s="20"/>
      <c r="B198" s="20"/>
      <c r="C198" s="20"/>
      <c r="D198" s="21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19"/>
      <c r="AC198" s="28"/>
      <c r="AD198" s="28"/>
    </row>
    <row r="199" spans="1:30" x14ac:dyDescent="0.25">
      <c r="A199" s="20"/>
      <c r="B199" s="20"/>
      <c r="C199" s="20"/>
      <c r="D199" s="21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19"/>
      <c r="AC199" s="28"/>
      <c r="AD199" s="28"/>
    </row>
    <row r="200" spans="1:30" x14ac:dyDescent="0.25">
      <c r="A200" s="20"/>
      <c r="B200" s="20"/>
      <c r="C200" s="20"/>
      <c r="D200" s="21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19"/>
      <c r="AC200" s="28"/>
      <c r="AD200" s="28"/>
    </row>
    <row r="201" spans="1:30" x14ac:dyDescent="0.25">
      <c r="A201" s="20"/>
      <c r="B201" s="20"/>
      <c r="C201" s="20"/>
      <c r="D201" s="21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19"/>
      <c r="AC201" s="28"/>
      <c r="AD201" s="28"/>
    </row>
    <row r="202" spans="1:30" x14ac:dyDescent="0.25">
      <c r="A202" s="20"/>
      <c r="B202" s="20"/>
      <c r="C202" s="20"/>
      <c r="D202" s="21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19"/>
      <c r="AC202" s="28"/>
      <c r="AD202" s="28"/>
    </row>
    <row r="203" spans="1:30" x14ac:dyDescent="0.25">
      <c r="A203" s="20"/>
      <c r="B203" s="20"/>
      <c r="C203" s="20"/>
      <c r="D203" s="21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19"/>
      <c r="AC203" s="28"/>
      <c r="AD203" s="28"/>
    </row>
    <row r="204" spans="1:30" x14ac:dyDescent="0.25">
      <c r="A204" s="20"/>
      <c r="B204" s="20"/>
      <c r="C204" s="20"/>
      <c r="D204" s="21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19"/>
      <c r="AC204" s="28"/>
      <c r="AD204" s="28"/>
    </row>
    <row r="205" spans="1:30" x14ac:dyDescent="0.25">
      <c r="A205" s="20"/>
      <c r="B205" s="20"/>
      <c r="C205" s="20"/>
      <c r="D205" s="21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19"/>
      <c r="AC205" s="28"/>
      <c r="AD205" s="28"/>
    </row>
    <row r="206" spans="1:30" x14ac:dyDescent="0.25">
      <c r="A206" s="20"/>
      <c r="B206" s="20"/>
      <c r="C206" s="20"/>
      <c r="D206" s="21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19"/>
      <c r="AC206" s="28"/>
      <c r="AD206" s="28"/>
    </row>
    <row r="207" spans="1:30" x14ac:dyDescent="0.25">
      <c r="A207" s="20"/>
      <c r="B207" s="20"/>
      <c r="C207" s="20"/>
      <c r="D207" s="21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19"/>
      <c r="AC207" s="28"/>
      <c r="AD207" s="28"/>
    </row>
    <row r="208" spans="1:30" x14ac:dyDescent="0.25">
      <c r="A208" s="20"/>
      <c r="B208" s="20"/>
      <c r="C208" s="20"/>
      <c r="D208" s="21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19"/>
      <c r="AC208" s="28"/>
      <c r="AD208" s="28"/>
    </row>
    <row r="209" spans="1:30" x14ac:dyDescent="0.25">
      <c r="A209" s="20"/>
      <c r="B209" s="20"/>
      <c r="C209" s="20"/>
      <c r="D209" s="21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19"/>
      <c r="AC209" s="28"/>
      <c r="AD209" s="28"/>
    </row>
    <row r="210" spans="1:30" x14ac:dyDescent="0.25">
      <c r="A210" s="20"/>
      <c r="B210" s="20"/>
      <c r="C210" s="20"/>
      <c r="D210" s="21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19"/>
      <c r="AC210" s="28"/>
      <c r="AD210" s="28"/>
    </row>
    <row r="211" spans="1:30" x14ac:dyDescent="0.25">
      <c r="A211" s="20"/>
      <c r="B211" s="20"/>
      <c r="C211" s="20"/>
      <c r="D211" s="21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19"/>
      <c r="AC211" s="28"/>
      <c r="AD211" s="28"/>
    </row>
    <row r="212" spans="1:30" x14ac:dyDescent="0.25">
      <c r="A212" s="20"/>
      <c r="B212" s="20"/>
      <c r="C212" s="20"/>
      <c r="D212" s="21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19"/>
      <c r="AC212" s="28"/>
      <c r="AD212" s="28"/>
    </row>
    <row r="213" spans="1:30" x14ac:dyDescent="0.25">
      <c r="A213" s="20"/>
      <c r="B213" s="20"/>
      <c r="C213" s="20"/>
      <c r="D213" s="21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19"/>
      <c r="AC213" s="28"/>
      <c r="AD213" s="28"/>
    </row>
    <row r="214" spans="1:30" x14ac:dyDescent="0.25">
      <c r="A214" s="20"/>
      <c r="B214" s="20"/>
      <c r="C214" s="20"/>
      <c r="D214" s="21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19"/>
      <c r="AC214" s="28"/>
      <c r="AD214" s="28"/>
    </row>
    <row r="215" spans="1:30" x14ac:dyDescent="0.25">
      <c r="A215" s="20"/>
      <c r="B215" s="20"/>
      <c r="C215" s="20"/>
      <c r="D215" s="21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19"/>
      <c r="AC215" s="28"/>
      <c r="AD215" s="28"/>
    </row>
    <row r="216" spans="1:30" x14ac:dyDescent="0.25">
      <c r="A216" s="20"/>
      <c r="B216" s="20"/>
      <c r="C216" s="20"/>
      <c r="D216" s="21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19"/>
      <c r="AC216" s="28"/>
      <c r="AD216" s="28"/>
    </row>
    <row r="217" spans="1:30" x14ac:dyDescent="0.25">
      <c r="A217" s="20"/>
      <c r="B217" s="20"/>
      <c r="C217" s="20"/>
      <c r="D217" s="21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19"/>
      <c r="AC217" s="28"/>
      <c r="AD217" s="28"/>
    </row>
    <row r="218" spans="1:30" x14ac:dyDescent="0.25">
      <c r="A218" s="20"/>
      <c r="B218" s="20"/>
      <c r="C218" s="20"/>
      <c r="D218" s="21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19"/>
      <c r="AC218" s="28"/>
      <c r="AD218" s="28"/>
    </row>
    <row r="219" spans="1:30" x14ac:dyDescent="0.25">
      <c r="A219" s="20"/>
      <c r="B219" s="20"/>
      <c r="C219" s="20"/>
      <c r="D219" s="21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19"/>
      <c r="AC219" s="28"/>
      <c r="AD219" s="28"/>
    </row>
    <row r="220" spans="1:30" x14ac:dyDescent="0.25">
      <c r="A220" s="20"/>
      <c r="B220" s="20"/>
      <c r="C220" s="20"/>
      <c r="D220" s="21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19"/>
      <c r="AC220" s="28"/>
      <c r="AD220" s="28"/>
    </row>
    <row r="221" spans="1:30" x14ac:dyDescent="0.25">
      <c r="A221" s="20"/>
      <c r="B221" s="20"/>
      <c r="C221" s="20"/>
      <c r="D221" s="21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19"/>
      <c r="AC221" s="28"/>
      <c r="AD221" s="28"/>
    </row>
    <row r="222" spans="1:30" x14ac:dyDescent="0.25">
      <c r="A222" s="20"/>
      <c r="B222" s="20"/>
      <c r="C222" s="20"/>
      <c r="D222" s="21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19"/>
      <c r="AC222" s="28"/>
      <c r="AD222" s="28"/>
    </row>
    <row r="223" spans="1:30" x14ac:dyDescent="0.25">
      <c r="A223" s="20"/>
      <c r="B223" s="20"/>
      <c r="C223" s="20"/>
      <c r="D223" s="21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19"/>
      <c r="AC223" s="28"/>
      <c r="AD223" s="28"/>
    </row>
    <row r="224" spans="1:30" x14ac:dyDescent="0.25">
      <c r="A224" s="20"/>
      <c r="B224" s="20"/>
      <c r="C224" s="20"/>
      <c r="D224" s="21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18"/>
      <c r="AC224" s="28"/>
      <c r="AD224" s="28"/>
    </row>
    <row r="225" spans="1:30" x14ac:dyDescent="0.25">
      <c r="A225" s="20"/>
      <c r="B225" s="20"/>
      <c r="C225" s="20"/>
      <c r="D225" s="21"/>
      <c r="E225" s="22"/>
      <c r="F225" s="22"/>
      <c r="G225" s="22"/>
      <c r="H225" s="22"/>
      <c r="I225" s="22"/>
      <c r="J225" s="22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18"/>
      <c r="AC225" s="28"/>
      <c r="AD225" s="28"/>
    </row>
    <row r="226" spans="1:30" x14ac:dyDescent="0.25">
      <c r="A226" s="20"/>
      <c r="B226" s="20"/>
      <c r="C226" s="20"/>
      <c r="D226" s="21"/>
      <c r="E226" s="22"/>
      <c r="F226" s="22"/>
      <c r="G226" s="22"/>
      <c r="H226" s="22"/>
      <c r="I226" s="22"/>
      <c r="J226" s="22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18"/>
      <c r="AC226" s="28"/>
      <c r="AD226" s="28"/>
    </row>
    <row r="227" spans="1:30" x14ac:dyDescent="0.25">
      <c r="A227" s="20"/>
      <c r="B227" s="20"/>
      <c r="C227" s="20"/>
      <c r="D227" s="21"/>
      <c r="E227" s="22"/>
      <c r="F227" s="22"/>
      <c r="G227" s="22"/>
      <c r="H227" s="22"/>
      <c r="I227" s="22"/>
      <c r="J227" s="22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18"/>
      <c r="AC227" s="28"/>
      <c r="AD227" s="28"/>
    </row>
    <row r="228" spans="1:30" x14ac:dyDescent="0.25">
      <c r="A228" s="20"/>
      <c r="B228" s="20"/>
      <c r="C228" s="20"/>
      <c r="D228" s="21"/>
      <c r="E228" s="22"/>
      <c r="F228" s="22"/>
      <c r="G228" s="22"/>
      <c r="H228" s="22"/>
      <c r="I228" s="22"/>
      <c r="J228" s="22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18"/>
      <c r="AC228" s="28"/>
      <c r="AD228" s="28"/>
    </row>
    <row r="229" spans="1:30" x14ac:dyDescent="0.25">
      <c r="A229" s="20"/>
      <c r="B229" s="20"/>
      <c r="C229" s="20"/>
      <c r="D229" s="21"/>
      <c r="E229" s="22"/>
      <c r="F229" s="22"/>
      <c r="G229" s="22"/>
      <c r="H229" s="22"/>
      <c r="I229" s="22"/>
      <c r="J229" s="22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18"/>
      <c r="AC229" s="28"/>
      <c r="AD229" s="28"/>
    </row>
    <row r="230" spans="1:30" x14ac:dyDescent="0.25">
      <c r="A230" s="20"/>
      <c r="B230" s="20"/>
      <c r="C230" s="20"/>
      <c r="D230" s="21"/>
      <c r="E230" s="22"/>
      <c r="F230" s="22"/>
      <c r="G230" s="22"/>
      <c r="H230" s="22"/>
      <c r="I230" s="22"/>
      <c r="J230" s="22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18"/>
      <c r="AC230" s="28"/>
      <c r="AD230" s="28"/>
    </row>
    <row r="231" spans="1:30" x14ac:dyDescent="0.25">
      <c r="A231" s="20"/>
      <c r="B231" s="20"/>
      <c r="C231" s="20"/>
      <c r="D231" s="21"/>
      <c r="E231" s="22"/>
      <c r="F231" s="22"/>
      <c r="G231" s="22"/>
      <c r="H231" s="22"/>
      <c r="I231" s="22"/>
      <c r="J231" s="22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18"/>
      <c r="AC231" s="28"/>
      <c r="AD231" s="28"/>
    </row>
    <row r="232" spans="1:30" x14ac:dyDescent="0.25">
      <c r="A232" s="20"/>
      <c r="B232" s="20"/>
      <c r="C232" s="20"/>
      <c r="D232" s="21"/>
      <c r="E232" s="22"/>
      <c r="F232" s="22"/>
      <c r="G232" s="22"/>
      <c r="H232" s="22"/>
      <c r="I232" s="22"/>
      <c r="J232" s="22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18"/>
      <c r="AC232" s="28"/>
      <c r="AD232" s="28"/>
    </row>
    <row r="233" spans="1:30" x14ac:dyDescent="0.25">
      <c r="A233" s="20"/>
      <c r="B233" s="20"/>
      <c r="C233" s="20"/>
      <c r="D233" s="21"/>
      <c r="E233" s="22"/>
      <c r="F233" s="22"/>
      <c r="G233" s="22"/>
      <c r="H233" s="22"/>
      <c r="I233" s="22"/>
      <c r="J233" s="22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18"/>
      <c r="AC233" s="28"/>
      <c r="AD233" s="28"/>
    </row>
    <row r="234" spans="1:30" x14ac:dyDescent="0.25">
      <c r="A234" s="20"/>
      <c r="B234" s="20"/>
      <c r="C234" s="20"/>
      <c r="D234" s="21"/>
      <c r="E234" s="22"/>
      <c r="F234" s="22"/>
      <c r="G234" s="22"/>
      <c r="H234" s="22"/>
      <c r="I234" s="22"/>
      <c r="J234" s="22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18"/>
      <c r="AC234" s="28"/>
      <c r="AD234" s="28"/>
    </row>
    <row r="235" spans="1:30" x14ac:dyDescent="0.25">
      <c r="A235" s="20"/>
      <c r="B235" s="20"/>
      <c r="C235" s="20"/>
      <c r="D235" s="21"/>
      <c r="E235" s="22"/>
      <c r="F235" s="22"/>
      <c r="G235" s="22"/>
      <c r="H235" s="22"/>
      <c r="I235" s="22"/>
      <c r="J235" s="22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18"/>
      <c r="AC235" s="28"/>
      <c r="AD235" s="28"/>
    </row>
    <row r="236" spans="1:30" x14ac:dyDescent="0.25">
      <c r="A236" s="20"/>
      <c r="B236" s="20"/>
      <c r="C236" s="20"/>
      <c r="D236" s="21"/>
      <c r="E236" s="22"/>
      <c r="F236" s="22"/>
      <c r="G236" s="22"/>
      <c r="H236" s="22"/>
      <c r="I236" s="22"/>
      <c r="J236" s="22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18"/>
      <c r="AC236" s="28"/>
      <c r="AD236" s="28"/>
    </row>
    <row r="237" spans="1:30" x14ac:dyDescent="0.25">
      <c r="A237" s="20"/>
      <c r="B237" s="20"/>
      <c r="C237" s="20"/>
      <c r="D237" s="21"/>
      <c r="E237" s="22"/>
      <c r="F237" s="22"/>
      <c r="G237" s="22"/>
      <c r="H237" s="22"/>
      <c r="I237" s="22"/>
      <c r="J237" s="22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18"/>
      <c r="AC237" s="28"/>
      <c r="AD237" s="28"/>
    </row>
    <row r="238" spans="1:30" x14ac:dyDescent="0.25">
      <c r="A238" s="20"/>
      <c r="B238" s="20"/>
      <c r="C238" s="20"/>
      <c r="D238" s="21"/>
      <c r="E238" s="22"/>
      <c r="F238" s="22"/>
      <c r="G238" s="22"/>
      <c r="H238" s="22"/>
      <c r="I238" s="22"/>
      <c r="J238" s="22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18"/>
      <c r="AC238" s="28"/>
      <c r="AD238" s="28"/>
    </row>
    <row r="239" spans="1:30" x14ac:dyDescent="0.25">
      <c r="A239" s="20"/>
      <c r="B239" s="20"/>
      <c r="C239" s="20"/>
      <c r="D239" s="21"/>
      <c r="E239" s="22"/>
      <c r="F239" s="22"/>
      <c r="G239" s="22"/>
      <c r="H239" s="22"/>
      <c r="I239" s="22"/>
      <c r="J239" s="22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18"/>
      <c r="AC239" s="28"/>
      <c r="AD239" s="28"/>
    </row>
    <row r="240" spans="1:30" x14ac:dyDescent="0.25">
      <c r="A240" s="20"/>
      <c r="B240" s="20"/>
      <c r="C240" s="20"/>
      <c r="D240" s="21"/>
      <c r="E240" s="22"/>
      <c r="F240" s="22"/>
      <c r="G240" s="22"/>
      <c r="H240" s="22"/>
      <c r="I240" s="22"/>
      <c r="J240" s="22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18"/>
      <c r="AC240" s="28"/>
      <c r="AD240" s="28"/>
    </row>
    <row r="241" spans="1:30" x14ac:dyDescent="0.25">
      <c r="A241" s="20"/>
      <c r="B241" s="20"/>
      <c r="C241" s="20"/>
      <c r="D241" s="21"/>
      <c r="E241" s="22"/>
      <c r="F241" s="22"/>
      <c r="G241" s="22"/>
      <c r="H241" s="22"/>
      <c r="I241" s="22"/>
      <c r="J241" s="22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18"/>
      <c r="AC241" s="28"/>
      <c r="AD241" s="28"/>
    </row>
    <row r="242" spans="1:30" x14ac:dyDescent="0.25">
      <c r="A242" s="20"/>
      <c r="B242" s="20"/>
      <c r="C242" s="20"/>
      <c r="D242" s="21"/>
      <c r="E242" s="22"/>
      <c r="F242" s="22"/>
      <c r="G242" s="22"/>
      <c r="H242" s="22"/>
      <c r="I242" s="22"/>
      <c r="J242" s="22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18"/>
      <c r="AC242" s="28"/>
      <c r="AD242" s="28"/>
    </row>
    <row r="243" spans="1:30" x14ac:dyDescent="0.25">
      <c r="A243" s="20"/>
      <c r="B243" s="20"/>
      <c r="C243" s="20"/>
      <c r="D243" s="21"/>
      <c r="E243" s="22"/>
      <c r="F243" s="22"/>
      <c r="G243" s="22"/>
      <c r="H243" s="22"/>
      <c r="I243" s="22"/>
      <c r="J243" s="22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18"/>
      <c r="AC243" s="28"/>
      <c r="AD243" s="28"/>
    </row>
    <row r="244" spans="1:30" x14ac:dyDescent="0.25">
      <c r="A244" s="20"/>
      <c r="B244" s="20"/>
      <c r="C244" s="20"/>
      <c r="D244" s="21"/>
      <c r="E244" s="22"/>
      <c r="F244" s="22"/>
      <c r="G244" s="22"/>
      <c r="H244" s="22"/>
      <c r="I244" s="22"/>
      <c r="J244" s="22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18"/>
      <c r="AC244" s="28"/>
      <c r="AD244" s="28"/>
    </row>
    <row r="245" spans="1:30" x14ac:dyDescent="0.25">
      <c r="A245" s="20"/>
      <c r="B245" s="20"/>
      <c r="C245" s="20"/>
      <c r="D245" s="21"/>
      <c r="E245" s="22"/>
      <c r="F245" s="22"/>
      <c r="G245" s="22"/>
      <c r="H245" s="22"/>
      <c r="I245" s="22"/>
      <c r="J245" s="22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18"/>
      <c r="AC245" s="28"/>
      <c r="AD245" s="28"/>
    </row>
    <row r="246" spans="1:30" x14ac:dyDescent="0.25">
      <c r="A246" s="20"/>
      <c r="B246" s="20"/>
      <c r="C246" s="20"/>
      <c r="D246" s="21"/>
      <c r="E246" s="22"/>
      <c r="F246" s="22"/>
      <c r="G246" s="22"/>
      <c r="H246" s="22"/>
      <c r="I246" s="22"/>
      <c r="J246" s="22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18"/>
      <c r="AC246" s="28"/>
      <c r="AD246" s="28"/>
    </row>
    <row r="247" spans="1:30" x14ac:dyDescent="0.25">
      <c r="A247" s="20"/>
      <c r="B247" s="20"/>
      <c r="C247" s="20"/>
      <c r="D247" s="21"/>
      <c r="E247" s="22"/>
      <c r="F247" s="22"/>
      <c r="G247" s="22"/>
      <c r="H247" s="22"/>
      <c r="I247" s="22"/>
      <c r="J247" s="22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18"/>
      <c r="AC247" s="28"/>
      <c r="AD247" s="28"/>
    </row>
    <row r="248" spans="1:30" x14ac:dyDescent="0.25">
      <c r="A248" s="20"/>
      <c r="B248" s="20"/>
      <c r="C248" s="20"/>
      <c r="D248" s="21"/>
      <c r="E248" s="22"/>
      <c r="F248" s="22"/>
      <c r="G248" s="22"/>
      <c r="H248" s="22"/>
      <c r="I248" s="22"/>
      <c r="J248" s="22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18"/>
      <c r="AC248" s="28"/>
      <c r="AD248" s="28"/>
    </row>
    <row r="249" spans="1:30" x14ac:dyDescent="0.25">
      <c r="A249" s="20"/>
      <c r="B249" s="20"/>
      <c r="C249" s="20"/>
      <c r="D249" s="21"/>
      <c r="E249" s="22"/>
      <c r="F249" s="22"/>
      <c r="G249" s="22"/>
      <c r="H249" s="22"/>
      <c r="I249" s="22"/>
      <c r="J249" s="22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18"/>
      <c r="AC249" s="28"/>
      <c r="AD249" s="28"/>
    </row>
    <row r="250" spans="1:30" x14ac:dyDescent="0.25">
      <c r="A250" s="20"/>
      <c r="B250" s="20"/>
      <c r="C250" s="20"/>
      <c r="D250" s="21"/>
      <c r="E250" s="22"/>
      <c r="F250" s="22"/>
      <c r="G250" s="22"/>
      <c r="H250" s="22"/>
      <c r="I250" s="22"/>
      <c r="J250" s="22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18"/>
      <c r="AC250" s="28"/>
      <c r="AD250" s="28"/>
    </row>
    <row r="251" spans="1:30" x14ac:dyDescent="0.25">
      <c r="A251" s="20"/>
      <c r="B251" s="20"/>
      <c r="C251" s="20"/>
      <c r="D251" s="21"/>
      <c r="E251" s="22"/>
      <c r="F251" s="22"/>
      <c r="G251" s="22"/>
      <c r="H251" s="22"/>
      <c r="I251" s="22"/>
      <c r="J251" s="22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18"/>
      <c r="AC251" s="28"/>
      <c r="AD251" s="28"/>
    </row>
    <row r="252" spans="1:30" x14ac:dyDescent="0.25">
      <c r="A252" s="20"/>
      <c r="B252" s="20"/>
      <c r="C252" s="20"/>
      <c r="D252" s="21"/>
      <c r="E252" s="22"/>
      <c r="F252" s="22"/>
      <c r="G252" s="22"/>
      <c r="H252" s="22"/>
      <c r="I252" s="22"/>
      <c r="J252" s="22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18"/>
      <c r="AC252" s="28"/>
      <c r="AD252" s="28"/>
    </row>
    <row r="253" spans="1:30" x14ac:dyDescent="0.25">
      <c r="A253" s="20"/>
      <c r="B253" s="20"/>
      <c r="C253" s="20"/>
      <c r="D253" s="21"/>
      <c r="E253" s="22"/>
      <c r="F253" s="22"/>
      <c r="G253" s="22"/>
      <c r="H253" s="22"/>
      <c r="I253" s="22"/>
      <c r="J253" s="22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18"/>
      <c r="AC253" s="28"/>
      <c r="AD253" s="28"/>
    </row>
    <row r="254" spans="1:30" x14ac:dyDescent="0.25">
      <c r="A254" s="20"/>
      <c r="B254" s="20"/>
      <c r="C254" s="20"/>
      <c r="D254" s="21"/>
      <c r="E254" s="22"/>
      <c r="F254" s="22"/>
      <c r="G254" s="22"/>
      <c r="H254" s="22"/>
      <c r="I254" s="22"/>
      <c r="J254" s="22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18"/>
      <c r="AC254" s="28"/>
      <c r="AD254" s="28"/>
    </row>
    <row r="255" spans="1:30" x14ac:dyDescent="0.25">
      <c r="A255" s="20"/>
      <c r="B255" s="20"/>
      <c r="C255" s="20"/>
      <c r="D255" s="21"/>
      <c r="E255" s="22"/>
      <c r="F255" s="22"/>
      <c r="G255" s="22"/>
      <c r="H255" s="22"/>
      <c r="I255" s="22"/>
      <c r="J255" s="22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18"/>
      <c r="AC255" s="28"/>
      <c r="AD255" s="28"/>
    </row>
    <row r="256" spans="1:30" x14ac:dyDescent="0.25">
      <c r="A256" s="20"/>
      <c r="B256" s="20"/>
      <c r="C256" s="20"/>
      <c r="D256" s="21"/>
      <c r="E256" s="22"/>
      <c r="F256" s="22"/>
      <c r="G256" s="22"/>
      <c r="H256" s="22"/>
      <c r="I256" s="22"/>
      <c r="J256" s="22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18"/>
      <c r="AC256" s="28"/>
      <c r="AD256" s="28"/>
    </row>
    <row r="257" spans="1:30" x14ac:dyDescent="0.25">
      <c r="A257" s="20"/>
      <c r="B257" s="20"/>
      <c r="C257" s="20"/>
      <c r="D257" s="21"/>
      <c r="E257" s="22"/>
      <c r="F257" s="22"/>
      <c r="G257" s="22"/>
      <c r="H257" s="22"/>
      <c r="I257" s="22"/>
      <c r="J257" s="22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18"/>
      <c r="AC257" s="28"/>
      <c r="AD257" s="28"/>
    </row>
    <row r="258" spans="1:30" x14ac:dyDescent="0.25">
      <c r="A258" s="20"/>
      <c r="B258" s="20"/>
      <c r="C258" s="20"/>
      <c r="D258" s="21"/>
      <c r="E258" s="22"/>
      <c r="F258" s="22"/>
      <c r="G258" s="22"/>
      <c r="H258" s="22"/>
      <c r="I258" s="22"/>
      <c r="J258" s="22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18"/>
      <c r="AC258" s="28"/>
      <c r="AD258" s="28"/>
    </row>
    <row r="259" spans="1:30" x14ac:dyDescent="0.25">
      <c r="A259" s="20"/>
      <c r="B259" s="20"/>
      <c r="C259" s="20"/>
      <c r="D259" s="21"/>
      <c r="E259" s="22"/>
      <c r="F259" s="22"/>
      <c r="G259" s="22"/>
      <c r="H259" s="22"/>
      <c r="I259" s="22"/>
      <c r="J259" s="22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18"/>
      <c r="AC259" s="28"/>
      <c r="AD259" s="28"/>
    </row>
    <row r="260" spans="1:30" x14ac:dyDescent="0.25">
      <c r="A260" s="20"/>
      <c r="B260" s="20"/>
      <c r="C260" s="20"/>
      <c r="D260" s="21"/>
      <c r="E260" s="22"/>
      <c r="F260" s="22"/>
      <c r="G260" s="22"/>
      <c r="H260" s="22"/>
      <c r="I260" s="22"/>
      <c r="J260" s="22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18"/>
      <c r="AC260" s="28"/>
      <c r="AD260" s="28"/>
    </row>
    <row r="261" spans="1:30" x14ac:dyDescent="0.25">
      <c r="A261" s="20"/>
      <c r="B261" s="20"/>
      <c r="C261" s="20"/>
      <c r="D261" s="21"/>
      <c r="E261" s="22"/>
      <c r="F261" s="22"/>
      <c r="G261" s="22"/>
      <c r="H261" s="22"/>
      <c r="I261" s="22"/>
      <c r="J261" s="22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18"/>
      <c r="AC261" s="28"/>
      <c r="AD261" s="28"/>
    </row>
    <row r="262" spans="1:30" x14ac:dyDescent="0.25">
      <c r="A262" s="20"/>
      <c r="B262" s="20"/>
      <c r="C262" s="20"/>
      <c r="D262" s="21"/>
      <c r="E262" s="22"/>
      <c r="F262" s="22"/>
      <c r="G262" s="22"/>
      <c r="H262" s="22"/>
      <c r="I262" s="22"/>
      <c r="J262" s="22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18"/>
      <c r="AC262" s="28"/>
      <c r="AD262" s="28"/>
    </row>
    <row r="263" spans="1:30" x14ac:dyDescent="0.25">
      <c r="A263" s="20"/>
      <c r="B263" s="20"/>
      <c r="C263" s="20"/>
      <c r="D263" s="21"/>
      <c r="E263" s="22"/>
      <c r="F263" s="22"/>
      <c r="G263" s="22"/>
      <c r="H263" s="22"/>
      <c r="I263" s="22"/>
      <c r="J263" s="22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18"/>
      <c r="AC263" s="28"/>
      <c r="AD263" s="28"/>
    </row>
    <row r="264" spans="1:30" x14ac:dyDescent="0.25">
      <c r="A264" s="20"/>
      <c r="B264" s="20"/>
      <c r="C264" s="20"/>
      <c r="D264" s="21"/>
      <c r="E264" s="22"/>
      <c r="F264" s="22"/>
      <c r="G264" s="22"/>
      <c r="H264" s="22"/>
      <c r="I264" s="22"/>
      <c r="J264" s="22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18"/>
      <c r="AC264" s="28"/>
      <c r="AD264" s="28"/>
    </row>
    <row r="265" spans="1:30" x14ac:dyDescent="0.25">
      <c r="A265" s="20"/>
      <c r="B265" s="20"/>
      <c r="C265" s="20"/>
      <c r="D265" s="21"/>
      <c r="E265" s="22"/>
      <c r="F265" s="22"/>
      <c r="G265" s="22"/>
      <c r="H265" s="22"/>
      <c r="I265" s="22"/>
      <c r="J265" s="22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4"/>
      <c r="AC265" s="28"/>
      <c r="AD265" s="28"/>
    </row>
    <row r="266" spans="1:30" x14ac:dyDescent="0.25">
      <c r="AB266" s="24"/>
      <c r="AC266" s="28"/>
      <c r="AD266" s="28"/>
    </row>
    <row r="267" spans="1:30" x14ac:dyDescent="0.25">
      <c r="AB267" s="24"/>
      <c r="AC267" s="28"/>
      <c r="AD267" s="28"/>
    </row>
    <row r="268" spans="1:30" x14ac:dyDescent="0.25">
      <c r="AB268" s="24"/>
      <c r="AC268" s="28"/>
      <c r="AD268" s="28"/>
    </row>
    <row r="269" spans="1:30" x14ac:dyDescent="0.25">
      <c r="AB269" s="24"/>
      <c r="AC269" s="28"/>
      <c r="AD269" s="28"/>
    </row>
    <row r="270" spans="1:30" x14ac:dyDescent="0.25">
      <c r="AB270" s="24"/>
      <c r="AC270" s="28"/>
      <c r="AD270" s="28"/>
    </row>
    <row r="271" spans="1:30" x14ac:dyDescent="0.25">
      <c r="AB271" s="24"/>
      <c r="AC271" s="28"/>
      <c r="AD271" s="28"/>
    </row>
    <row r="272" spans="1:30" x14ac:dyDescent="0.25">
      <c r="AB272" s="24"/>
      <c r="AC272" s="28"/>
      <c r="AD272" s="28"/>
    </row>
    <row r="273" spans="28:30" x14ac:dyDescent="0.25">
      <c r="AB273" s="24"/>
      <c r="AC273" s="28"/>
      <c r="AD273" s="28"/>
    </row>
    <row r="274" spans="28:30" x14ac:dyDescent="0.25">
      <c r="AB274" s="24"/>
      <c r="AC274" s="28"/>
      <c r="AD274" s="28"/>
    </row>
    <row r="275" spans="28:30" x14ac:dyDescent="0.25">
      <c r="AB275" s="24"/>
      <c r="AC275" s="28"/>
      <c r="AD275" s="28"/>
    </row>
    <row r="276" spans="28:30" x14ac:dyDescent="0.25">
      <c r="AB276" s="24"/>
      <c r="AC276" s="28"/>
      <c r="AD276" s="28"/>
    </row>
    <row r="277" spans="28:30" x14ac:dyDescent="0.25">
      <c r="AB277" s="24"/>
      <c r="AC277" s="28"/>
      <c r="AD277" s="28"/>
    </row>
    <row r="278" spans="28:30" x14ac:dyDescent="0.25">
      <c r="AB278" s="24"/>
      <c r="AC278" s="28"/>
      <c r="AD278" s="28"/>
    </row>
    <row r="279" spans="28:30" x14ac:dyDescent="0.25">
      <c r="AB279" s="24"/>
      <c r="AC279" s="28"/>
      <c r="AD279" s="28"/>
    </row>
    <row r="280" spans="28:30" x14ac:dyDescent="0.25">
      <c r="AB280" s="24"/>
      <c r="AC280" s="28"/>
      <c r="AD280" s="28"/>
    </row>
    <row r="281" spans="28:30" x14ac:dyDescent="0.25">
      <c r="AB281" s="24"/>
      <c r="AC281" s="28"/>
      <c r="AD281" s="28"/>
    </row>
    <row r="282" spans="28:30" x14ac:dyDescent="0.25">
      <c r="AB282" s="24"/>
      <c r="AC282" s="28"/>
      <c r="AD282" s="28"/>
    </row>
    <row r="283" spans="28:30" x14ac:dyDescent="0.25">
      <c r="AB283" s="24"/>
      <c r="AC283" s="28"/>
      <c r="AD283" s="28"/>
    </row>
    <row r="284" spans="28:30" x14ac:dyDescent="0.25">
      <c r="AB284" s="24"/>
      <c r="AC284" s="28"/>
      <c r="AD284" s="28"/>
    </row>
    <row r="285" spans="28:30" x14ac:dyDescent="0.25">
      <c r="AB285" s="24"/>
      <c r="AC285" s="28"/>
      <c r="AD285" s="28"/>
    </row>
    <row r="286" spans="28:30" x14ac:dyDescent="0.25">
      <c r="AB286" s="24"/>
      <c r="AC286" s="28"/>
      <c r="AD286" s="28"/>
    </row>
    <row r="287" spans="28:30" x14ac:dyDescent="0.25">
      <c r="AB287" s="24"/>
      <c r="AC287" s="28"/>
      <c r="AD287" s="28"/>
    </row>
    <row r="288" spans="28:30" x14ac:dyDescent="0.25">
      <c r="AB288" s="24"/>
      <c r="AC288" s="28"/>
      <c r="AD288" s="28"/>
    </row>
    <row r="289" spans="28:30" x14ac:dyDescent="0.25">
      <c r="AB289" s="24"/>
      <c r="AC289" s="28"/>
      <c r="AD289" s="28"/>
    </row>
    <row r="290" spans="28:30" x14ac:dyDescent="0.25">
      <c r="AB290" s="24"/>
      <c r="AC290" s="28"/>
      <c r="AD290" s="28"/>
    </row>
    <row r="291" spans="28:30" x14ac:dyDescent="0.25">
      <c r="AB291" s="24"/>
      <c r="AC291" s="28"/>
      <c r="AD291" s="28"/>
    </row>
    <row r="292" spans="28:30" x14ac:dyDescent="0.25">
      <c r="AB292" s="24"/>
      <c r="AC292" s="28"/>
      <c r="AD292" s="28"/>
    </row>
    <row r="293" spans="28:30" x14ac:dyDescent="0.25">
      <c r="AB293" s="24"/>
      <c r="AC293" s="28"/>
      <c r="AD293" s="28"/>
    </row>
    <row r="294" spans="28:30" x14ac:dyDescent="0.25">
      <c r="AB294" s="24"/>
      <c r="AC294" s="28"/>
      <c r="AD294" s="28"/>
    </row>
    <row r="295" spans="28:30" x14ac:dyDescent="0.25">
      <c r="AB295" s="24"/>
      <c r="AC295" s="28"/>
      <c r="AD295" s="28"/>
    </row>
    <row r="296" spans="28:30" x14ac:dyDescent="0.25">
      <c r="AB296" s="24"/>
      <c r="AC296" s="28"/>
      <c r="AD296" s="28"/>
    </row>
    <row r="297" spans="28:30" x14ac:dyDescent="0.25">
      <c r="AB297" s="24"/>
      <c r="AC297" s="28"/>
      <c r="AD297" s="28"/>
    </row>
    <row r="298" spans="28:30" x14ac:dyDescent="0.25">
      <c r="AB298" s="24"/>
      <c r="AC298" s="28"/>
      <c r="AD298" s="28"/>
    </row>
    <row r="299" spans="28:30" x14ac:dyDescent="0.25">
      <c r="AB299" s="24"/>
      <c r="AC299" s="28"/>
      <c r="AD299" s="28"/>
    </row>
    <row r="300" spans="28:30" x14ac:dyDescent="0.25">
      <c r="AB300" s="24"/>
      <c r="AC300" s="28"/>
      <c r="AD300" s="28"/>
    </row>
    <row r="301" spans="28:30" x14ac:dyDescent="0.25">
      <c r="AB301" s="24"/>
      <c r="AC301" s="28"/>
      <c r="AD301" s="28"/>
    </row>
    <row r="302" spans="28:30" x14ac:dyDescent="0.25">
      <c r="AB302" s="24"/>
      <c r="AC302" s="28"/>
      <c r="AD302" s="28"/>
    </row>
    <row r="303" spans="28:30" x14ac:dyDescent="0.25">
      <c r="AB303" s="24"/>
      <c r="AC303" s="28"/>
      <c r="AD303" s="28"/>
    </row>
    <row r="304" spans="28:30" x14ac:dyDescent="0.25">
      <c r="AB304" s="24"/>
      <c r="AC304" s="28"/>
      <c r="AD304" s="28"/>
    </row>
    <row r="305" spans="28:30" x14ac:dyDescent="0.25">
      <c r="AB305" s="24"/>
      <c r="AC305" s="28"/>
      <c r="AD305" s="28"/>
    </row>
    <row r="306" spans="28:30" x14ac:dyDescent="0.25">
      <c r="AB306" s="24"/>
      <c r="AC306" s="28"/>
      <c r="AD306" s="28"/>
    </row>
    <row r="307" spans="28:30" x14ac:dyDescent="0.25">
      <c r="AB307" s="24"/>
      <c r="AC307" s="28"/>
      <c r="AD307" s="28"/>
    </row>
    <row r="308" spans="28:30" x14ac:dyDescent="0.25">
      <c r="AB308" s="24"/>
      <c r="AC308" s="28"/>
      <c r="AD308" s="28"/>
    </row>
    <row r="309" spans="28:30" x14ac:dyDescent="0.25">
      <c r="AB309" s="24"/>
      <c r="AC309" s="28"/>
      <c r="AD309" s="28"/>
    </row>
    <row r="310" spans="28:30" x14ac:dyDescent="0.25">
      <c r="AB310" s="24"/>
      <c r="AC310" s="28"/>
      <c r="AD310" s="28"/>
    </row>
    <row r="311" spans="28:30" x14ac:dyDescent="0.25">
      <c r="AB311" s="24"/>
      <c r="AC311" s="28"/>
      <c r="AD311" s="28"/>
    </row>
    <row r="312" spans="28:30" x14ac:dyDescent="0.25">
      <c r="AB312" s="24"/>
      <c r="AC312" s="28"/>
      <c r="AD312" s="28"/>
    </row>
    <row r="313" spans="28:30" x14ac:dyDescent="0.25">
      <c r="AB313" s="24"/>
      <c r="AC313" s="28"/>
      <c r="AD313" s="28"/>
    </row>
    <row r="314" spans="28:30" x14ac:dyDescent="0.25">
      <c r="AB314" s="24"/>
      <c r="AC314" s="28"/>
      <c r="AD314" s="28"/>
    </row>
    <row r="315" spans="28:30" x14ac:dyDescent="0.25">
      <c r="AB315" s="24"/>
      <c r="AC315" s="28"/>
      <c r="AD315" s="28"/>
    </row>
    <row r="316" spans="28:30" x14ac:dyDescent="0.25">
      <c r="AB316" s="24"/>
      <c r="AC316" s="28"/>
      <c r="AD316" s="28"/>
    </row>
    <row r="317" spans="28:30" x14ac:dyDescent="0.25">
      <c r="AB317" s="24"/>
      <c r="AC317" s="28"/>
      <c r="AD317" s="28"/>
    </row>
    <row r="318" spans="28:30" x14ac:dyDescent="0.25">
      <c r="AB318" s="24"/>
      <c r="AC318" s="28"/>
      <c r="AD318" s="28"/>
    </row>
    <row r="319" spans="28:30" x14ac:dyDescent="0.25">
      <c r="AB319" s="24"/>
      <c r="AC319" s="28"/>
      <c r="AD319" s="28"/>
    </row>
    <row r="320" spans="28:30" x14ac:dyDescent="0.25">
      <c r="AB320" s="24"/>
      <c r="AC320" s="28"/>
      <c r="AD320" s="28"/>
    </row>
    <row r="321" spans="28:30" x14ac:dyDescent="0.25">
      <c r="AB321" s="24"/>
      <c r="AC321" s="28"/>
      <c r="AD321" s="28"/>
    </row>
    <row r="322" spans="28:30" x14ac:dyDescent="0.25">
      <c r="AB322" s="24"/>
      <c r="AC322" s="28"/>
      <c r="AD322" s="28"/>
    </row>
    <row r="323" spans="28:30" x14ac:dyDescent="0.25">
      <c r="AB323" s="24"/>
      <c r="AC323" s="28"/>
      <c r="AD323" s="28"/>
    </row>
    <row r="324" spans="28:30" x14ac:dyDescent="0.25">
      <c r="AB324" s="24"/>
      <c r="AC324" s="28"/>
      <c r="AD324" s="28"/>
    </row>
    <row r="325" spans="28:30" x14ac:dyDescent="0.25">
      <c r="AB325" s="24"/>
      <c r="AC325" s="28"/>
      <c r="AD325" s="28"/>
    </row>
    <row r="326" spans="28:30" x14ac:dyDescent="0.25">
      <c r="AB326" s="24"/>
      <c r="AC326" s="28"/>
      <c r="AD326" s="28"/>
    </row>
    <row r="327" spans="28:30" x14ac:dyDescent="0.25">
      <c r="AB327" s="24"/>
      <c r="AC327" s="28"/>
      <c r="AD327" s="28"/>
    </row>
    <row r="328" spans="28:30" x14ac:dyDescent="0.25">
      <c r="AB328" s="24"/>
      <c r="AC328" s="28"/>
      <c r="AD328" s="28"/>
    </row>
    <row r="329" spans="28:30" x14ac:dyDescent="0.25">
      <c r="AB329" s="24"/>
      <c r="AC329" s="28"/>
      <c r="AD329" s="28"/>
    </row>
    <row r="330" spans="28:30" x14ac:dyDescent="0.25">
      <c r="AB330" s="24"/>
      <c r="AC330" s="28"/>
      <c r="AD330" s="28"/>
    </row>
    <row r="331" spans="28:30" x14ac:dyDescent="0.25">
      <c r="AB331" s="24"/>
      <c r="AC331" s="28"/>
      <c r="AD331" s="28"/>
    </row>
    <row r="332" spans="28:30" x14ac:dyDescent="0.25">
      <c r="AB332" s="24"/>
      <c r="AC332" s="28"/>
      <c r="AD332" s="28"/>
    </row>
    <row r="333" spans="28:30" x14ac:dyDescent="0.25">
      <c r="AB333" s="24"/>
      <c r="AC333" s="28"/>
      <c r="AD333" s="28"/>
    </row>
    <row r="334" spans="28:30" x14ac:dyDescent="0.25">
      <c r="AB334" s="24"/>
      <c r="AC334" s="28"/>
      <c r="AD334" s="28"/>
    </row>
    <row r="335" spans="28:30" x14ac:dyDescent="0.25">
      <c r="AB335" s="24"/>
      <c r="AC335" s="28"/>
      <c r="AD335" s="28"/>
    </row>
    <row r="336" spans="28:30" x14ac:dyDescent="0.25">
      <c r="AB336" s="24"/>
      <c r="AC336" s="28"/>
      <c r="AD336" s="28"/>
    </row>
    <row r="337" spans="28:30" x14ac:dyDescent="0.25">
      <c r="AB337" s="24"/>
      <c r="AC337" s="28"/>
      <c r="AD337" s="28"/>
    </row>
    <row r="338" spans="28:30" x14ac:dyDescent="0.25">
      <c r="AB338" s="24"/>
      <c r="AC338" s="28"/>
      <c r="AD338" s="28"/>
    </row>
    <row r="339" spans="28:30" x14ac:dyDescent="0.25">
      <c r="AB339" s="24"/>
      <c r="AC339" s="28"/>
      <c r="AD339" s="28"/>
    </row>
    <row r="340" spans="28:30" x14ac:dyDescent="0.25">
      <c r="AB340" s="24"/>
      <c r="AC340" s="28"/>
      <c r="AD340" s="28"/>
    </row>
    <row r="341" spans="28:30" x14ac:dyDescent="0.25">
      <c r="AB341" s="24"/>
      <c r="AC341" s="28"/>
      <c r="AD341" s="28"/>
    </row>
    <row r="342" spans="28:30" x14ac:dyDescent="0.25">
      <c r="AB342" s="24"/>
      <c r="AC342" s="28"/>
      <c r="AD342" s="28"/>
    </row>
    <row r="343" spans="28:30" x14ac:dyDescent="0.25">
      <c r="AB343" s="24"/>
      <c r="AC343" s="28"/>
      <c r="AD343" s="28"/>
    </row>
    <row r="344" spans="28:30" x14ac:dyDescent="0.25">
      <c r="AB344" s="24"/>
      <c r="AC344" s="28"/>
      <c r="AD344" s="28"/>
    </row>
    <row r="345" spans="28:30" x14ac:dyDescent="0.25">
      <c r="AB345" s="24"/>
      <c r="AC345" s="28"/>
      <c r="AD345" s="28"/>
    </row>
    <row r="346" spans="28:30" x14ac:dyDescent="0.25">
      <c r="AB346" s="24"/>
      <c r="AC346" s="28"/>
      <c r="AD346" s="28"/>
    </row>
    <row r="347" spans="28:30" x14ac:dyDescent="0.25">
      <c r="AB347" s="24"/>
      <c r="AC347" s="28"/>
      <c r="AD347" s="28"/>
    </row>
    <row r="348" spans="28:30" x14ac:dyDescent="0.25">
      <c r="AB348" s="24"/>
      <c r="AC348" s="28"/>
      <c r="AD348" s="28"/>
    </row>
    <row r="349" spans="28:30" x14ac:dyDescent="0.25">
      <c r="AB349" s="24"/>
      <c r="AC349" s="28"/>
      <c r="AD349" s="28"/>
    </row>
    <row r="350" spans="28:30" x14ac:dyDescent="0.25">
      <c r="AB350" s="24"/>
      <c r="AC350" s="28"/>
      <c r="AD350" s="28"/>
    </row>
    <row r="351" spans="28:30" x14ac:dyDescent="0.25">
      <c r="AB351" s="24"/>
      <c r="AC351" s="28"/>
      <c r="AD351" s="28"/>
    </row>
    <row r="352" spans="28:30" x14ac:dyDescent="0.25">
      <c r="AB352" s="24"/>
      <c r="AC352" s="28"/>
      <c r="AD352" s="28"/>
    </row>
    <row r="353" spans="28:30" x14ac:dyDescent="0.25">
      <c r="AB353" s="24"/>
      <c r="AC353" s="28"/>
      <c r="AD353" s="28"/>
    </row>
    <row r="354" spans="28:30" x14ac:dyDescent="0.25">
      <c r="AB354" s="24"/>
      <c r="AC354" s="28"/>
      <c r="AD354" s="28"/>
    </row>
    <row r="355" spans="28:30" x14ac:dyDescent="0.25">
      <c r="AB355" s="24"/>
      <c r="AC355" s="28"/>
      <c r="AD355" s="28"/>
    </row>
    <row r="356" spans="28:30" x14ac:dyDescent="0.25">
      <c r="AB356" s="24"/>
      <c r="AC356" s="28"/>
      <c r="AD356" s="28"/>
    </row>
    <row r="357" spans="28:30" x14ac:dyDescent="0.25">
      <c r="AB357" s="24"/>
      <c r="AC357" s="28"/>
      <c r="AD357" s="28"/>
    </row>
    <row r="358" spans="28:30" x14ac:dyDescent="0.25">
      <c r="AB358" s="24"/>
      <c r="AC358" s="28"/>
      <c r="AD358" s="28"/>
    </row>
    <row r="359" spans="28:30" x14ac:dyDescent="0.25">
      <c r="AB359" s="24"/>
      <c r="AC359" s="28"/>
      <c r="AD359" s="28"/>
    </row>
    <row r="360" spans="28:30" x14ac:dyDescent="0.25">
      <c r="AB360" s="24"/>
      <c r="AC360" s="28"/>
      <c r="AD360" s="28"/>
    </row>
    <row r="361" spans="28:30" x14ac:dyDescent="0.25">
      <c r="AB361" s="24"/>
      <c r="AC361" s="28"/>
      <c r="AD361" s="28"/>
    </row>
    <row r="362" spans="28:30" x14ac:dyDescent="0.25">
      <c r="AB362" s="24"/>
      <c r="AC362" s="28"/>
      <c r="AD362" s="28"/>
    </row>
    <row r="363" spans="28:30" x14ac:dyDescent="0.25">
      <c r="AB363" s="24"/>
      <c r="AC363" s="28"/>
      <c r="AD363" s="28"/>
    </row>
    <row r="364" spans="28:30" x14ac:dyDescent="0.25">
      <c r="AB364" s="24"/>
      <c r="AC364" s="28"/>
      <c r="AD364" s="28"/>
    </row>
    <row r="365" spans="28:30" x14ac:dyDescent="0.25">
      <c r="AB365" s="24"/>
      <c r="AC365" s="28"/>
      <c r="AD365" s="28"/>
    </row>
    <row r="366" spans="28:30" x14ac:dyDescent="0.25">
      <c r="AB366" s="24"/>
      <c r="AC366" s="28"/>
      <c r="AD366" s="28"/>
    </row>
    <row r="367" spans="28:30" x14ac:dyDescent="0.25">
      <c r="AB367" s="24"/>
      <c r="AC367" s="28"/>
      <c r="AD367" s="28"/>
    </row>
    <row r="368" spans="28:30" x14ac:dyDescent="0.25">
      <c r="AB368" s="24"/>
      <c r="AC368" s="28"/>
      <c r="AD368" s="28"/>
    </row>
    <row r="369" spans="28:30" x14ac:dyDescent="0.25">
      <c r="AB369" s="24"/>
      <c r="AC369" s="28"/>
      <c r="AD369" s="28"/>
    </row>
    <row r="370" spans="28:30" x14ac:dyDescent="0.25">
      <c r="AB370" s="24"/>
      <c r="AC370" s="28"/>
      <c r="AD370" s="28"/>
    </row>
    <row r="371" spans="28:30" x14ac:dyDescent="0.25">
      <c r="AB371" s="24"/>
      <c r="AC371" s="28"/>
      <c r="AD371" s="28"/>
    </row>
    <row r="372" spans="28:30" x14ac:dyDescent="0.25">
      <c r="AB372" s="24"/>
      <c r="AC372" s="28"/>
      <c r="AD372" s="28"/>
    </row>
    <row r="373" spans="28:30" x14ac:dyDescent="0.25">
      <c r="AB373" s="24"/>
      <c r="AC373" s="28"/>
      <c r="AD373" s="28"/>
    </row>
    <row r="374" spans="28:30" x14ac:dyDescent="0.25">
      <c r="AB374" s="24"/>
      <c r="AC374" s="28"/>
      <c r="AD374" s="28"/>
    </row>
    <row r="375" spans="28:30" x14ac:dyDescent="0.25">
      <c r="AB375" s="24"/>
      <c r="AC375" s="28"/>
      <c r="AD375" s="28"/>
    </row>
    <row r="376" spans="28:30" x14ac:dyDescent="0.25">
      <c r="AB376" s="24"/>
      <c r="AC376" s="28"/>
      <c r="AD376" s="28"/>
    </row>
    <row r="377" spans="28:30" x14ac:dyDescent="0.25">
      <c r="AB377" s="24"/>
      <c r="AC377" s="28"/>
      <c r="AD377" s="28"/>
    </row>
    <row r="378" spans="28:30" x14ac:dyDescent="0.25">
      <c r="AB378" s="24"/>
      <c r="AC378" s="28"/>
      <c r="AD378" s="28"/>
    </row>
    <row r="379" spans="28:30" x14ac:dyDescent="0.25">
      <c r="AB379" s="24"/>
      <c r="AC379" s="28"/>
      <c r="AD379" s="28"/>
    </row>
    <row r="380" spans="28:30" x14ac:dyDescent="0.25">
      <c r="AB380" s="24"/>
      <c r="AC380" s="28"/>
      <c r="AD380" s="28"/>
    </row>
    <row r="381" spans="28:30" x14ac:dyDescent="0.25">
      <c r="AB381" s="24"/>
      <c r="AC381" s="28"/>
      <c r="AD381" s="28"/>
    </row>
    <row r="382" spans="28:30" x14ac:dyDescent="0.25">
      <c r="AB382" s="24"/>
      <c r="AC382" s="28"/>
      <c r="AD382" s="28"/>
    </row>
    <row r="383" spans="28:30" x14ac:dyDescent="0.25">
      <c r="AB383" s="24"/>
      <c r="AC383" s="28"/>
      <c r="AD383" s="28"/>
    </row>
    <row r="384" spans="28:30" x14ac:dyDescent="0.25">
      <c r="AB384" s="24"/>
      <c r="AC384" s="28"/>
      <c r="AD384" s="28"/>
    </row>
    <row r="385" spans="28:30" x14ac:dyDescent="0.25">
      <c r="AB385" s="24"/>
      <c r="AC385" s="28"/>
      <c r="AD385" s="28"/>
    </row>
    <row r="386" spans="28:30" x14ac:dyDescent="0.25">
      <c r="AB386" s="24"/>
      <c r="AC386" s="28"/>
      <c r="AD386" s="28"/>
    </row>
    <row r="387" spans="28:30" x14ac:dyDescent="0.25">
      <c r="AB387" s="24"/>
      <c r="AC387" s="28"/>
      <c r="AD387" s="28"/>
    </row>
    <row r="388" spans="28:30" x14ac:dyDescent="0.25">
      <c r="AB388" s="24"/>
      <c r="AC388" s="28"/>
      <c r="AD388" s="28"/>
    </row>
    <row r="389" spans="28:30" x14ac:dyDescent="0.25">
      <c r="AB389" s="24"/>
      <c r="AC389" s="28"/>
      <c r="AD389" s="28"/>
    </row>
    <row r="390" spans="28:30" x14ac:dyDescent="0.25">
      <c r="AB390" s="24"/>
      <c r="AC390" s="28"/>
      <c r="AD390" s="28"/>
    </row>
    <row r="391" spans="28:30" x14ac:dyDescent="0.25">
      <c r="AB391" s="24"/>
      <c r="AC391" s="28"/>
      <c r="AD391" s="28"/>
    </row>
    <row r="392" spans="28:30" x14ac:dyDescent="0.25">
      <c r="AB392" s="24"/>
      <c r="AC392" s="28"/>
      <c r="AD392" s="28"/>
    </row>
    <row r="393" spans="28:30" x14ac:dyDescent="0.25">
      <c r="AB393" s="24"/>
      <c r="AC393" s="28"/>
      <c r="AD393" s="28"/>
    </row>
    <row r="394" spans="28:30" x14ac:dyDescent="0.25">
      <c r="AB394" s="24"/>
      <c r="AC394" s="28"/>
      <c r="AD394" s="28"/>
    </row>
    <row r="395" spans="28:30" x14ac:dyDescent="0.25">
      <c r="AB395" s="24"/>
      <c r="AC395" s="28"/>
      <c r="AD395" s="28"/>
    </row>
    <row r="396" spans="28:30" x14ac:dyDescent="0.25">
      <c r="AB396" s="24"/>
      <c r="AC396" s="28"/>
      <c r="AD396" s="28"/>
    </row>
    <row r="397" spans="28:30" x14ac:dyDescent="0.25">
      <c r="AB397" s="24"/>
      <c r="AC397" s="28"/>
      <c r="AD397" s="28"/>
    </row>
    <row r="398" spans="28:30" x14ac:dyDescent="0.25">
      <c r="AB398" s="24"/>
      <c r="AC398" s="28"/>
      <c r="AD398" s="28"/>
    </row>
    <row r="399" spans="28:30" x14ac:dyDescent="0.25">
      <c r="AB399" s="24"/>
      <c r="AC399" s="28"/>
      <c r="AD399" s="28"/>
    </row>
    <row r="400" spans="28:30" x14ac:dyDescent="0.25">
      <c r="AB400" s="24"/>
      <c r="AC400" s="28"/>
      <c r="AD400" s="28"/>
    </row>
    <row r="401" spans="28:30" x14ac:dyDescent="0.25">
      <c r="AB401" s="24"/>
      <c r="AC401" s="28"/>
      <c r="AD401" s="28"/>
    </row>
    <row r="402" spans="28:30" x14ac:dyDescent="0.25">
      <c r="AB402" s="24"/>
      <c r="AC402" s="28"/>
      <c r="AD402" s="28"/>
    </row>
    <row r="403" spans="28:30" x14ac:dyDescent="0.25">
      <c r="AB403" s="24"/>
      <c r="AC403" s="28"/>
      <c r="AD403" s="28"/>
    </row>
    <row r="404" spans="28:30" x14ac:dyDescent="0.25">
      <c r="AB404" s="24"/>
      <c r="AC404" s="28"/>
      <c r="AD404" s="28"/>
    </row>
    <row r="405" spans="28:30" x14ac:dyDescent="0.25">
      <c r="AB405" s="24"/>
      <c r="AC405" s="28"/>
      <c r="AD405" s="28"/>
    </row>
    <row r="406" spans="28:30" x14ac:dyDescent="0.25">
      <c r="AB406" s="24"/>
      <c r="AC406" s="28"/>
      <c r="AD406" s="28"/>
    </row>
    <row r="407" spans="28:30" x14ac:dyDescent="0.25">
      <c r="AB407" s="24"/>
      <c r="AC407" s="28"/>
      <c r="AD407" s="28"/>
    </row>
    <row r="408" spans="28:30" x14ac:dyDescent="0.25">
      <c r="AB408" s="24"/>
      <c r="AC408" s="28"/>
      <c r="AD408" s="28"/>
    </row>
    <row r="409" spans="28:30" x14ac:dyDescent="0.25">
      <c r="AB409" s="24"/>
      <c r="AC409" s="28"/>
      <c r="AD409" s="28"/>
    </row>
    <row r="410" spans="28:30" x14ac:dyDescent="0.25">
      <c r="AB410" s="24"/>
      <c r="AC410" s="28"/>
      <c r="AD410" s="28"/>
    </row>
    <row r="411" spans="28:30" x14ac:dyDescent="0.25">
      <c r="AB411" s="24"/>
      <c r="AC411" s="28"/>
      <c r="AD411" s="28"/>
    </row>
    <row r="412" spans="28:30" x14ac:dyDescent="0.25">
      <c r="AB412" s="24"/>
      <c r="AC412" s="28"/>
      <c r="AD412" s="28"/>
    </row>
    <row r="413" spans="28:30" x14ac:dyDescent="0.25">
      <c r="AB413" s="24"/>
      <c r="AC413" s="28"/>
      <c r="AD413" s="28"/>
    </row>
    <row r="414" spans="28:30" x14ac:dyDescent="0.25">
      <c r="AB414" s="24"/>
      <c r="AC414" s="28"/>
      <c r="AD414" s="28"/>
    </row>
    <row r="415" spans="28:30" x14ac:dyDescent="0.25">
      <c r="AB415" s="24"/>
      <c r="AC415" s="28"/>
      <c r="AD415" s="28"/>
    </row>
    <row r="416" spans="28:30" x14ac:dyDescent="0.25">
      <c r="AB416" s="24"/>
      <c r="AC416" s="28"/>
      <c r="AD416" s="28"/>
    </row>
    <row r="417" spans="28:30" x14ac:dyDescent="0.25">
      <c r="AB417" s="24"/>
      <c r="AC417" s="28"/>
      <c r="AD417" s="28"/>
    </row>
    <row r="418" spans="28:30" x14ac:dyDescent="0.25">
      <c r="AB418" s="24"/>
      <c r="AC418" s="28"/>
      <c r="AD418" s="28"/>
    </row>
    <row r="419" spans="28:30" x14ac:dyDescent="0.25">
      <c r="AB419" s="24"/>
      <c r="AC419" s="28"/>
      <c r="AD419" s="28"/>
    </row>
    <row r="420" spans="28:30" x14ac:dyDescent="0.25">
      <c r="AB420" s="24"/>
      <c r="AC420" s="28"/>
      <c r="AD420" s="28"/>
    </row>
    <row r="421" spans="28:30" x14ac:dyDescent="0.25">
      <c r="AB421" s="24"/>
      <c r="AC421" s="28"/>
      <c r="AD421" s="28"/>
    </row>
    <row r="422" spans="28:30" x14ac:dyDescent="0.25">
      <c r="AB422" s="24"/>
      <c r="AC422" s="28"/>
      <c r="AD422" s="28"/>
    </row>
    <row r="423" spans="28:30" x14ac:dyDescent="0.25">
      <c r="AB423" s="24"/>
      <c r="AC423" s="28"/>
      <c r="AD423" s="28"/>
    </row>
    <row r="424" spans="28:30" x14ac:dyDescent="0.25">
      <c r="AB424" s="24"/>
      <c r="AC424" s="28"/>
      <c r="AD424" s="28"/>
    </row>
    <row r="425" spans="28:30" x14ac:dyDescent="0.25">
      <c r="AB425" s="24"/>
      <c r="AC425" s="28"/>
      <c r="AD425" s="28"/>
    </row>
    <row r="426" spans="28:30" x14ac:dyDescent="0.25">
      <c r="AB426" s="24"/>
      <c r="AC426" s="28"/>
      <c r="AD426" s="28"/>
    </row>
    <row r="427" spans="28:30" x14ac:dyDescent="0.25">
      <c r="AB427" s="24"/>
      <c r="AC427" s="28"/>
      <c r="AD427" s="28"/>
    </row>
    <row r="428" spans="28:30" x14ac:dyDescent="0.25">
      <c r="AB428" s="24"/>
      <c r="AC428" s="28"/>
      <c r="AD428" s="28"/>
    </row>
    <row r="429" spans="28:30" x14ac:dyDescent="0.25">
      <c r="AB429" s="24"/>
      <c r="AC429" s="28"/>
      <c r="AD429" s="28"/>
    </row>
    <row r="430" spans="28:30" x14ac:dyDescent="0.25">
      <c r="AB430" s="24"/>
      <c r="AC430" s="28"/>
      <c r="AD430" s="28"/>
    </row>
    <row r="431" spans="28:30" x14ac:dyDescent="0.25">
      <c r="AB431" s="24"/>
      <c r="AC431" s="28"/>
      <c r="AD431" s="28"/>
    </row>
    <row r="432" spans="28:30" x14ac:dyDescent="0.25">
      <c r="AB432" s="24"/>
      <c r="AC432" s="28"/>
      <c r="AD432" s="28"/>
    </row>
    <row r="433" spans="28:30" x14ac:dyDescent="0.25">
      <c r="AB433" s="24"/>
      <c r="AC433" s="28"/>
      <c r="AD433" s="28"/>
    </row>
    <row r="434" spans="28:30" x14ac:dyDescent="0.25">
      <c r="AB434" s="24"/>
      <c r="AC434" s="28"/>
      <c r="AD434" s="28"/>
    </row>
    <row r="435" spans="28:30" x14ac:dyDescent="0.25">
      <c r="AB435" s="24"/>
      <c r="AC435" s="28"/>
      <c r="AD435" s="28"/>
    </row>
    <row r="436" spans="28:30" x14ac:dyDescent="0.25">
      <c r="AB436" s="24"/>
      <c r="AC436" s="28"/>
      <c r="AD436" s="28"/>
    </row>
    <row r="437" spans="28:30" x14ac:dyDescent="0.25">
      <c r="AB437" s="24"/>
      <c r="AC437" s="28"/>
      <c r="AD437" s="28"/>
    </row>
    <row r="438" spans="28:30" x14ac:dyDescent="0.25">
      <c r="AB438" s="24"/>
      <c r="AC438" s="28"/>
      <c r="AD438" s="28"/>
    </row>
    <row r="439" spans="28:30" x14ac:dyDescent="0.25">
      <c r="AB439" s="24"/>
      <c r="AC439" s="28"/>
      <c r="AD439" s="28"/>
    </row>
    <row r="440" spans="28:30" x14ac:dyDescent="0.25">
      <c r="AB440" s="24"/>
      <c r="AC440" s="28"/>
      <c r="AD440" s="28"/>
    </row>
    <row r="441" spans="28:30" x14ac:dyDescent="0.25">
      <c r="AB441" s="24"/>
      <c r="AC441" s="28"/>
      <c r="AD441" s="28"/>
    </row>
    <row r="442" spans="28:30" x14ac:dyDescent="0.25">
      <c r="AB442" s="24"/>
      <c r="AC442" s="28"/>
      <c r="AD442" s="28"/>
    </row>
    <row r="443" spans="28:30" x14ac:dyDescent="0.25">
      <c r="AB443" s="24"/>
      <c r="AC443" s="28"/>
      <c r="AD443" s="28"/>
    </row>
    <row r="444" spans="28:30" x14ac:dyDescent="0.25">
      <c r="AB444" s="24"/>
      <c r="AC444" s="28"/>
      <c r="AD444" s="28"/>
    </row>
    <row r="445" spans="28:30" x14ac:dyDescent="0.25">
      <c r="AB445" s="24"/>
      <c r="AC445" s="28"/>
      <c r="AD445" s="28"/>
    </row>
    <row r="446" spans="28:30" x14ac:dyDescent="0.25">
      <c r="AB446" s="24"/>
      <c r="AC446" s="28"/>
      <c r="AD446" s="28"/>
    </row>
    <row r="447" spans="28:30" x14ac:dyDescent="0.25">
      <c r="AB447" s="24"/>
      <c r="AC447" s="28"/>
      <c r="AD447" s="28"/>
    </row>
    <row r="448" spans="28:30" x14ac:dyDescent="0.25">
      <c r="AB448" s="24"/>
      <c r="AC448" s="28"/>
      <c r="AD448" s="28"/>
    </row>
    <row r="449" spans="28:30" x14ac:dyDescent="0.25">
      <c r="AB449" s="24"/>
      <c r="AC449" s="28"/>
      <c r="AD449" s="28"/>
    </row>
    <row r="450" spans="28:30" x14ac:dyDescent="0.25">
      <c r="AB450" s="24"/>
      <c r="AC450" s="28"/>
      <c r="AD450" s="28"/>
    </row>
    <row r="451" spans="28:30" x14ac:dyDescent="0.25">
      <c r="AB451" s="24"/>
      <c r="AC451" s="28"/>
      <c r="AD451" s="28"/>
    </row>
    <row r="452" spans="28:30" x14ac:dyDescent="0.25">
      <c r="AB452" s="24"/>
      <c r="AC452" s="28"/>
      <c r="AD452" s="28"/>
    </row>
    <row r="453" spans="28:30" x14ac:dyDescent="0.25">
      <c r="AB453" s="24"/>
      <c r="AC453" s="28"/>
      <c r="AD453" s="28"/>
    </row>
    <row r="454" spans="28:30" x14ac:dyDescent="0.25">
      <c r="AB454" s="24"/>
      <c r="AC454" s="28"/>
      <c r="AD454" s="28"/>
    </row>
    <row r="455" spans="28:30" x14ac:dyDescent="0.25">
      <c r="AB455" s="24"/>
      <c r="AC455" s="28"/>
      <c r="AD455" s="28"/>
    </row>
    <row r="456" spans="28:30" x14ac:dyDescent="0.25">
      <c r="AB456" s="24"/>
      <c r="AC456" s="28"/>
      <c r="AD456" s="28"/>
    </row>
    <row r="457" spans="28:30" x14ac:dyDescent="0.25">
      <c r="AB457" s="24"/>
      <c r="AC457" s="28"/>
      <c r="AD457" s="28"/>
    </row>
    <row r="458" spans="28:30" x14ac:dyDescent="0.25">
      <c r="AB458" s="24"/>
      <c r="AC458" s="28"/>
      <c r="AD458" s="28"/>
    </row>
    <row r="459" spans="28:30" x14ac:dyDescent="0.25">
      <c r="AB459" s="24"/>
      <c r="AC459" s="28"/>
      <c r="AD459" s="28"/>
    </row>
    <row r="460" spans="28:30" x14ac:dyDescent="0.25">
      <c r="AB460" s="24"/>
      <c r="AC460" s="28"/>
      <c r="AD460" s="28"/>
    </row>
    <row r="461" spans="28:30" x14ac:dyDescent="0.25">
      <c r="AB461" s="24"/>
      <c r="AC461" s="28"/>
      <c r="AD461" s="28"/>
    </row>
    <row r="462" spans="28:30" x14ac:dyDescent="0.25">
      <c r="AB462" s="24"/>
      <c r="AC462" s="28"/>
      <c r="AD462" s="28"/>
    </row>
    <row r="463" spans="28:30" x14ac:dyDescent="0.25">
      <c r="AB463" s="24"/>
      <c r="AC463" s="28"/>
      <c r="AD463" s="28"/>
    </row>
    <row r="464" spans="28:30" x14ac:dyDescent="0.25">
      <c r="AB464" s="24"/>
      <c r="AC464" s="28"/>
      <c r="AD464" s="28"/>
    </row>
    <row r="465" spans="28:30" x14ac:dyDescent="0.25">
      <c r="AB465" s="24"/>
      <c r="AC465" s="28"/>
      <c r="AD465" s="28"/>
    </row>
    <row r="466" spans="28:30" x14ac:dyDescent="0.25">
      <c r="AB466" s="24"/>
      <c r="AC466" s="28"/>
      <c r="AD466" s="28"/>
    </row>
    <row r="467" spans="28:30" x14ac:dyDescent="0.25">
      <c r="AB467" s="24"/>
      <c r="AC467" s="28"/>
      <c r="AD467" s="28"/>
    </row>
    <row r="468" spans="28:30" x14ac:dyDescent="0.25">
      <c r="AB468" s="24"/>
      <c r="AC468" s="28"/>
      <c r="AD468" s="28"/>
    </row>
    <row r="469" spans="28:30" x14ac:dyDescent="0.25">
      <c r="AB469" s="24"/>
      <c r="AC469" s="28"/>
      <c r="AD469" s="28"/>
    </row>
    <row r="470" spans="28:30" x14ac:dyDescent="0.25">
      <c r="AB470" s="24"/>
      <c r="AC470" s="28"/>
      <c r="AD470" s="28"/>
    </row>
    <row r="471" spans="28:30" x14ac:dyDescent="0.25">
      <c r="AB471" s="24"/>
      <c r="AC471" s="28"/>
      <c r="AD471" s="28"/>
    </row>
    <row r="472" spans="28:30" x14ac:dyDescent="0.25">
      <c r="AB472" s="24"/>
      <c r="AC472" s="28"/>
      <c r="AD472" s="28"/>
    </row>
    <row r="473" spans="28:30" x14ac:dyDescent="0.25">
      <c r="AB473" s="24"/>
      <c r="AC473" s="28"/>
      <c r="AD473" s="28"/>
    </row>
    <row r="474" spans="28:30" x14ac:dyDescent="0.25">
      <c r="AB474" s="24"/>
      <c r="AC474" s="28"/>
      <c r="AD474" s="28"/>
    </row>
    <row r="475" spans="28:30" x14ac:dyDescent="0.25">
      <c r="AB475" s="24"/>
      <c r="AC475" s="28"/>
      <c r="AD475" s="28"/>
    </row>
    <row r="476" spans="28:30" x14ac:dyDescent="0.25">
      <c r="AB476" s="24"/>
      <c r="AC476" s="28"/>
      <c r="AD476" s="28"/>
    </row>
    <row r="477" spans="28:30" x14ac:dyDescent="0.25">
      <c r="AB477" s="24"/>
      <c r="AC477" s="28"/>
      <c r="AD477" s="28"/>
    </row>
    <row r="478" spans="28:30" x14ac:dyDescent="0.25">
      <c r="AB478" s="24"/>
      <c r="AC478" s="28"/>
      <c r="AD478" s="28"/>
    </row>
    <row r="479" spans="28:30" x14ac:dyDescent="0.25">
      <c r="AB479" s="24"/>
      <c r="AC479" s="28"/>
      <c r="AD479" s="28"/>
    </row>
    <row r="480" spans="28:30" x14ac:dyDescent="0.25">
      <c r="AB480" s="24"/>
      <c r="AC480" s="28"/>
      <c r="AD480" s="28"/>
    </row>
    <row r="481" spans="28:30" x14ac:dyDescent="0.25">
      <c r="AB481" s="24"/>
      <c r="AC481" s="28"/>
      <c r="AD481" s="28"/>
    </row>
    <row r="482" spans="28:30" x14ac:dyDescent="0.25">
      <c r="AB482" s="24"/>
      <c r="AC482" s="28"/>
      <c r="AD482" s="28"/>
    </row>
    <row r="483" spans="28:30" x14ac:dyDescent="0.25">
      <c r="AB483" s="24"/>
      <c r="AC483" s="28"/>
      <c r="AD483" s="28"/>
    </row>
    <row r="484" spans="28:30" x14ac:dyDescent="0.25">
      <c r="AB484" s="24"/>
      <c r="AC484" s="28"/>
      <c r="AD484" s="28"/>
    </row>
    <row r="485" spans="28:30" x14ac:dyDescent="0.25">
      <c r="AB485" s="24"/>
      <c r="AC485" s="28"/>
      <c r="AD485" s="28"/>
    </row>
    <row r="486" spans="28:30" x14ac:dyDescent="0.25">
      <c r="AB486" s="24"/>
      <c r="AC486" s="28"/>
      <c r="AD486" s="28"/>
    </row>
    <row r="487" spans="28:30" x14ac:dyDescent="0.25">
      <c r="AB487" s="24"/>
      <c r="AC487" s="28"/>
      <c r="AD487" s="28"/>
    </row>
    <row r="488" spans="28:30" x14ac:dyDescent="0.25">
      <c r="AB488" s="24"/>
      <c r="AC488" s="28"/>
      <c r="AD488" s="28"/>
    </row>
    <row r="489" spans="28:30" x14ac:dyDescent="0.25">
      <c r="AB489" s="24"/>
      <c r="AC489" s="28"/>
      <c r="AD489" s="28"/>
    </row>
    <row r="490" spans="28:30" x14ac:dyDescent="0.25">
      <c r="AB490" s="24"/>
      <c r="AC490" s="28"/>
      <c r="AD490" s="28"/>
    </row>
    <row r="491" spans="28:30" x14ac:dyDescent="0.25">
      <c r="AB491" s="24"/>
      <c r="AC491" s="28"/>
      <c r="AD491" s="28"/>
    </row>
    <row r="492" spans="28:30" x14ac:dyDescent="0.25">
      <c r="AB492" s="24"/>
      <c r="AC492" s="28"/>
      <c r="AD492" s="28"/>
    </row>
    <row r="493" spans="28:30" x14ac:dyDescent="0.25">
      <c r="AB493" s="24"/>
      <c r="AC493" s="28"/>
      <c r="AD493" s="28"/>
    </row>
    <row r="494" spans="28:30" x14ac:dyDescent="0.25">
      <c r="AB494" s="24"/>
      <c r="AC494" s="28"/>
      <c r="AD494" s="28"/>
    </row>
    <row r="495" spans="28:30" x14ac:dyDescent="0.25">
      <c r="AB495" s="24"/>
      <c r="AC495" s="28"/>
      <c r="AD495" s="28"/>
    </row>
    <row r="496" spans="28:30" x14ac:dyDescent="0.25">
      <c r="AB496" s="24"/>
      <c r="AC496" s="28"/>
      <c r="AD496" s="28"/>
    </row>
    <row r="497" spans="28:30" x14ac:dyDescent="0.25">
      <c r="AB497" s="24"/>
      <c r="AC497" s="28"/>
      <c r="AD497" s="28"/>
    </row>
    <row r="498" spans="28:30" x14ac:dyDescent="0.25">
      <c r="AB498" s="24"/>
      <c r="AC498" s="28"/>
      <c r="AD498" s="28"/>
    </row>
    <row r="499" spans="28:30" x14ac:dyDescent="0.25">
      <c r="AB499" s="24"/>
      <c r="AC499" s="28"/>
      <c r="AD499" s="28"/>
    </row>
    <row r="500" spans="28:30" x14ac:dyDescent="0.25">
      <c r="AB500" s="24"/>
      <c r="AC500" s="28"/>
      <c r="AD500" s="28"/>
    </row>
    <row r="501" spans="28:30" x14ac:dyDescent="0.25">
      <c r="AB501" s="24"/>
      <c r="AC501" s="28"/>
      <c r="AD501" s="28"/>
    </row>
    <row r="502" spans="28:30" x14ac:dyDescent="0.25">
      <c r="AB502" s="24"/>
      <c r="AC502" s="28"/>
      <c r="AD502" s="28"/>
    </row>
    <row r="503" spans="28:30" x14ac:dyDescent="0.25">
      <c r="AB503" s="24"/>
      <c r="AC503" s="28"/>
      <c r="AD503" s="28"/>
    </row>
    <row r="504" spans="28:30" x14ac:dyDescent="0.25">
      <c r="AB504" s="24"/>
      <c r="AC504" s="28"/>
      <c r="AD504" s="28"/>
    </row>
    <row r="505" spans="28:30" x14ac:dyDescent="0.25">
      <c r="AB505" s="24"/>
      <c r="AC505" s="28"/>
      <c r="AD505" s="28"/>
    </row>
    <row r="506" spans="28:30" x14ac:dyDescent="0.25">
      <c r="AB506" s="24"/>
      <c r="AC506" s="28"/>
      <c r="AD506" s="28"/>
    </row>
    <row r="507" spans="28:30" x14ac:dyDescent="0.25">
      <c r="AB507" s="24"/>
      <c r="AC507" s="28"/>
      <c r="AD507" s="28"/>
    </row>
    <row r="508" spans="28:30" x14ac:dyDescent="0.25">
      <c r="AB508" s="24"/>
      <c r="AC508" s="28"/>
      <c r="AD508" s="28"/>
    </row>
    <row r="509" spans="28:30" x14ac:dyDescent="0.25">
      <c r="AB509" s="24"/>
      <c r="AC509" s="28"/>
      <c r="AD509" s="28"/>
    </row>
    <row r="510" spans="28:30" x14ac:dyDescent="0.25">
      <c r="AB510" s="24"/>
      <c r="AC510" s="28"/>
      <c r="AD510" s="28"/>
    </row>
    <row r="511" spans="28:30" x14ac:dyDescent="0.25">
      <c r="AB511" s="24"/>
      <c r="AC511" s="28"/>
      <c r="AD511" s="28"/>
    </row>
    <row r="512" spans="28:30" x14ac:dyDescent="0.25">
      <c r="AB512" s="24"/>
      <c r="AC512" s="28"/>
      <c r="AD512" s="28"/>
    </row>
    <row r="513" spans="28:30" x14ac:dyDescent="0.25">
      <c r="AB513" s="24"/>
      <c r="AC513" s="28"/>
      <c r="AD513" s="28"/>
    </row>
    <row r="514" spans="28:30" x14ac:dyDescent="0.25">
      <c r="AB514" s="24"/>
      <c r="AC514" s="28"/>
      <c r="AD514" s="28"/>
    </row>
    <row r="515" spans="28:30" x14ac:dyDescent="0.25">
      <c r="AB515" s="24"/>
      <c r="AC515" s="28"/>
      <c r="AD515" s="28"/>
    </row>
    <row r="516" spans="28:30" x14ac:dyDescent="0.25">
      <c r="AB516" s="24"/>
      <c r="AC516" s="28"/>
      <c r="AD516" s="28"/>
    </row>
    <row r="517" spans="28:30" x14ac:dyDescent="0.25">
      <c r="AB517" s="24"/>
      <c r="AC517" s="28"/>
      <c r="AD517" s="28"/>
    </row>
    <row r="518" spans="28:30" x14ac:dyDescent="0.25">
      <c r="AB518" s="24"/>
      <c r="AC518" s="28"/>
      <c r="AD518" s="28"/>
    </row>
    <row r="519" spans="28:30" x14ac:dyDescent="0.25">
      <c r="AB519" s="24"/>
      <c r="AC519" s="28"/>
      <c r="AD519" s="28"/>
    </row>
    <row r="520" spans="28:30" x14ac:dyDescent="0.25">
      <c r="AB520" s="24"/>
      <c r="AC520" s="28"/>
      <c r="AD520" s="28"/>
    </row>
    <row r="521" spans="28:30" x14ac:dyDescent="0.25">
      <c r="AB521" s="24"/>
      <c r="AC521" s="28"/>
      <c r="AD521" s="28"/>
    </row>
    <row r="522" spans="28:30" x14ac:dyDescent="0.25">
      <c r="AB522" s="24"/>
      <c r="AC522" s="28"/>
      <c r="AD522" s="28"/>
    </row>
    <row r="523" spans="28:30" x14ac:dyDescent="0.25">
      <c r="AB523" s="24"/>
      <c r="AC523" s="28"/>
      <c r="AD523" s="28"/>
    </row>
    <row r="524" spans="28:30" x14ac:dyDescent="0.25">
      <c r="AB524" s="24"/>
      <c r="AC524" s="28"/>
      <c r="AD524" s="28"/>
    </row>
    <row r="525" spans="28:30" x14ac:dyDescent="0.25">
      <c r="AB525" s="24"/>
      <c r="AC525" s="28"/>
      <c r="AD525" s="28"/>
    </row>
    <row r="526" spans="28:30" x14ac:dyDescent="0.25">
      <c r="AB526" s="24"/>
      <c r="AC526" s="28"/>
      <c r="AD526" s="28"/>
    </row>
    <row r="527" spans="28:30" x14ac:dyDescent="0.25">
      <c r="AB527" s="24"/>
      <c r="AC527" s="28"/>
      <c r="AD527" s="28"/>
    </row>
    <row r="528" spans="28:30" x14ac:dyDescent="0.25">
      <c r="AB528" s="24"/>
      <c r="AC528" s="28"/>
      <c r="AD528" s="28"/>
    </row>
    <row r="529" spans="28:30" x14ac:dyDescent="0.25">
      <c r="AB529" s="24"/>
      <c r="AC529" s="28"/>
      <c r="AD529" s="28"/>
    </row>
    <row r="530" spans="28:30" x14ac:dyDescent="0.25">
      <c r="AB530" s="24"/>
      <c r="AC530" s="28"/>
      <c r="AD530" s="28"/>
    </row>
    <row r="531" spans="28:30" x14ac:dyDescent="0.25">
      <c r="AB531" s="24"/>
      <c r="AC531" s="28"/>
      <c r="AD531" s="28"/>
    </row>
    <row r="532" spans="28:30" x14ac:dyDescent="0.25">
      <c r="AB532" s="24"/>
      <c r="AC532" s="28"/>
      <c r="AD532" s="28"/>
    </row>
    <row r="533" spans="28:30" x14ac:dyDescent="0.25">
      <c r="AB533" s="24"/>
      <c r="AC533" s="28"/>
      <c r="AD533" s="28"/>
    </row>
    <row r="534" spans="28:30" x14ac:dyDescent="0.25">
      <c r="AB534" s="24"/>
      <c r="AC534" s="28"/>
      <c r="AD534" s="28"/>
    </row>
    <row r="535" spans="28:30" x14ac:dyDescent="0.25">
      <c r="AB535" s="24"/>
      <c r="AC535" s="28"/>
      <c r="AD535" s="28"/>
    </row>
    <row r="536" spans="28:30" x14ac:dyDescent="0.25">
      <c r="AB536" s="24"/>
      <c r="AC536" s="28"/>
      <c r="AD536" s="28"/>
    </row>
    <row r="537" spans="28:30" x14ac:dyDescent="0.25">
      <c r="AB537" s="24"/>
      <c r="AC537" s="28"/>
      <c r="AD537" s="28"/>
    </row>
    <row r="538" spans="28:30" x14ac:dyDescent="0.25">
      <c r="AB538" s="24"/>
      <c r="AC538" s="28"/>
      <c r="AD538" s="28"/>
    </row>
    <row r="539" spans="28:30" x14ac:dyDescent="0.25">
      <c r="AB539" s="24"/>
      <c r="AC539" s="28"/>
      <c r="AD539" s="28"/>
    </row>
    <row r="540" spans="28:30" x14ac:dyDescent="0.25">
      <c r="AB540" s="24"/>
      <c r="AC540" s="28"/>
      <c r="AD540" s="28"/>
    </row>
    <row r="541" spans="28:30" x14ac:dyDescent="0.25">
      <c r="AB541" s="24"/>
      <c r="AC541" s="28"/>
      <c r="AD541" s="28"/>
    </row>
    <row r="542" spans="28:30" x14ac:dyDescent="0.25">
      <c r="AB542" s="24"/>
      <c r="AC542" s="28"/>
      <c r="AD542" s="28"/>
    </row>
    <row r="543" spans="28:30" x14ac:dyDescent="0.25">
      <c r="AB543" s="24"/>
      <c r="AC543" s="28"/>
      <c r="AD543" s="28"/>
    </row>
    <row r="544" spans="28:30" x14ac:dyDescent="0.25">
      <c r="AB544" s="24"/>
      <c r="AC544" s="28"/>
      <c r="AD544" s="28"/>
    </row>
    <row r="545" spans="28:30" x14ac:dyDescent="0.25">
      <c r="AB545" s="24"/>
      <c r="AC545" s="28"/>
      <c r="AD545" s="28"/>
    </row>
    <row r="546" spans="28:30" x14ac:dyDescent="0.25">
      <c r="AB546" s="24"/>
      <c r="AC546" s="28"/>
      <c r="AD546" s="28"/>
    </row>
    <row r="547" spans="28:30" x14ac:dyDescent="0.25">
      <c r="AB547" s="24"/>
      <c r="AC547" s="28"/>
      <c r="AD547" s="28"/>
    </row>
    <row r="548" spans="28:30" x14ac:dyDescent="0.25">
      <c r="AB548" s="24"/>
      <c r="AC548" s="28"/>
      <c r="AD548" s="28"/>
    </row>
    <row r="549" spans="28:30" x14ac:dyDescent="0.25">
      <c r="AB549" s="24"/>
      <c r="AC549" s="28"/>
      <c r="AD549" s="28"/>
    </row>
    <row r="550" spans="28:30" x14ac:dyDescent="0.25">
      <c r="AB550" s="24"/>
      <c r="AC550" s="28"/>
      <c r="AD550" s="28"/>
    </row>
    <row r="551" spans="28:30" x14ac:dyDescent="0.25">
      <c r="AB551" s="24"/>
      <c r="AC551" s="28"/>
      <c r="AD551" s="28"/>
    </row>
    <row r="552" spans="28:30" x14ac:dyDescent="0.25">
      <c r="AB552" s="24"/>
      <c r="AC552" s="28"/>
      <c r="AD552" s="28"/>
    </row>
    <row r="553" spans="28:30" x14ac:dyDescent="0.25">
      <c r="AB553" s="24"/>
      <c r="AC553" s="28"/>
      <c r="AD553" s="28"/>
    </row>
    <row r="554" spans="28:30" x14ac:dyDescent="0.25">
      <c r="AB554" s="24"/>
      <c r="AC554" s="28"/>
      <c r="AD554" s="28"/>
    </row>
    <row r="555" spans="28:30" x14ac:dyDescent="0.25">
      <c r="AB555" s="24"/>
      <c r="AC555" s="28"/>
      <c r="AD555" s="28"/>
    </row>
    <row r="556" spans="28:30" x14ac:dyDescent="0.25">
      <c r="AB556" s="24"/>
      <c r="AC556" s="28"/>
      <c r="AD556" s="28"/>
    </row>
    <row r="557" spans="28:30" x14ac:dyDescent="0.25">
      <c r="AB557" s="24"/>
      <c r="AC557" s="28"/>
      <c r="AD557" s="28"/>
    </row>
    <row r="558" spans="28:30" x14ac:dyDescent="0.25">
      <c r="AB558" s="24"/>
      <c r="AC558" s="28"/>
      <c r="AD558" s="28"/>
    </row>
    <row r="559" spans="28:30" x14ac:dyDescent="0.25">
      <c r="AB559" s="24"/>
      <c r="AC559" s="28"/>
      <c r="AD559" s="28"/>
    </row>
    <row r="560" spans="28:30" x14ac:dyDescent="0.25">
      <c r="AB560" s="24"/>
      <c r="AC560" s="28"/>
      <c r="AD560" s="28"/>
    </row>
    <row r="561" spans="28:30" x14ac:dyDescent="0.25">
      <c r="AB561" s="24"/>
      <c r="AC561" s="28"/>
      <c r="AD561" s="28"/>
    </row>
    <row r="562" spans="28:30" x14ac:dyDescent="0.25">
      <c r="AB562" s="24"/>
      <c r="AC562" s="28"/>
      <c r="AD562" s="28"/>
    </row>
    <row r="563" spans="28:30" x14ac:dyDescent="0.25">
      <c r="AB563" s="24"/>
      <c r="AC563" s="28"/>
      <c r="AD563" s="28"/>
    </row>
    <row r="564" spans="28:30" x14ac:dyDescent="0.25">
      <c r="AB564" s="24"/>
      <c r="AC564" s="28"/>
      <c r="AD564" s="28"/>
    </row>
    <row r="565" spans="28:30" x14ac:dyDescent="0.25">
      <c r="AB565" s="24"/>
      <c r="AC565" s="28"/>
      <c r="AD565" s="28"/>
    </row>
    <row r="566" spans="28:30" x14ac:dyDescent="0.25">
      <c r="AB566" s="24"/>
      <c r="AC566" s="28"/>
      <c r="AD566" s="28"/>
    </row>
    <row r="567" spans="28:30" x14ac:dyDescent="0.25">
      <c r="AB567" s="24"/>
      <c r="AC567" s="28"/>
      <c r="AD567" s="28"/>
    </row>
    <row r="568" spans="28:30" x14ac:dyDescent="0.25">
      <c r="AB568" s="24"/>
      <c r="AC568" s="28"/>
      <c r="AD568" s="28"/>
    </row>
    <row r="569" spans="28:30" x14ac:dyDescent="0.25">
      <c r="AB569" s="24"/>
      <c r="AC569" s="28"/>
      <c r="AD569" s="28"/>
    </row>
    <row r="570" spans="28:30" x14ac:dyDescent="0.25">
      <c r="AB570" s="24"/>
      <c r="AC570" s="28"/>
      <c r="AD570" s="28"/>
    </row>
    <row r="571" spans="28:30" x14ac:dyDescent="0.25">
      <c r="AB571" s="24"/>
      <c r="AC571" s="28"/>
      <c r="AD571" s="28"/>
    </row>
    <row r="572" spans="28:30" x14ac:dyDescent="0.25">
      <c r="AB572" s="24"/>
      <c r="AC572" s="28"/>
      <c r="AD572" s="28"/>
    </row>
    <row r="573" spans="28:30" x14ac:dyDescent="0.25">
      <c r="AB573" s="24"/>
      <c r="AC573" s="28"/>
      <c r="AD573" s="28"/>
    </row>
    <row r="574" spans="28:30" x14ac:dyDescent="0.25">
      <c r="AB574" s="24"/>
      <c r="AC574" s="28"/>
      <c r="AD574" s="28"/>
    </row>
    <row r="575" spans="28:30" x14ac:dyDescent="0.25">
      <c r="AB575" s="24"/>
      <c r="AC575" s="28"/>
      <c r="AD575" s="28"/>
    </row>
    <row r="576" spans="28:30" x14ac:dyDescent="0.25">
      <c r="AB576" s="24"/>
      <c r="AC576" s="28"/>
      <c r="AD576" s="28"/>
    </row>
    <row r="577" spans="28:30" x14ac:dyDescent="0.25">
      <c r="AB577" s="24"/>
      <c r="AC577" s="28"/>
      <c r="AD577" s="28"/>
    </row>
    <row r="578" spans="28:30" x14ac:dyDescent="0.25">
      <c r="AB578" s="24"/>
      <c r="AC578" s="28"/>
      <c r="AD578" s="28"/>
    </row>
    <row r="579" spans="28:30" x14ac:dyDescent="0.25">
      <c r="AB579" s="24"/>
      <c r="AC579" s="28"/>
      <c r="AD579" s="28"/>
    </row>
    <row r="580" spans="28:30" x14ac:dyDescent="0.25">
      <c r="AB580" s="24"/>
      <c r="AC580" s="28"/>
      <c r="AD580" s="28"/>
    </row>
    <row r="581" spans="28:30" x14ac:dyDescent="0.25">
      <c r="AB581" s="24"/>
      <c r="AC581" s="28"/>
      <c r="AD581" s="28"/>
    </row>
    <row r="582" spans="28:30" x14ac:dyDescent="0.25">
      <c r="AB582" s="24"/>
      <c r="AC582" s="28"/>
      <c r="AD582" s="28"/>
    </row>
    <row r="583" spans="28:30" x14ac:dyDescent="0.25">
      <c r="AB583" s="24"/>
      <c r="AC583" s="28"/>
      <c r="AD583" s="28"/>
    </row>
    <row r="584" spans="28:30" x14ac:dyDescent="0.25">
      <c r="AB584" s="24"/>
      <c r="AC584" s="28"/>
      <c r="AD584" s="28"/>
    </row>
    <row r="585" spans="28:30" x14ac:dyDescent="0.25">
      <c r="AB585" s="24"/>
      <c r="AC585" s="28"/>
      <c r="AD585" s="28"/>
    </row>
    <row r="586" spans="28:30" x14ac:dyDescent="0.25">
      <c r="AB586" s="24"/>
      <c r="AC586" s="28"/>
      <c r="AD586" s="28"/>
    </row>
    <row r="587" spans="28:30" x14ac:dyDescent="0.25">
      <c r="AB587" s="24"/>
      <c r="AC587" s="28"/>
      <c r="AD587" s="28"/>
    </row>
    <row r="588" spans="28:30" x14ac:dyDescent="0.25">
      <c r="AB588" s="24"/>
      <c r="AC588" s="28"/>
      <c r="AD588" s="28"/>
    </row>
    <row r="589" spans="28:30" x14ac:dyDescent="0.25">
      <c r="AB589" s="24"/>
      <c r="AC589" s="28"/>
      <c r="AD589" s="28"/>
    </row>
    <row r="590" spans="28:30" x14ac:dyDescent="0.25">
      <c r="AB590" s="24"/>
      <c r="AC590" s="28"/>
      <c r="AD590" s="28"/>
    </row>
    <row r="591" spans="28:30" x14ac:dyDescent="0.25">
      <c r="AB591" s="24"/>
      <c r="AC591" s="28"/>
      <c r="AD591" s="28"/>
    </row>
    <row r="592" spans="28:30" x14ac:dyDescent="0.25">
      <c r="AB592" s="24"/>
      <c r="AC592" s="28"/>
      <c r="AD592" s="28"/>
    </row>
    <row r="593" spans="28:30" x14ac:dyDescent="0.25">
      <c r="AB593" s="24"/>
      <c r="AC593" s="28"/>
      <c r="AD593" s="28"/>
    </row>
    <row r="594" spans="28:30" x14ac:dyDescent="0.25">
      <c r="AB594" s="24"/>
      <c r="AC594" s="28"/>
      <c r="AD594" s="28"/>
    </row>
    <row r="595" spans="28:30" x14ac:dyDescent="0.25">
      <c r="AB595" s="24"/>
      <c r="AC595" s="28"/>
      <c r="AD595" s="28"/>
    </row>
    <row r="596" spans="28:30" x14ac:dyDescent="0.25">
      <c r="AB596" s="24"/>
      <c r="AC596" s="28"/>
      <c r="AD596" s="28"/>
    </row>
    <row r="597" spans="28:30" x14ac:dyDescent="0.25">
      <c r="AB597" s="24"/>
      <c r="AC597" s="28"/>
      <c r="AD597" s="28"/>
    </row>
    <row r="598" spans="28:30" x14ac:dyDescent="0.25">
      <c r="AB598" s="24"/>
      <c r="AC598" s="28"/>
      <c r="AD598" s="28"/>
    </row>
    <row r="599" spans="28:30" x14ac:dyDescent="0.25">
      <c r="AB599" s="24"/>
      <c r="AC599" s="28"/>
      <c r="AD599" s="28"/>
    </row>
    <row r="600" spans="28:30" x14ac:dyDescent="0.25">
      <c r="AB600" s="24"/>
      <c r="AC600" s="28"/>
      <c r="AD600" s="28"/>
    </row>
    <row r="601" spans="28:30" x14ac:dyDescent="0.25">
      <c r="AB601" s="24"/>
      <c r="AC601" s="28"/>
      <c r="AD601" s="28"/>
    </row>
    <row r="602" spans="28:30" x14ac:dyDescent="0.25">
      <c r="AB602" s="24"/>
      <c r="AC602" s="28"/>
      <c r="AD602" s="28"/>
    </row>
    <row r="603" spans="28:30" x14ac:dyDescent="0.25">
      <c r="AB603" s="24"/>
      <c r="AC603" s="28"/>
      <c r="AD603" s="28"/>
    </row>
    <row r="604" spans="28:30" x14ac:dyDescent="0.25">
      <c r="AB604" s="24"/>
      <c r="AC604" s="28"/>
      <c r="AD604" s="28"/>
    </row>
    <row r="605" spans="28:30" x14ac:dyDescent="0.25">
      <c r="AB605" s="24"/>
      <c r="AC605" s="28"/>
      <c r="AD605" s="28"/>
    </row>
    <row r="606" spans="28:30" x14ac:dyDescent="0.25">
      <c r="AB606" s="24"/>
      <c r="AC606" s="28"/>
      <c r="AD606" s="28"/>
    </row>
    <row r="607" spans="28:30" x14ac:dyDescent="0.25">
      <c r="AB607" s="24"/>
      <c r="AC607" s="28"/>
      <c r="AD607" s="28"/>
    </row>
    <row r="608" spans="28:30" x14ac:dyDescent="0.25">
      <c r="AB608" s="24"/>
      <c r="AC608" s="28"/>
      <c r="AD608" s="28"/>
    </row>
    <row r="609" spans="28:30" x14ac:dyDescent="0.25">
      <c r="AB609" s="24"/>
      <c r="AC609" s="28"/>
      <c r="AD609" s="28"/>
    </row>
    <row r="610" spans="28:30" x14ac:dyDescent="0.25">
      <c r="AB610" s="24"/>
      <c r="AC610" s="28"/>
      <c r="AD610" s="28"/>
    </row>
    <row r="611" spans="28:30" x14ac:dyDescent="0.25">
      <c r="AB611" s="24"/>
      <c r="AC611" s="28"/>
      <c r="AD611" s="28"/>
    </row>
    <row r="612" spans="28:30" x14ac:dyDescent="0.25">
      <c r="AB612" s="24"/>
      <c r="AC612" s="28"/>
      <c r="AD612" s="28"/>
    </row>
    <row r="613" spans="28:30" x14ac:dyDescent="0.25">
      <c r="AB613" s="24"/>
      <c r="AC613" s="28"/>
      <c r="AD613" s="28"/>
    </row>
    <row r="614" spans="28:30" x14ac:dyDescent="0.25">
      <c r="AB614" s="24"/>
      <c r="AC614" s="28"/>
      <c r="AD614" s="28"/>
    </row>
    <row r="615" spans="28:30" x14ac:dyDescent="0.25">
      <c r="AB615" s="24"/>
      <c r="AC615" s="28"/>
      <c r="AD615" s="28"/>
    </row>
    <row r="616" spans="28:30" x14ac:dyDescent="0.25">
      <c r="AB616" s="24"/>
      <c r="AC616" s="28"/>
      <c r="AD616" s="28"/>
    </row>
    <row r="617" spans="28:30" x14ac:dyDescent="0.25">
      <c r="AB617" s="24"/>
      <c r="AC617" s="28"/>
      <c r="AD617" s="28"/>
    </row>
    <row r="618" spans="28:30" x14ac:dyDescent="0.25">
      <c r="AB618" s="24"/>
      <c r="AC618" s="28"/>
      <c r="AD618" s="28"/>
    </row>
    <row r="619" spans="28:30" x14ac:dyDescent="0.25">
      <c r="AB619" s="24"/>
      <c r="AC619" s="28"/>
      <c r="AD619" s="28"/>
    </row>
    <row r="620" spans="28:30" x14ac:dyDescent="0.25">
      <c r="AB620" s="24"/>
      <c r="AC620" s="28"/>
      <c r="AD620" s="28"/>
    </row>
    <row r="621" spans="28:30" x14ac:dyDescent="0.25">
      <c r="AB621" s="24"/>
      <c r="AC621" s="28"/>
      <c r="AD621" s="28"/>
    </row>
    <row r="622" spans="28:30" x14ac:dyDescent="0.25">
      <c r="AB622" s="24"/>
      <c r="AC622" s="28"/>
      <c r="AD622" s="28"/>
    </row>
    <row r="623" spans="28:30" x14ac:dyDescent="0.25">
      <c r="AB623" s="24"/>
      <c r="AC623" s="28"/>
      <c r="AD623" s="28"/>
    </row>
    <row r="624" spans="28:30" x14ac:dyDescent="0.25">
      <c r="AB624" s="24"/>
      <c r="AC624" s="28"/>
      <c r="AD624" s="28"/>
    </row>
    <row r="625" spans="28:30" x14ac:dyDescent="0.25">
      <c r="AB625" s="24"/>
      <c r="AC625" s="28"/>
      <c r="AD625" s="28"/>
    </row>
    <row r="626" spans="28:30" x14ac:dyDescent="0.25">
      <c r="AB626" s="24"/>
      <c r="AC626" s="28"/>
      <c r="AD626" s="28"/>
    </row>
    <row r="627" spans="28:30" x14ac:dyDescent="0.25">
      <c r="AB627" s="24"/>
      <c r="AC627" s="28"/>
      <c r="AD627" s="28"/>
    </row>
    <row r="628" spans="28:30" x14ac:dyDescent="0.25">
      <c r="AB628" s="24"/>
      <c r="AC628" s="28"/>
      <c r="AD628" s="28"/>
    </row>
    <row r="629" spans="28:30" x14ac:dyDescent="0.25">
      <c r="AB629" s="24"/>
      <c r="AC629" s="28"/>
      <c r="AD629" s="28"/>
    </row>
    <row r="630" spans="28:30" x14ac:dyDescent="0.25">
      <c r="AB630" s="24"/>
      <c r="AC630" s="28"/>
      <c r="AD630" s="28"/>
    </row>
    <row r="631" spans="28:30" x14ac:dyDescent="0.25">
      <c r="AB631" s="24"/>
      <c r="AC631" s="28"/>
      <c r="AD631" s="28"/>
    </row>
    <row r="632" spans="28:30" x14ac:dyDescent="0.25">
      <c r="AB632" s="24"/>
      <c r="AC632" s="28"/>
      <c r="AD632" s="28"/>
    </row>
    <row r="633" spans="28:30" x14ac:dyDescent="0.25">
      <c r="AB633" s="24"/>
      <c r="AC633" s="28"/>
      <c r="AD633" s="28"/>
    </row>
    <row r="634" spans="28:30" x14ac:dyDescent="0.25">
      <c r="AB634" s="24"/>
      <c r="AC634" s="28"/>
      <c r="AD634" s="28"/>
    </row>
    <row r="635" spans="28:30" x14ac:dyDescent="0.25">
      <c r="AB635" s="24"/>
      <c r="AC635" s="28"/>
      <c r="AD635" s="28"/>
    </row>
    <row r="636" spans="28:30" x14ac:dyDescent="0.25">
      <c r="AB636" s="24"/>
      <c r="AC636" s="28"/>
      <c r="AD636" s="28"/>
    </row>
    <row r="637" spans="28:30" x14ac:dyDescent="0.25">
      <c r="AB637" s="24"/>
      <c r="AC637" s="28"/>
      <c r="AD637" s="28"/>
    </row>
    <row r="638" spans="28:30" x14ac:dyDescent="0.25">
      <c r="AB638" s="24"/>
      <c r="AC638" s="28"/>
      <c r="AD638" s="28"/>
    </row>
    <row r="639" spans="28:30" x14ac:dyDescent="0.25">
      <c r="AB639" s="24"/>
      <c r="AC639" s="28"/>
      <c r="AD639" s="28"/>
    </row>
    <row r="640" spans="28:30" x14ac:dyDescent="0.25">
      <c r="AB640" s="24"/>
      <c r="AC640" s="28"/>
      <c r="AD640" s="28"/>
    </row>
    <row r="641" spans="28:30" x14ac:dyDescent="0.25">
      <c r="AB641" s="24"/>
      <c r="AC641" s="28"/>
      <c r="AD641" s="28"/>
    </row>
    <row r="642" spans="28:30" x14ac:dyDescent="0.25">
      <c r="AB642" s="24"/>
      <c r="AC642" s="28"/>
      <c r="AD642" s="28"/>
    </row>
    <row r="643" spans="28:30" x14ac:dyDescent="0.25">
      <c r="AB643" s="24"/>
      <c r="AC643" s="28"/>
      <c r="AD643" s="28"/>
    </row>
    <row r="644" spans="28:30" x14ac:dyDescent="0.25">
      <c r="AB644" s="24"/>
      <c r="AC644" s="28"/>
      <c r="AD644" s="28"/>
    </row>
    <row r="645" spans="28:30" x14ac:dyDescent="0.25">
      <c r="AB645" s="24"/>
      <c r="AC645" s="28"/>
      <c r="AD645" s="28"/>
    </row>
    <row r="646" spans="28:30" x14ac:dyDescent="0.25">
      <c r="AB646" s="24"/>
      <c r="AC646" s="28"/>
      <c r="AD646" s="28"/>
    </row>
    <row r="647" spans="28:30" x14ac:dyDescent="0.25">
      <c r="AB647" s="24"/>
      <c r="AC647" s="28"/>
      <c r="AD647" s="28"/>
    </row>
    <row r="648" spans="28:30" x14ac:dyDescent="0.25">
      <c r="AB648" s="24"/>
      <c r="AC648" s="28"/>
      <c r="AD648" s="28"/>
    </row>
    <row r="649" spans="28:30" x14ac:dyDescent="0.25">
      <c r="AB649" s="24"/>
      <c r="AC649" s="28"/>
      <c r="AD649" s="28"/>
    </row>
    <row r="650" spans="28:30" x14ac:dyDescent="0.25">
      <c r="AB650" s="24"/>
      <c r="AC650" s="28"/>
      <c r="AD650" s="28"/>
    </row>
    <row r="651" spans="28:30" x14ac:dyDescent="0.25">
      <c r="AB651" s="24"/>
      <c r="AC651" s="28"/>
      <c r="AD651" s="28"/>
    </row>
    <row r="652" spans="28:30" x14ac:dyDescent="0.25">
      <c r="AB652" s="24"/>
      <c r="AC652" s="28"/>
      <c r="AD652" s="28"/>
    </row>
    <row r="653" spans="28:30" x14ac:dyDescent="0.25">
      <c r="AB653" s="24"/>
      <c r="AC653" s="28"/>
      <c r="AD653" s="28"/>
    </row>
    <row r="654" spans="28:30" x14ac:dyDescent="0.25">
      <c r="AB654" s="24"/>
      <c r="AC654" s="28"/>
      <c r="AD654" s="28"/>
    </row>
    <row r="655" spans="28:30" x14ac:dyDescent="0.25">
      <c r="AB655" s="24"/>
      <c r="AC655" s="28"/>
      <c r="AD655" s="28"/>
    </row>
    <row r="656" spans="28:30" x14ac:dyDescent="0.25">
      <c r="AB656" s="24"/>
      <c r="AC656" s="28"/>
      <c r="AD656" s="28"/>
    </row>
    <row r="657" spans="28:30" x14ac:dyDescent="0.25">
      <c r="AB657" s="24"/>
      <c r="AC657" s="28"/>
      <c r="AD657" s="28"/>
    </row>
    <row r="658" spans="28:30" x14ac:dyDescent="0.25">
      <c r="AB658" s="24"/>
      <c r="AC658" s="28"/>
      <c r="AD658" s="28"/>
    </row>
    <row r="659" spans="28:30" x14ac:dyDescent="0.25">
      <c r="AB659" s="24"/>
      <c r="AC659" s="28"/>
      <c r="AD659" s="28"/>
    </row>
    <row r="660" spans="28:30" x14ac:dyDescent="0.25">
      <c r="AB660" s="24"/>
      <c r="AC660" s="28"/>
      <c r="AD660" s="28"/>
    </row>
    <row r="661" spans="28:30" x14ac:dyDescent="0.25">
      <c r="AB661" s="24"/>
      <c r="AC661" s="28"/>
      <c r="AD661" s="28"/>
    </row>
    <row r="662" spans="28:30" x14ac:dyDescent="0.25">
      <c r="AB662" s="24"/>
      <c r="AC662" s="28"/>
      <c r="AD662" s="28"/>
    </row>
    <row r="663" spans="28:30" x14ac:dyDescent="0.25">
      <c r="AB663" s="24"/>
      <c r="AC663" s="28"/>
      <c r="AD663" s="28"/>
    </row>
    <row r="664" spans="28:30" x14ac:dyDescent="0.25">
      <c r="AB664" s="24"/>
      <c r="AC664" s="28"/>
      <c r="AD664" s="28"/>
    </row>
    <row r="665" spans="28:30" x14ac:dyDescent="0.25">
      <c r="AB665" s="24"/>
      <c r="AC665" s="28"/>
      <c r="AD665" s="28"/>
    </row>
    <row r="666" spans="28:30" x14ac:dyDescent="0.25">
      <c r="AB666" s="24"/>
      <c r="AC666" s="28"/>
      <c r="AD666" s="28"/>
    </row>
    <row r="667" spans="28:30" x14ac:dyDescent="0.25">
      <c r="AB667" s="24"/>
      <c r="AC667" s="28"/>
      <c r="AD667" s="28"/>
    </row>
    <row r="668" spans="28:30" x14ac:dyDescent="0.25">
      <c r="AB668" s="24"/>
      <c r="AC668" s="28"/>
      <c r="AD668" s="28"/>
    </row>
    <row r="669" spans="28:30" x14ac:dyDescent="0.25">
      <c r="AB669" s="24"/>
      <c r="AC669" s="28"/>
      <c r="AD669" s="28"/>
    </row>
    <row r="670" spans="28:30" x14ac:dyDescent="0.25">
      <c r="AB670" s="24"/>
      <c r="AC670" s="28"/>
      <c r="AD670" s="28"/>
    </row>
    <row r="671" spans="28:30" x14ac:dyDescent="0.25">
      <c r="AB671" s="24"/>
      <c r="AC671" s="28"/>
      <c r="AD671" s="28"/>
    </row>
    <row r="672" spans="28:30" x14ac:dyDescent="0.25">
      <c r="AB672" s="24"/>
      <c r="AC672" s="28"/>
      <c r="AD672" s="28"/>
    </row>
    <row r="673" spans="28:30" x14ac:dyDescent="0.25">
      <c r="AB673" s="24"/>
      <c r="AC673" s="28"/>
      <c r="AD673" s="28"/>
    </row>
    <row r="674" spans="28:30" x14ac:dyDescent="0.25">
      <c r="AB674" s="24"/>
      <c r="AC674" s="28"/>
      <c r="AD674" s="28"/>
    </row>
    <row r="675" spans="28:30" x14ac:dyDescent="0.25">
      <c r="AB675" s="24"/>
      <c r="AC675" s="28"/>
      <c r="AD675" s="28"/>
    </row>
    <row r="676" spans="28:30" x14ac:dyDescent="0.25">
      <c r="AB676" s="24"/>
      <c r="AC676" s="28"/>
      <c r="AD676" s="28"/>
    </row>
    <row r="677" spans="28:30" x14ac:dyDescent="0.25">
      <c r="AB677" s="24"/>
      <c r="AC677" s="28"/>
      <c r="AD677" s="28"/>
    </row>
    <row r="678" spans="28:30" x14ac:dyDescent="0.25">
      <c r="AB678" s="24"/>
      <c r="AC678" s="28"/>
      <c r="AD678" s="28"/>
    </row>
    <row r="679" spans="28:30" x14ac:dyDescent="0.25">
      <c r="AB679" s="24"/>
      <c r="AC679" s="28"/>
      <c r="AD679" s="28"/>
    </row>
    <row r="680" spans="28:30" x14ac:dyDescent="0.25">
      <c r="AB680" s="24"/>
      <c r="AC680" s="28"/>
      <c r="AD680" s="28"/>
    </row>
    <row r="681" spans="28:30" x14ac:dyDescent="0.25">
      <c r="AB681" s="24"/>
      <c r="AC681" s="28"/>
      <c r="AD681" s="28"/>
    </row>
    <row r="682" spans="28:30" x14ac:dyDescent="0.25">
      <c r="AB682" s="24"/>
      <c r="AC682" s="28"/>
      <c r="AD682" s="28"/>
    </row>
    <row r="683" spans="28:30" x14ac:dyDescent="0.25">
      <c r="AB683" s="24"/>
      <c r="AC683" s="28"/>
      <c r="AD683" s="28"/>
    </row>
    <row r="684" spans="28:30" x14ac:dyDescent="0.25">
      <c r="AB684" s="24"/>
      <c r="AC684" s="28"/>
      <c r="AD684" s="28"/>
    </row>
    <row r="685" spans="28:30" x14ac:dyDescent="0.25">
      <c r="AB685" s="24"/>
      <c r="AC685" s="28"/>
      <c r="AD685" s="28"/>
    </row>
    <row r="686" spans="28:30" x14ac:dyDescent="0.25">
      <c r="AB686" s="24"/>
      <c r="AC686" s="28"/>
      <c r="AD686" s="28"/>
    </row>
    <row r="687" spans="28:30" x14ac:dyDescent="0.25">
      <c r="AB687" s="24"/>
      <c r="AC687" s="28"/>
      <c r="AD687" s="28"/>
    </row>
    <row r="688" spans="28:30" x14ac:dyDescent="0.25">
      <c r="AB688" s="24"/>
      <c r="AC688" s="28"/>
      <c r="AD688" s="28"/>
    </row>
    <row r="689" spans="28:30" x14ac:dyDescent="0.25">
      <c r="AB689" s="24"/>
      <c r="AC689" s="28"/>
      <c r="AD689" s="28"/>
    </row>
    <row r="690" spans="28:30" x14ac:dyDescent="0.25">
      <c r="AB690" s="24"/>
      <c r="AC690" s="28"/>
      <c r="AD690" s="28"/>
    </row>
    <row r="691" spans="28:30" x14ac:dyDescent="0.25">
      <c r="AB691" s="24"/>
      <c r="AC691" s="28"/>
      <c r="AD691" s="28"/>
    </row>
    <row r="692" spans="28:30" x14ac:dyDescent="0.25">
      <c r="AB692" s="24"/>
      <c r="AC692" s="28"/>
      <c r="AD692" s="28"/>
    </row>
    <row r="693" spans="28:30" x14ac:dyDescent="0.25">
      <c r="AB693" s="24"/>
      <c r="AC693" s="28"/>
      <c r="AD693" s="28"/>
    </row>
    <row r="694" spans="28:30" x14ac:dyDescent="0.25">
      <c r="AB694" s="24"/>
      <c r="AC694" s="28"/>
      <c r="AD694" s="28"/>
    </row>
    <row r="695" spans="28:30" x14ac:dyDescent="0.25">
      <c r="AB695" s="24"/>
      <c r="AC695" s="28"/>
      <c r="AD695" s="28"/>
    </row>
    <row r="696" spans="28:30" x14ac:dyDescent="0.25">
      <c r="AB696" s="24"/>
      <c r="AC696" s="28"/>
      <c r="AD696" s="28"/>
    </row>
    <row r="697" spans="28:30" x14ac:dyDescent="0.25">
      <c r="AB697" s="24"/>
      <c r="AC697" s="28"/>
      <c r="AD697" s="28"/>
    </row>
    <row r="698" spans="28:30" x14ac:dyDescent="0.25">
      <c r="AB698" s="24"/>
      <c r="AC698" s="28"/>
      <c r="AD698" s="28"/>
    </row>
    <row r="699" spans="28:30" x14ac:dyDescent="0.25">
      <c r="AB699" s="24"/>
      <c r="AC699" s="28"/>
      <c r="AD699" s="28"/>
    </row>
    <row r="700" spans="28:30" x14ac:dyDescent="0.25">
      <c r="AB700" s="24"/>
      <c r="AC700" s="28"/>
      <c r="AD700" s="28"/>
    </row>
    <row r="701" spans="28:30" x14ac:dyDescent="0.25">
      <c r="AB701" s="24"/>
      <c r="AC701" s="28"/>
      <c r="AD701" s="28"/>
    </row>
    <row r="702" spans="28:30" x14ac:dyDescent="0.25">
      <c r="AB702" s="24"/>
      <c r="AC702" s="28"/>
      <c r="AD702" s="28"/>
    </row>
    <row r="703" spans="28:30" x14ac:dyDescent="0.25">
      <c r="AB703" s="24"/>
      <c r="AC703" s="28"/>
      <c r="AD703" s="28"/>
    </row>
    <row r="704" spans="28:30" x14ac:dyDescent="0.25">
      <c r="AB704" s="24"/>
      <c r="AC704" s="28"/>
      <c r="AD704" s="28"/>
    </row>
    <row r="705" spans="28:30" x14ac:dyDescent="0.25">
      <c r="AB705" s="24"/>
      <c r="AC705" s="28"/>
      <c r="AD705" s="28"/>
    </row>
    <row r="706" spans="28:30" x14ac:dyDescent="0.25">
      <c r="AB706" s="24"/>
      <c r="AC706" s="28"/>
      <c r="AD706" s="28"/>
    </row>
    <row r="707" spans="28:30" x14ac:dyDescent="0.25">
      <c r="AB707" s="24"/>
      <c r="AC707" s="28"/>
      <c r="AD707" s="28"/>
    </row>
    <row r="708" spans="28:30" x14ac:dyDescent="0.25">
      <c r="AB708" s="24"/>
      <c r="AC708" s="28"/>
      <c r="AD708" s="28"/>
    </row>
    <row r="709" spans="28:30" x14ac:dyDescent="0.25">
      <c r="AB709" s="24"/>
      <c r="AC709" s="28"/>
      <c r="AD709" s="28"/>
    </row>
    <row r="710" spans="28:30" x14ac:dyDescent="0.25">
      <c r="AB710" s="24"/>
      <c r="AC710" s="28"/>
      <c r="AD710" s="28"/>
    </row>
    <row r="711" spans="28:30" x14ac:dyDescent="0.25">
      <c r="AB711" s="24"/>
      <c r="AC711" s="28"/>
      <c r="AD711" s="28"/>
    </row>
    <row r="712" spans="28:30" x14ac:dyDescent="0.25">
      <c r="AB712" s="24"/>
      <c r="AC712" s="28"/>
      <c r="AD712" s="28"/>
    </row>
    <row r="713" spans="28:30" x14ac:dyDescent="0.25">
      <c r="AB713" s="24"/>
      <c r="AC713" s="28"/>
      <c r="AD713" s="28"/>
    </row>
    <row r="714" spans="28:30" x14ac:dyDescent="0.25">
      <c r="AB714" s="24"/>
      <c r="AC714" s="28"/>
      <c r="AD714" s="28"/>
    </row>
    <row r="715" spans="28:30" x14ac:dyDescent="0.25">
      <c r="AB715" s="24"/>
      <c r="AC715" s="28"/>
      <c r="AD715" s="28"/>
    </row>
    <row r="716" spans="28:30" x14ac:dyDescent="0.25">
      <c r="AB716" s="24"/>
      <c r="AC716" s="28"/>
      <c r="AD716" s="28"/>
    </row>
    <row r="717" spans="28:30" x14ac:dyDescent="0.25">
      <c r="AB717" s="24"/>
      <c r="AC717" s="28"/>
      <c r="AD717" s="28"/>
    </row>
    <row r="718" spans="28:30" x14ac:dyDescent="0.25">
      <c r="AB718" s="24"/>
      <c r="AC718" s="28"/>
      <c r="AD718" s="28"/>
    </row>
    <row r="719" spans="28:30" x14ac:dyDescent="0.25">
      <c r="AB719" s="24"/>
      <c r="AC719" s="28"/>
      <c r="AD719" s="28"/>
    </row>
    <row r="720" spans="28:30" x14ac:dyDescent="0.25">
      <c r="AB720" s="24"/>
      <c r="AC720" s="28"/>
      <c r="AD720" s="28"/>
    </row>
    <row r="721" spans="28:30" x14ac:dyDescent="0.25">
      <c r="AB721" s="24"/>
      <c r="AC721" s="28"/>
      <c r="AD721" s="28"/>
    </row>
    <row r="722" spans="28:30" x14ac:dyDescent="0.25">
      <c r="AB722" s="24"/>
      <c r="AC722" s="28"/>
      <c r="AD722" s="28"/>
    </row>
    <row r="723" spans="28:30" x14ac:dyDescent="0.25">
      <c r="AB723" s="24"/>
      <c r="AC723" s="28"/>
      <c r="AD723" s="28"/>
    </row>
    <row r="724" spans="28:30" x14ac:dyDescent="0.25">
      <c r="AB724" s="24"/>
      <c r="AC724" s="28"/>
      <c r="AD724" s="28"/>
    </row>
    <row r="725" spans="28:30" x14ac:dyDescent="0.25">
      <c r="AB725" s="24"/>
      <c r="AC725" s="28"/>
      <c r="AD725" s="28"/>
    </row>
    <row r="726" spans="28:30" x14ac:dyDescent="0.25">
      <c r="AB726" s="24"/>
      <c r="AC726" s="28"/>
      <c r="AD726" s="28"/>
    </row>
    <row r="727" spans="28:30" x14ac:dyDescent="0.25">
      <c r="AB727" s="24"/>
      <c r="AC727" s="28"/>
      <c r="AD727" s="28"/>
    </row>
    <row r="728" spans="28:30" x14ac:dyDescent="0.25">
      <c r="AB728" s="24"/>
      <c r="AC728" s="28"/>
      <c r="AD728" s="28"/>
    </row>
    <row r="729" spans="28:30" x14ac:dyDescent="0.25">
      <c r="AB729" s="24"/>
      <c r="AC729" s="28"/>
      <c r="AD729" s="28"/>
    </row>
    <row r="730" spans="28:30" x14ac:dyDescent="0.25">
      <c r="AB730" s="24"/>
      <c r="AC730" s="28"/>
      <c r="AD730" s="28"/>
    </row>
    <row r="731" spans="28:30" x14ac:dyDescent="0.25">
      <c r="AB731" s="24"/>
      <c r="AC731" s="28"/>
      <c r="AD731" s="28"/>
    </row>
    <row r="732" spans="28:30" x14ac:dyDescent="0.25">
      <c r="AB732" s="24"/>
      <c r="AC732" s="28"/>
      <c r="AD732" s="28"/>
    </row>
    <row r="733" spans="28:30" x14ac:dyDescent="0.25">
      <c r="AB733" s="24"/>
      <c r="AC733" s="28"/>
      <c r="AD733" s="28"/>
    </row>
    <row r="734" spans="28:30" x14ac:dyDescent="0.25">
      <c r="AB734" s="24"/>
      <c r="AC734" s="28"/>
      <c r="AD734" s="28"/>
    </row>
    <row r="735" spans="28:30" x14ac:dyDescent="0.25">
      <c r="AB735" s="24"/>
      <c r="AC735" s="28"/>
      <c r="AD735" s="28"/>
    </row>
    <row r="736" spans="28:30" x14ac:dyDescent="0.25">
      <c r="AB736" s="24"/>
      <c r="AC736" s="28"/>
      <c r="AD736" s="28"/>
    </row>
    <row r="737" spans="28:30" x14ac:dyDescent="0.25">
      <c r="AB737" s="24"/>
      <c r="AC737" s="28"/>
      <c r="AD737" s="28"/>
    </row>
    <row r="738" spans="28:30" x14ac:dyDescent="0.25">
      <c r="AB738" s="24"/>
      <c r="AC738" s="28"/>
      <c r="AD738" s="28"/>
    </row>
    <row r="739" spans="28:30" x14ac:dyDescent="0.25">
      <c r="AB739" s="24"/>
      <c r="AC739" s="28"/>
      <c r="AD739" s="28"/>
    </row>
    <row r="740" spans="28:30" x14ac:dyDescent="0.25">
      <c r="AB740" s="24"/>
      <c r="AC740" s="28"/>
      <c r="AD740" s="28"/>
    </row>
    <row r="741" spans="28:30" x14ac:dyDescent="0.25">
      <c r="AB741" s="24"/>
      <c r="AC741" s="28"/>
      <c r="AD741" s="28"/>
    </row>
    <row r="742" spans="28:30" x14ac:dyDescent="0.25">
      <c r="AB742" s="24"/>
      <c r="AC742" s="28"/>
      <c r="AD742" s="28"/>
    </row>
    <row r="743" spans="28:30" x14ac:dyDescent="0.25">
      <c r="AB743" s="24"/>
      <c r="AC743" s="28"/>
      <c r="AD743" s="28"/>
    </row>
    <row r="744" spans="28:30" x14ac:dyDescent="0.25">
      <c r="AB744" s="24"/>
      <c r="AC744" s="28"/>
      <c r="AD744" s="28"/>
    </row>
    <row r="745" spans="28:30" x14ac:dyDescent="0.25">
      <c r="AB745" s="24"/>
      <c r="AC745" s="28"/>
      <c r="AD745" s="28"/>
    </row>
    <row r="746" spans="28:30" x14ac:dyDescent="0.25">
      <c r="AB746" s="24"/>
      <c r="AC746" s="28"/>
      <c r="AD746" s="28"/>
    </row>
    <row r="747" spans="28:30" x14ac:dyDescent="0.25">
      <c r="AB747" s="24"/>
      <c r="AC747" s="28"/>
      <c r="AD747" s="28"/>
    </row>
    <row r="748" spans="28:30" x14ac:dyDescent="0.25">
      <c r="AB748" s="24"/>
      <c r="AC748" s="28"/>
      <c r="AD748" s="28"/>
    </row>
    <row r="749" spans="28:30" x14ac:dyDescent="0.25">
      <c r="AB749" s="24"/>
      <c r="AC749" s="28"/>
      <c r="AD749" s="28"/>
    </row>
    <row r="750" spans="28:30" x14ac:dyDescent="0.25">
      <c r="AB750" s="24"/>
      <c r="AC750" s="28"/>
      <c r="AD750" s="28"/>
    </row>
    <row r="751" spans="28:30" x14ac:dyDescent="0.25">
      <c r="AB751" s="24"/>
      <c r="AC751" s="28"/>
      <c r="AD751" s="28"/>
    </row>
    <row r="752" spans="28:30" x14ac:dyDescent="0.25">
      <c r="AB752" s="24"/>
      <c r="AC752" s="28"/>
      <c r="AD752" s="28"/>
    </row>
    <row r="753" spans="28:30" x14ac:dyDescent="0.25">
      <c r="AB753" s="24"/>
      <c r="AC753" s="28"/>
      <c r="AD753" s="28"/>
    </row>
    <row r="754" spans="28:30" x14ac:dyDescent="0.25">
      <c r="AB754" s="24"/>
      <c r="AC754" s="28"/>
      <c r="AD754" s="28"/>
    </row>
    <row r="755" spans="28:30" x14ac:dyDescent="0.25">
      <c r="AB755" s="24"/>
      <c r="AC755" s="28"/>
      <c r="AD755" s="28"/>
    </row>
    <row r="756" spans="28:30" x14ac:dyDescent="0.25">
      <c r="AB756" s="24"/>
      <c r="AC756" s="28"/>
      <c r="AD756" s="28"/>
    </row>
    <row r="757" spans="28:30" x14ac:dyDescent="0.25">
      <c r="AB757" s="24"/>
      <c r="AC757" s="28"/>
      <c r="AD757" s="28"/>
    </row>
    <row r="758" spans="28:30" x14ac:dyDescent="0.25">
      <c r="AB758" s="24"/>
      <c r="AC758" s="28"/>
      <c r="AD758" s="28"/>
    </row>
    <row r="759" spans="28:30" x14ac:dyDescent="0.25">
      <c r="AB759" s="24"/>
      <c r="AC759" s="28"/>
      <c r="AD759" s="28"/>
    </row>
    <row r="760" spans="28:30" x14ac:dyDescent="0.25">
      <c r="AB760" s="24"/>
      <c r="AC760" s="28"/>
      <c r="AD760" s="28"/>
    </row>
    <row r="761" spans="28:30" x14ac:dyDescent="0.25">
      <c r="AB761" s="24"/>
      <c r="AC761" s="28"/>
      <c r="AD761" s="28"/>
    </row>
    <row r="762" spans="28:30" x14ac:dyDescent="0.25">
      <c r="AB762" s="24"/>
      <c r="AC762" s="28"/>
      <c r="AD762" s="28"/>
    </row>
    <row r="763" spans="28:30" x14ac:dyDescent="0.25">
      <c r="AB763" s="24"/>
      <c r="AC763" s="28"/>
      <c r="AD763" s="28"/>
    </row>
    <row r="764" spans="28:30" x14ac:dyDescent="0.25">
      <c r="AB764" s="24"/>
      <c r="AC764" s="28"/>
      <c r="AD764" s="28"/>
    </row>
    <row r="765" spans="28:30" x14ac:dyDescent="0.25">
      <c r="AB765" s="24"/>
      <c r="AC765" s="28"/>
      <c r="AD765" s="28"/>
    </row>
    <row r="766" spans="28:30" x14ac:dyDescent="0.25">
      <c r="AB766" s="24"/>
      <c r="AC766" s="28"/>
      <c r="AD766" s="28"/>
    </row>
    <row r="767" spans="28:30" x14ac:dyDescent="0.25">
      <c r="AB767" s="24"/>
      <c r="AC767" s="28"/>
      <c r="AD767" s="28"/>
    </row>
    <row r="768" spans="28:30" x14ac:dyDescent="0.25">
      <c r="AB768" s="24"/>
      <c r="AC768" s="28"/>
      <c r="AD768" s="28"/>
    </row>
    <row r="769" spans="28:30" x14ac:dyDescent="0.25">
      <c r="AB769" s="24"/>
      <c r="AC769" s="28"/>
      <c r="AD769" s="28"/>
    </row>
    <row r="770" spans="28:30" x14ac:dyDescent="0.25">
      <c r="AB770" s="24"/>
      <c r="AC770" s="28"/>
      <c r="AD770" s="28"/>
    </row>
    <row r="771" spans="28:30" x14ac:dyDescent="0.25">
      <c r="AB771" s="24"/>
      <c r="AC771" s="28"/>
      <c r="AD771" s="28"/>
    </row>
    <row r="772" spans="28:30" x14ac:dyDescent="0.25">
      <c r="AB772" s="24"/>
      <c r="AC772" s="28"/>
      <c r="AD772" s="28"/>
    </row>
    <row r="773" spans="28:30" x14ac:dyDescent="0.25">
      <c r="AB773" s="24"/>
      <c r="AC773" s="28"/>
      <c r="AD773" s="28"/>
    </row>
    <row r="774" spans="28:30" x14ac:dyDescent="0.25">
      <c r="AB774" s="24"/>
      <c r="AC774" s="28"/>
      <c r="AD774" s="28"/>
    </row>
    <row r="775" spans="28:30" x14ac:dyDescent="0.25">
      <c r="AB775" s="24"/>
      <c r="AC775" s="28"/>
      <c r="AD775" s="28"/>
    </row>
    <row r="776" spans="28:30" x14ac:dyDescent="0.25">
      <c r="AB776" s="24"/>
      <c r="AC776" s="28"/>
      <c r="AD776" s="28"/>
    </row>
    <row r="777" spans="28:30" x14ac:dyDescent="0.25">
      <c r="AB777" s="24"/>
      <c r="AC777" s="28"/>
      <c r="AD777" s="28"/>
    </row>
    <row r="778" spans="28:30" x14ac:dyDescent="0.25">
      <c r="AB778" s="24"/>
      <c r="AC778" s="28"/>
      <c r="AD778" s="28"/>
    </row>
    <row r="779" spans="28:30" x14ac:dyDescent="0.25">
      <c r="AB779" s="24"/>
      <c r="AC779" s="28"/>
      <c r="AD779" s="28"/>
    </row>
    <row r="780" spans="28:30" x14ac:dyDescent="0.25">
      <c r="AB780" s="24"/>
      <c r="AC780" s="28"/>
      <c r="AD780" s="28"/>
    </row>
    <row r="781" spans="28:30" x14ac:dyDescent="0.25">
      <c r="AB781" s="24"/>
      <c r="AC781" s="28"/>
      <c r="AD781" s="28"/>
    </row>
    <row r="782" spans="28:30" x14ac:dyDescent="0.25">
      <c r="AB782" s="24"/>
      <c r="AC782" s="28"/>
      <c r="AD782" s="28"/>
    </row>
    <row r="783" spans="28:30" x14ac:dyDescent="0.25">
      <c r="AB783" s="24"/>
      <c r="AC783" s="28"/>
      <c r="AD783" s="28"/>
    </row>
    <row r="784" spans="28:30" x14ac:dyDescent="0.25">
      <c r="AB784" s="24"/>
      <c r="AC784" s="28"/>
      <c r="AD784" s="28"/>
    </row>
    <row r="785" spans="28:30" x14ac:dyDescent="0.25">
      <c r="AB785" s="24"/>
      <c r="AC785" s="28"/>
      <c r="AD785" s="28"/>
    </row>
    <row r="786" spans="28:30" x14ac:dyDescent="0.25">
      <c r="AB786" s="24"/>
      <c r="AC786" s="28"/>
      <c r="AD786" s="28"/>
    </row>
    <row r="787" spans="28:30" x14ac:dyDescent="0.25">
      <c r="AB787" s="24"/>
      <c r="AC787" s="28"/>
      <c r="AD787" s="28"/>
    </row>
    <row r="788" spans="28:30" x14ac:dyDescent="0.25">
      <c r="AB788" s="24"/>
      <c r="AC788" s="28"/>
      <c r="AD788" s="28"/>
    </row>
    <row r="789" spans="28:30" x14ac:dyDescent="0.25">
      <c r="AB789" s="24"/>
      <c r="AC789" s="28"/>
      <c r="AD789" s="28"/>
    </row>
    <row r="790" spans="28:30" x14ac:dyDescent="0.25">
      <c r="AB790" s="24"/>
      <c r="AC790" s="28"/>
      <c r="AD790" s="28"/>
    </row>
    <row r="791" spans="28:30" x14ac:dyDescent="0.25">
      <c r="AB791" s="24"/>
      <c r="AC791" s="28"/>
      <c r="AD791" s="28"/>
    </row>
    <row r="792" spans="28:30" x14ac:dyDescent="0.25">
      <c r="AB792" s="24"/>
      <c r="AC792" s="28"/>
      <c r="AD792" s="28"/>
    </row>
    <row r="793" spans="28:30" x14ac:dyDescent="0.25">
      <c r="AB793" s="24"/>
      <c r="AC793" s="28"/>
      <c r="AD793" s="28"/>
    </row>
    <row r="794" spans="28:30" x14ac:dyDescent="0.25">
      <c r="AB794" s="24"/>
      <c r="AC794" s="28"/>
      <c r="AD794" s="28"/>
    </row>
    <row r="795" spans="28:30" x14ac:dyDescent="0.25">
      <c r="AB795" s="24"/>
      <c r="AC795" s="28"/>
      <c r="AD795" s="28"/>
    </row>
    <row r="796" spans="28:30" x14ac:dyDescent="0.25">
      <c r="AB796" s="24"/>
      <c r="AC796" s="28"/>
      <c r="AD796" s="28"/>
    </row>
    <row r="797" spans="28:30" x14ac:dyDescent="0.25">
      <c r="AB797" s="24"/>
      <c r="AC797" s="28"/>
      <c r="AD797" s="28"/>
    </row>
    <row r="798" spans="28:30" x14ac:dyDescent="0.25">
      <c r="AB798" s="24"/>
      <c r="AC798" s="28"/>
      <c r="AD798" s="28"/>
    </row>
    <row r="799" spans="28:30" x14ac:dyDescent="0.25">
      <c r="AB799" s="24"/>
      <c r="AC799" s="28"/>
      <c r="AD799" s="28"/>
    </row>
    <row r="800" spans="28:30" x14ac:dyDescent="0.25">
      <c r="AB800" s="24"/>
      <c r="AC800" s="28"/>
      <c r="AD800" s="28"/>
    </row>
    <row r="801" spans="28:30" x14ac:dyDescent="0.25">
      <c r="AB801" s="24"/>
      <c r="AC801" s="28"/>
      <c r="AD801" s="28"/>
    </row>
    <row r="802" spans="28:30" x14ac:dyDescent="0.25">
      <c r="AB802" s="24"/>
      <c r="AC802" s="28"/>
      <c r="AD802" s="28"/>
    </row>
    <row r="803" spans="28:30" x14ac:dyDescent="0.25">
      <c r="AB803" s="24"/>
      <c r="AC803" s="28"/>
      <c r="AD803" s="28"/>
    </row>
    <row r="804" spans="28:30" x14ac:dyDescent="0.25">
      <c r="AB804" s="24"/>
      <c r="AC804" s="28"/>
      <c r="AD804" s="28"/>
    </row>
    <row r="805" spans="28:30" x14ac:dyDescent="0.25">
      <c r="AB805" s="24"/>
      <c r="AC805" s="28"/>
      <c r="AD805" s="28"/>
    </row>
    <row r="806" spans="28:30" x14ac:dyDescent="0.25">
      <c r="AB806" s="24"/>
      <c r="AC806" s="28"/>
      <c r="AD806" s="28"/>
    </row>
    <row r="807" spans="28:30" x14ac:dyDescent="0.25">
      <c r="AB807" s="24"/>
      <c r="AC807" s="28"/>
      <c r="AD807" s="28"/>
    </row>
    <row r="808" spans="28:30" x14ac:dyDescent="0.25">
      <c r="AB808" s="24"/>
      <c r="AC808" s="28"/>
      <c r="AD808" s="28"/>
    </row>
    <row r="809" spans="28:30" x14ac:dyDescent="0.25">
      <c r="AB809" s="24"/>
      <c r="AC809" s="28"/>
      <c r="AD809" s="28"/>
    </row>
    <row r="810" spans="28:30" x14ac:dyDescent="0.25">
      <c r="AB810" s="24"/>
      <c r="AC810" s="28"/>
      <c r="AD810" s="28"/>
    </row>
    <row r="811" spans="28:30" x14ac:dyDescent="0.25">
      <c r="AB811" s="24"/>
      <c r="AC811" s="28"/>
      <c r="AD811" s="28"/>
    </row>
    <row r="812" spans="28:30" x14ac:dyDescent="0.25">
      <c r="AB812" s="24"/>
      <c r="AC812" s="28"/>
      <c r="AD812" s="28"/>
    </row>
    <row r="813" spans="28:30" x14ac:dyDescent="0.25">
      <c r="AB813" s="24"/>
      <c r="AC813" s="28"/>
      <c r="AD813" s="28"/>
    </row>
    <row r="814" spans="28:30" x14ac:dyDescent="0.25">
      <c r="AB814" s="24"/>
      <c r="AC814" s="28"/>
      <c r="AD814" s="28"/>
    </row>
    <row r="815" spans="28:30" x14ac:dyDescent="0.25">
      <c r="AB815" s="24"/>
      <c r="AC815" s="28"/>
      <c r="AD815" s="28"/>
    </row>
    <row r="816" spans="28:30" x14ac:dyDescent="0.25">
      <c r="AB816" s="24"/>
      <c r="AC816" s="28"/>
      <c r="AD816" s="28"/>
    </row>
    <row r="817" spans="28:30" x14ac:dyDescent="0.25">
      <c r="AB817" s="24"/>
      <c r="AC817" s="28"/>
      <c r="AD817" s="28"/>
    </row>
    <row r="818" spans="28:30" x14ac:dyDescent="0.25">
      <c r="AB818" s="24"/>
      <c r="AC818" s="28"/>
      <c r="AD818" s="28"/>
    </row>
    <row r="819" spans="28:30" x14ac:dyDescent="0.25">
      <c r="AB819" s="24"/>
      <c r="AC819" s="28"/>
      <c r="AD819" s="28"/>
    </row>
    <row r="820" spans="28:30" x14ac:dyDescent="0.25">
      <c r="AB820" s="24"/>
      <c r="AC820" s="28"/>
      <c r="AD820" s="28"/>
    </row>
    <row r="821" spans="28:30" x14ac:dyDescent="0.25">
      <c r="AB821" s="24"/>
      <c r="AC821" s="28"/>
      <c r="AD821" s="28"/>
    </row>
    <row r="822" spans="28:30" x14ac:dyDescent="0.25">
      <c r="AB822" s="24"/>
      <c r="AC822" s="28"/>
      <c r="AD822" s="28"/>
    </row>
    <row r="823" spans="28:30" x14ac:dyDescent="0.25">
      <c r="AB823" s="24"/>
      <c r="AC823" s="28"/>
      <c r="AD823" s="28"/>
    </row>
    <row r="824" spans="28:30" x14ac:dyDescent="0.25">
      <c r="AB824" s="24"/>
      <c r="AC824" s="28"/>
      <c r="AD824" s="28"/>
    </row>
    <row r="825" spans="28:30" x14ac:dyDescent="0.25">
      <c r="AB825" s="24"/>
      <c r="AC825" s="28"/>
      <c r="AD825" s="28"/>
    </row>
    <row r="826" spans="28:30" x14ac:dyDescent="0.25">
      <c r="AB826" s="24"/>
      <c r="AC826" s="28"/>
      <c r="AD826" s="28"/>
    </row>
    <row r="827" spans="28:30" x14ac:dyDescent="0.25">
      <c r="AB827" s="24"/>
      <c r="AC827" s="28"/>
      <c r="AD827" s="28"/>
    </row>
    <row r="828" spans="28:30" x14ac:dyDescent="0.25">
      <c r="AB828" s="24"/>
      <c r="AC828" s="28"/>
      <c r="AD828" s="28"/>
    </row>
    <row r="829" spans="28:30" x14ac:dyDescent="0.25">
      <c r="AB829" s="24"/>
      <c r="AC829" s="28"/>
      <c r="AD829" s="28"/>
    </row>
    <row r="830" spans="28:30" x14ac:dyDescent="0.25">
      <c r="AB830" s="24"/>
      <c r="AC830" s="28"/>
      <c r="AD830" s="28"/>
    </row>
    <row r="831" spans="28:30" x14ac:dyDescent="0.25">
      <c r="AB831" s="24"/>
      <c r="AC831" s="28"/>
      <c r="AD831" s="28"/>
    </row>
    <row r="832" spans="28:30" x14ac:dyDescent="0.25">
      <c r="AB832" s="24"/>
      <c r="AC832" s="28"/>
      <c r="AD832" s="28"/>
    </row>
    <row r="833" spans="28:30" x14ac:dyDescent="0.25">
      <c r="AB833" s="24"/>
      <c r="AC833" s="28"/>
      <c r="AD833" s="28"/>
    </row>
    <row r="834" spans="28:30" x14ac:dyDescent="0.25">
      <c r="AB834" s="24"/>
      <c r="AC834" s="28"/>
      <c r="AD834" s="28"/>
    </row>
    <row r="835" spans="28:30" x14ac:dyDescent="0.25">
      <c r="AB835" s="24"/>
      <c r="AC835" s="28"/>
      <c r="AD835" s="28"/>
    </row>
    <row r="836" spans="28:30" x14ac:dyDescent="0.25">
      <c r="AB836" s="24"/>
      <c r="AC836" s="28"/>
      <c r="AD836" s="28"/>
    </row>
    <row r="837" spans="28:30" x14ac:dyDescent="0.25">
      <c r="AB837" s="24"/>
      <c r="AC837" s="28"/>
      <c r="AD837" s="28"/>
    </row>
    <row r="838" spans="28:30" x14ac:dyDescent="0.25">
      <c r="AB838" s="24"/>
      <c r="AC838" s="28"/>
      <c r="AD838" s="28"/>
    </row>
    <row r="839" spans="28:30" x14ac:dyDescent="0.25">
      <c r="AB839" s="24"/>
      <c r="AC839" s="28"/>
      <c r="AD839" s="28"/>
    </row>
    <row r="840" spans="28:30" x14ac:dyDescent="0.25">
      <c r="AB840" s="24"/>
      <c r="AC840" s="28"/>
      <c r="AD840" s="28"/>
    </row>
    <row r="841" spans="28:30" x14ac:dyDescent="0.25">
      <c r="AB841" s="24"/>
      <c r="AC841" s="28"/>
      <c r="AD841" s="28"/>
    </row>
    <row r="842" spans="28:30" x14ac:dyDescent="0.25">
      <c r="AB842" s="24"/>
      <c r="AC842" s="28"/>
      <c r="AD842" s="28"/>
    </row>
    <row r="843" spans="28:30" x14ac:dyDescent="0.25">
      <c r="AB843" s="24"/>
      <c r="AC843" s="28"/>
      <c r="AD843" s="28"/>
    </row>
    <row r="844" spans="28:30" x14ac:dyDescent="0.25">
      <c r="AB844" s="24"/>
      <c r="AC844" s="28"/>
      <c r="AD844" s="28"/>
    </row>
    <row r="845" spans="28:30" x14ac:dyDescent="0.25">
      <c r="AB845" s="24"/>
      <c r="AC845" s="28"/>
      <c r="AD845" s="28"/>
    </row>
    <row r="846" spans="28:30" x14ac:dyDescent="0.25">
      <c r="AB846" s="24"/>
      <c r="AC846" s="28"/>
      <c r="AD846" s="28"/>
    </row>
    <row r="847" spans="28:30" x14ac:dyDescent="0.25">
      <c r="AB847" s="24"/>
      <c r="AC847" s="28"/>
      <c r="AD847" s="28"/>
    </row>
    <row r="848" spans="28:30" x14ac:dyDescent="0.25">
      <c r="AB848" s="24"/>
      <c r="AC848" s="28"/>
      <c r="AD848" s="28"/>
    </row>
    <row r="849" spans="28:30" x14ac:dyDescent="0.25">
      <c r="AB849" s="24"/>
      <c r="AC849" s="28"/>
      <c r="AD849" s="28"/>
    </row>
    <row r="850" spans="28:30" x14ac:dyDescent="0.25">
      <c r="AB850" s="24"/>
      <c r="AC850" s="28"/>
      <c r="AD850" s="28"/>
    </row>
    <row r="851" spans="28:30" x14ac:dyDescent="0.25">
      <c r="AB851" s="24"/>
      <c r="AC851" s="28"/>
      <c r="AD851" s="28"/>
    </row>
    <row r="852" spans="28:30" x14ac:dyDescent="0.25">
      <c r="AB852" s="24"/>
      <c r="AC852" s="28"/>
      <c r="AD852" s="28"/>
    </row>
    <row r="853" spans="28:30" x14ac:dyDescent="0.25">
      <c r="AB853" s="24"/>
      <c r="AC853" s="28"/>
      <c r="AD853" s="28"/>
    </row>
    <row r="854" spans="28:30" x14ac:dyDescent="0.25">
      <c r="AB854" s="24"/>
      <c r="AC854" s="28"/>
      <c r="AD854" s="28"/>
    </row>
    <row r="855" spans="28:30" x14ac:dyDescent="0.25">
      <c r="AB855" s="24"/>
      <c r="AC855" s="28"/>
      <c r="AD855" s="28"/>
    </row>
    <row r="856" spans="28:30" x14ac:dyDescent="0.25">
      <c r="AB856" s="24"/>
      <c r="AC856" s="28"/>
      <c r="AD856" s="28"/>
    </row>
    <row r="857" spans="28:30" x14ac:dyDescent="0.25">
      <c r="AB857" s="24"/>
      <c r="AC857" s="28"/>
      <c r="AD857" s="28"/>
    </row>
    <row r="858" spans="28:30" x14ac:dyDescent="0.25">
      <c r="AB858" s="24"/>
      <c r="AC858" s="28"/>
      <c r="AD858" s="28"/>
    </row>
    <row r="859" spans="28:30" x14ac:dyDescent="0.25">
      <c r="AB859" s="24"/>
      <c r="AC859" s="28"/>
      <c r="AD859" s="28"/>
    </row>
    <row r="860" spans="28:30" x14ac:dyDescent="0.25">
      <c r="AB860" s="24"/>
      <c r="AC860" s="28"/>
      <c r="AD860" s="28"/>
    </row>
    <row r="861" spans="28:30" x14ac:dyDescent="0.25">
      <c r="AB861" s="24"/>
      <c r="AC861" s="28"/>
      <c r="AD861" s="28"/>
    </row>
    <row r="862" spans="28:30" x14ac:dyDescent="0.25">
      <c r="AB862" s="24"/>
      <c r="AC862" s="28"/>
      <c r="AD862" s="28"/>
    </row>
    <row r="863" spans="28:30" x14ac:dyDescent="0.25">
      <c r="AB863" s="24"/>
      <c r="AC863" s="28"/>
      <c r="AD863" s="28"/>
    </row>
    <row r="864" spans="28:30" x14ac:dyDescent="0.25">
      <c r="AB864" s="24"/>
      <c r="AC864" s="28"/>
      <c r="AD864" s="28"/>
    </row>
    <row r="865" spans="28:30" x14ac:dyDescent="0.25">
      <c r="AB865" s="24"/>
      <c r="AC865" s="28"/>
      <c r="AD865" s="28"/>
    </row>
    <row r="866" spans="28:30" x14ac:dyDescent="0.25">
      <c r="AB866" s="24"/>
      <c r="AC866" s="28"/>
      <c r="AD866" s="28"/>
    </row>
    <row r="867" spans="28:30" x14ac:dyDescent="0.25">
      <c r="AB867" s="24"/>
      <c r="AC867" s="28"/>
      <c r="AD867" s="28"/>
    </row>
    <row r="868" spans="28:30" x14ac:dyDescent="0.25">
      <c r="AB868" s="24"/>
      <c r="AC868" s="28"/>
      <c r="AD868" s="28"/>
    </row>
    <row r="869" spans="28:30" x14ac:dyDescent="0.25">
      <c r="AB869" s="24"/>
      <c r="AC869" s="28"/>
      <c r="AD869" s="28"/>
    </row>
    <row r="870" spans="28:30" x14ac:dyDescent="0.25">
      <c r="AB870" s="24"/>
      <c r="AC870" s="28"/>
      <c r="AD870" s="28"/>
    </row>
    <row r="871" spans="28:30" x14ac:dyDescent="0.25">
      <c r="AB871" s="24"/>
      <c r="AC871" s="28"/>
      <c r="AD871" s="28"/>
    </row>
    <row r="872" spans="28:30" x14ac:dyDescent="0.25">
      <c r="AB872" s="24"/>
      <c r="AC872" s="28"/>
      <c r="AD872" s="28"/>
    </row>
    <row r="873" spans="28:30" x14ac:dyDescent="0.25">
      <c r="AB873" s="24"/>
      <c r="AC873" s="28"/>
      <c r="AD873" s="28"/>
    </row>
    <row r="874" spans="28:30" x14ac:dyDescent="0.25">
      <c r="AB874" s="24"/>
      <c r="AC874" s="28"/>
      <c r="AD874" s="28"/>
    </row>
    <row r="875" spans="28:30" x14ac:dyDescent="0.25">
      <c r="AB875" s="24"/>
      <c r="AC875" s="28"/>
      <c r="AD875" s="28"/>
    </row>
    <row r="876" spans="28:30" x14ac:dyDescent="0.25">
      <c r="AB876" s="24"/>
      <c r="AC876" s="28"/>
      <c r="AD876" s="28"/>
    </row>
    <row r="877" spans="28:30" x14ac:dyDescent="0.25">
      <c r="AB877" s="24"/>
      <c r="AC877" s="28"/>
      <c r="AD877" s="28"/>
    </row>
    <row r="878" spans="28:30" x14ac:dyDescent="0.25">
      <c r="AB878" s="24"/>
      <c r="AC878" s="28"/>
      <c r="AD878" s="28"/>
    </row>
    <row r="879" spans="28:30" x14ac:dyDescent="0.25">
      <c r="AB879" s="24"/>
      <c r="AC879" s="28"/>
      <c r="AD879" s="28"/>
    </row>
    <row r="880" spans="28:30" x14ac:dyDescent="0.25">
      <c r="AB880" s="24"/>
      <c r="AC880" s="28"/>
      <c r="AD880" s="28"/>
    </row>
    <row r="881" spans="28:30" x14ac:dyDescent="0.25">
      <c r="AB881" s="24"/>
      <c r="AC881" s="28"/>
      <c r="AD881" s="28"/>
    </row>
    <row r="882" spans="28:30" x14ac:dyDescent="0.25">
      <c r="AB882" s="24"/>
      <c r="AC882" s="28"/>
      <c r="AD882" s="28"/>
    </row>
    <row r="883" spans="28:30" x14ac:dyDescent="0.25">
      <c r="AB883" s="24"/>
      <c r="AC883" s="28"/>
      <c r="AD883" s="28"/>
    </row>
    <row r="884" spans="28:30" x14ac:dyDescent="0.25">
      <c r="AB884" s="24"/>
      <c r="AC884" s="28"/>
      <c r="AD884" s="28"/>
    </row>
    <row r="885" spans="28:30" x14ac:dyDescent="0.25">
      <c r="AB885" s="24"/>
      <c r="AC885" s="28"/>
      <c r="AD885" s="28"/>
    </row>
    <row r="886" spans="28:30" x14ac:dyDescent="0.25">
      <c r="AB886" s="24"/>
      <c r="AC886" s="28"/>
      <c r="AD886" s="28"/>
    </row>
    <row r="887" spans="28:30" x14ac:dyDescent="0.25">
      <c r="AB887" s="24"/>
      <c r="AC887" s="28"/>
      <c r="AD887" s="28"/>
    </row>
    <row r="888" spans="28:30" x14ac:dyDescent="0.25">
      <c r="AB888" s="24"/>
      <c r="AC888" s="28"/>
      <c r="AD888" s="28"/>
    </row>
    <row r="889" spans="28:30" x14ac:dyDescent="0.25">
      <c r="AB889" s="24"/>
      <c r="AC889" s="28"/>
      <c r="AD889" s="28"/>
    </row>
    <row r="890" spans="28:30" x14ac:dyDescent="0.25">
      <c r="AB890" s="24"/>
      <c r="AC890" s="28"/>
      <c r="AD890" s="28"/>
    </row>
    <row r="891" spans="28:30" x14ac:dyDescent="0.25">
      <c r="AB891" s="24"/>
      <c r="AC891" s="28"/>
      <c r="AD891" s="28"/>
    </row>
    <row r="892" spans="28:30" x14ac:dyDescent="0.25">
      <c r="AB892" s="24"/>
      <c r="AC892" s="28"/>
      <c r="AD892" s="28"/>
    </row>
    <row r="893" spans="28:30" x14ac:dyDescent="0.25">
      <c r="AB893" s="24"/>
      <c r="AC893" s="28"/>
      <c r="AD893" s="28"/>
    </row>
    <row r="894" spans="28:30" x14ac:dyDescent="0.25">
      <c r="AB894" s="24"/>
      <c r="AC894" s="28"/>
      <c r="AD894" s="28"/>
    </row>
    <row r="895" spans="28:30" x14ac:dyDescent="0.25">
      <c r="AB895" s="24"/>
      <c r="AC895" s="28"/>
      <c r="AD895" s="28"/>
    </row>
    <row r="896" spans="28:30" x14ac:dyDescent="0.25">
      <c r="AB896" s="24"/>
      <c r="AC896" s="28"/>
      <c r="AD896" s="28"/>
    </row>
    <row r="897" spans="28:30" x14ac:dyDescent="0.25">
      <c r="AB897" s="24"/>
      <c r="AC897" s="28"/>
      <c r="AD897" s="28"/>
    </row>
    <row r="898" spans="28:30" x14ac:dyDescent="0.25">
      <c r="AB898" s="24"/>
      <c r="AC898" s="28"/>
      <c r="AD898" s="28"/>
    </row>
    <row r="899" spans="28:30" x14ac:dyDescent="0.25">
      <c r="AB899" s="24"/>
      <c r="AC899" s="28"/>
      <c r="AD899" s="28"/>
    </row>
    <row r="900" spans="28:30" x14ac:dyDescent="0.25">
      <c r="AB900" s="24"/>
      <c r="AC900" s="28"/>
      <c r="AD900" s="28"/>
    </row>
    <row r="901" spans="28:30" x14ac:dyDescent="0.25">
      <c r="AB901" s="24"/>
      <c r="AC901" s="28"/>
      <c r="AD901" s="28"/>
    </row>
    <row r="902" spans="28:30" x14ac:dyDescent="0.25">
      <c r="AB902" s="24"/>
      <c r="AC902" s="28"/>
      <c r="AD902" s="28"/>
    </row>
    <row r="903" spans="28:30" x14ac:dyDescent="0.25">
      <c r="AB903" s="24"/>
      <c r="AC903" s="28"/>
      <c r="AD903" s="28"/>
    </row>
    <row r="904" spans="28:30" x14ac:dyDescent="0.25">
      <c r="AB904" s="24"/>
      <c r="AC904" s="28"/>
      <c r="AD904" s="28"/>
    </row>
    <row r="905" spans="28:30" x14ac:dyDescent="0.25">
      <c r="AB905" s="24"/>
      <c r="AC905" s="28"/>
      <c r="AD905" s="28"/>
    </row>
    <row r="906" spans="28:30" x14ac:dyDescent="0.25">
      <c r="AB906" s="24"/>
      <c r="AC906" s="28"/>
      <c r="AD906" s="28"/>
    </row>
    <row r="907" spans="28:30" x14ac:dyDescent="0.25">
      <c r="AB907" s="24"/>
      <c r="AC907" s="28"/>
      <c r="AD907" s="28"/>
    </row>
    <row r="908" spans="28:30" x14ac:dyDescent="0.25">
      <c r="AB908" s="24"/>
      <c r="AC908" s="28"/>
      <c r="AD908" s="28"/>
    </row>
    <row r="909" spans="28:30" x14ac:dyDescent="0.25">
      <c r="AB909" s="24"/>
      <c r="AC909" s="28"/>
      <c r="AD909" s="28"/>
    </row>
    <row r="910" spans="28:30" x14ac:dyDescent="0.25">
      <c r="AB910" s="24"/>
      <c r="AC910" s="28"/>
      <c r="AD910" s="28"/>
    </row>
    <row r="911" spans="28:30" x14ac:dyDescent="0.25">
      <c r="AB911" s="24"/>
      <c r="AC911" s="28"/>
      <c r="AD911" s="28"/>
    </row>
    <row r="912" spans="28:30" x14ac:dyDescent="0.25">
      <c r="AB912" s="24"/>
      <c r="AC912" s="28"/>
      <c r="AD912" s="28"/>
    </row>
    <row r="913" spans="28:30" x14ac:dyDescent="0.25">
      <c r="AB913" s="24"/>
      <c r="AC913" s="28"/>
      <c r="AD913" s="28"/>
    </row>
    <row r="914" spans="28:30" x14ac:dyDescent="0.25">
      <c r="AB914" s="24"/>
      <c r="AC914" s="28"/>
      <c r="AD914" s="28"/>
    </row>
    <row r="915" spans="28:30" x14ac:dyDescent="0.25">
      <c r="AB915" s="24"/>
      <c r="AC915" s="28"/>
      <c r="AD915" s="28"/>
    </row>
    <row r="916" spans="28:30" x14ac:dyDescent="0.25">
      <c r="AB916" s="24"/>
      <c r="AC916" s="28"/>
      <c r="AD916" s="28"/>
    </row>
    <row r="917" spans="28:30" x14ac:dyDescent="0.25">
      <c r="AB917" s="24"/>
      <c r="AC917" s="28"/>
      <c r="AD917" s="28"/>
    </row>
    <row r="918" spans="28:30" x14ac:dyDescent="0.25">
      <c r="AB918" s="24"/>
      <c r="AC918" s="28"/>
      <c r="AD918" s="28"/>
    </row>
    <row r="919" spans="28:30" x14ac:dyDescent="0.25">
      <c r="AB919" s="24"/>
      <c r="AC919" s="28"/>
      <c r="AD919" s="28"/>
    </row>
    <row r="920" spans="28:30" x14ac:dyDescent="0.25">
      <c r="AB920" s="24"/>
      <c r="AC920" s="28"/>
      <c r="AD920" s="28"/>
    </row>
    <row r="921" spans="28:30" x14ac:dyDescent="0.25">
      <c r="AB921" s="24"/>
      <c r="AC921" s="28"/>
      <c r="AD921" s="28"/>
    </row>
    <row r="922" spans="28:30" x14ac:dyDescent="0.25">
      <c r="AB922" s="24"/>
      <c r="AC922" s="28"/>
      <c r="AD922" s="28"/>
    </row>
    <row r="923" spans="28:30" x14ac:dyDescent="0.25">
      <c r="AB923" s="24"/>
      <c r="AC923" s="28"/>
      <c r="AD923" s="28"/>
    </row>
    <row r="924" spans="28:30" x14ac:dyDescent="0.25">
      <c r="AB924" s="24"/>
      <c r="AC924" s="28"/>
      <c r="AD924" s="28"/>
    </row>
    <row r="925" spans="28:30" x14ac:dyDescent="0.25">
      <c r="AB925" s="24"/>
      <c r="AC925" s="28"/>
      <c r="AD925" s="28"/>
    </row>
    <row r="926" spans="28:30" x14ac:dyDescent="0.25">
      <c r="AB926" s="24"/>
      <c r="AC926" s="28"/>
      <c r="AD926" s="28"/>
    </row>
    <row r="927" spans="28:30" x14ac:dyDescent="0.25">
      <c r="AB927" s="24"/>
      <c r="AC927" s="28"/>
      <c r="AD927" s="28"/>
    </row>
    <row r="928" spans="28:30" x14ac:dyDescent="0.25">
      <c r="AB928" s="24"/>
      <c r="AC928" s="28"/>
      <c r="AD928" s="28"/>
    </row>
    <row r="929" spans="28:30" x14ac:dyDescent="0.25">
      <c r="AB929" s="24"/>
      <c r="AC929" s="28"/>
      <c r="AD929" s="28"/>
    </row>
    <row r="930" spans="28:30" x14ac:dyDescent="0.25">
      <c r="AB930" s="24"/>
      <c r="AC930" s="28"/>
      <c r="AD930" s="28"/>
    </row>
    <row r="931" spans="28:30" x14ac:dyDescent="0.25">
      <c r="AB931" s="24"/>
      <c r="AC931" s="28"/>
      <c r="AD931" s="28"/>
    </row>
    <row r="932" spans="28:30" x14ac:dyDescent="0.25">
      <c r="AB932" s="24"/>
      <c r="AC932" s="28"/>
      <c r="AD932" s="28"/>
    </row>
    <row r="933" spans="28:30" x14ac:dyDescent="0.25">
      <c r="AB933" s="24"/>
      <c r="AC933" s="28"/>
      <c r="AD933" s="28"/>
    </row>
    <row r="934" spans="28:30" x14ac:dyDescent="0.25">
      <c r="AB934" s="24"/>
      <c r="AC934" s="28"/>
      <c r="AD934" s="28"/>
    </row>
    <row r="935" spans="28:30" x14ac:dyDescent="0.25">
      <c r="AB935" s="24"/>
      <c r="AC935" s="28"/>
      <c r="AD935" s="28"/>
    </row>
    <row r="936" spans="28:30" x14ac:dyDescent="0.25">
      <c r="AB936" s="24"/>
      <c r="AC936" s="28"/>
      <c r="AD936" s="28"/>
    </row>
    <row r="937" spans="28:30" x14ac:dyDescent="0.25">
      <c r="AB937" s="24"/>
      <c r="AC937" s="28"/>
      <c r="AD937" s="28"/>
    </row>
    <row r="938" spans="28:30" x14ac:dyDescent="0.25">
      <c r="AB938" s="24"/>
      <c r="AC938" s="28"/>
      <c r="AD938" s="28"/>
    </row>
    <row r="939" spans="28:30" x14ac:dyDescent="0.25">
      <c r="AB939" s="24"/>
      <c r="AC939" s="28"/>
      <c r="AD939" s="28"/>
    </row>
    <row r="940" spans="28:30" x14ac:dyDescent="0.25">
      <c r="AB940" s="24"/>
      <c r="AC940" s="28"/>
      <c r="AD940" s="28"/>
    </row>
    <row r="941" spans="28:30" x14ac:dyDescent="0.25">
      <c r="AB941" s="24"/>
      <c r="AC941" s="28"/>
      <c r="AD941" s="28"/>
    </row>
    <row r="942" spans="28:30" x14ac:dyDescent="0.25">
      <c r="AB942" s="24"/>
      <c r="AC942" s="28"/>
      <c r="AD942" s="28"/>
    </row>
    <row r="943" spans="28:30" x14ac:dyDescent="0.25">
      <c r="AB943" s="24"/>
      <c r="AC943" s="28"/>
      <c r="AD943" s="28"/>
    </row>
    <row r="944" spans="28:30" x14ac:dyDescent="0.25">
      <c r="AB944" s="24"/>
      <c r="AC944" s="28"/>
      <c r="AD944" s="28"/>
    </row>
    <row r="945" spans="28:30" x14ac:dyDescent="0.25">
      <c r="AB945" s="24"/>
      <c r="AC945" s="28"/>
      <c r="AD945" s="28"/>
    </row>
    <row r="946" spans="28:30" x14ac:dyDescent="0.25">
      <c r="AB946" s="24"/>
      <c r="AC946" s="28"/>
      <c r="AD946" s="28"/>
    </row>
    <row r="947" spans="28:30" x14ac:dyDescent="0.25">
      <c r="AB947" s="24"/>
      <c r="AC947" s="28"/>
      <c r="AD947" s="28"/>
    </row>
    <row r="948" spans="28:30" x14ac:dyDescent="0.25">
      <c r="AB948" s="24"/>
      <c r="AC948" s="28"/>
      <c r="AD948" s="28"/>
    </row>
    <row r="949" spans="28:30" x14ac:dyDescent="0.25">
      <c r="AB949" s="24"/>
      <c r="AC949" s="28"/>
      <c r="AD949" s="28"/>
    </row>
    <row r="950" spans="28:30" x14ac:dyDescent="0.25">
      <c r="AB950" s="24"/>
      <c r="AC950" s="28"/>
      <c r="AD950" s="28"/>
    </row>
    <row r="951" spans="28:30" x14ac:dyDescent="0.25">
      <c r="AB951" s="24"/>
      <c r="AC951" s="28"/>
      <c r="AD951" s="28"/>
    </row>
    <row r="952" spans="28:30" x14ac:dyDescent="0.25">
      <c r="AB952" s="24"/>
      <c r="AC952" s="28"/>
      <c r="AD952" s="28"/>
    </row>
    <row r="953" spans="28:30" x14ac:dyDescent="0.25">
      <c r="AB953" s="24"/>
      <c r="AC953" s="28"/>
      <c r="AD953" s="28"/>
    </row>
    <row r="954" spans="28:30" x14ac:dyDescent="0.25">
      <c r="AB954" s="24"/>
      <c r="AC954" s="28"/>
      <c r="AD954" s="28"/>
    </row>
    <row r="955" spans="28:30" x14ac:dyDescent="0.25">
      <c r="AB955" s="24"/>
      <c r="AC955" s="28"/>
      <c r="AD955" s="28"/>
    </row>
    <row r="956" spans="28:30" x14ac:dyDescent="0.25">
      <c r="AB956" s="24"/>
      <c r="AC956" s="28"/>
      <c r="AD956" s="28"/>
    </row>
    <row r="957" spans="28:30" x14ac:dyDescent="0.25">
      <c r="AB957" s="24"/>
      <c r="AC957" s="28"/>
      <c r="AD957" s="28"/>
    </row>
    <row r="958" spans="28:30" x14ac:dyDescent="0.25">
      <c r="AB958" s="24"/>
      <c r="AC958" s="28"/>
      <c r="AD958" s="28"/>
    </row>
    <row r="959" spans="28:30" x14ac:dyDescent="0.25">
      <c r="AB959" s="24"/>
      <c r="AC959" s="28"/>
      <c r="AD959" s="28"/>
    </row>
    <row r="960" spans="28:30" x14ac:dyDescent="0.25">
      <c r="AB960" s="24"/>
      <c r="AC960" s="28"/>
      <c r="AD960" s="28"/>
    </row>
    <row r="961" spans="28:30" x14ac:dyDescent="0.25">
      <c r="AB961" s="24"/>
      <c r="AC961" s="28"/>
      <c r="AD961" s="28"/>
    </row>
    <row r="962" spans="28:30" x14ac:dyDescent="0.25">
      <c r="AB962" s="24"/>
      <c r="AC962" s="28"/>
      <c r="AD962" s="28"/>
    </row>
    <row r="963" spans="28:30" x14ac:dyDescent="0.25">
      <c r="AB963" s="24"/>
      <c r="AC963" s="28"/>
      <c r="AD963" s="28"/>
    </row>
    <row r="964" spans="28:30" x14ac:dyDescent="0.25">
      <c r="AB964" s="24"/>
      <c r="AC964" s="28"/>
      <c r="AD964" s="28"/>
    </row>
    <row r="965" spans="28:30" x14ac:dyDescent="0.25">
      <c r="AB965" s="24"/>
      <c r="AC965" s="28"/>
      <c r="AD965" s="28"/>
    </row>
    <row r="966" spans="28:30" x14ac:dyDescent="0.25">
      <c r="AB966" s="24"/>
      <c r="AC966" s="28"/>
      <c r="AD966" s="28"/>
    </row>
    <row r="967" spans="28:30" x14ac:dyDescent="0.25">
      <c r="AB967" s="24"/>
      <c r="AC967" s="28"/>
      <c r="AD967" s="28"/>
    </row>
    <row r="968" spans="28:30" x14ac:dyDescent="0.25">
      <c r="AB968" s="24"/>
      <c r="AC968" s="28"/>
      <c r="AD968" s="28"/>
    </row>
    <row r="969" spans="28:30" x14ac:dyDescent="0.25">
      <c r="AB969" s="24"/>
      <c r="AC969" s="28"/>
      <c r="AD969" s="28"/>
    </row>
    <row r="970" spans="28:30" x14ac:dyDescent="0.25">
      <c r="AB970" s="24"/>
      <c r="AC970" s="28"/>
      <c r="AD970" s="28"/>
    </row>
    <row r="971" spans="28:30" x14ac:dyDescent="0.25">
      <c r="AB971" s="24"/>
      <c r="AC971" s="28"/>
      <c r="AD971" s="28"/>
    </row>
    <row r="972" spans="28:30" x14ac:dyDescent="0.25">
      <c r="AB972" s="24"/>
      <c r="AC972" s="28"/>
      <c r="AD972" s="28"/>
    </row>
    <row r="973" spans="28:30" x14ac:dyDescent="0.25">
      <c r="AB973" s="24"/>
      <c r="AC973" s="28"/>
      <c r="AD973" s="28"/>
    </row>
    <row r="974" spans="28:30" x14ac:dyDescent="0.25">
      <c r="AB974" s="24"/>
      <c r="AC974" s="28"/>
      <c r="AD974" s="28"/>
    </row>
    <row r="975" spans="28:30" x14ac:dyDescent="0.25">
      <c r="AB975" s="24"/>
      <c r="AC975" s="28"/>
      <c r="AD975" s="28"/>
    </row>
    <row r="976" spans="28:30" x14ac:dyDescent="0.25">
      <c r="AB976" s="24"/>
      <c r="AC976" s="28"/>
      <c r="AD976" s="28"/>
    </row>
    <row r="977" spans="28:30" x14ac:dyDescent="0.25">
      <c r="AB977" s="24"/>
      <c r="AC977" s="28"/>
      <c r="AD977" s="28"/>
    </row>
    <row r="978" spans="28:30" x14ac:dyDescent="0.25">
      <c r="AB978" s="24"/>
      <c r="AC978" s="28"/>
      <c r="AD978" s="28"/>
    </row>
    <row r="979" spans="28:30" x14ac:dyDescent="0.25">
      <c r="AC979" s="28"/>
      <c r="AD979" s="28"/>
    </row>
  </sheetData>
  <sortState xmlns:xlrd2="http://schemas.microsoft.com/office/spreadsheetml/2017/richdata2" ref="A2:AE121">
    <sortCondition ref="C2:C121"/>
  </sortState>
  <phoneticPr fontId="7" type="noConversion"/>
  <conditionalFormatting sqref="AC1:AE1 AB1:AB120 E121:AE121 AB122:AB978">
    <cfRule type="cellIs" dxfId="0" priority="1" operator="lessThan">
      <formula>0</formula>
    </cfRule>
  </conditionalFormatting>
  <dataValidations count="1">
    <dataValidation type="custom" allowBlank="1" showDropDown="1" sqref="Y89:Y90 J47:M55 J38:N46 N112:N120 H112:I120 D112:D120 Y112:Y120 K112:K120 Y93:Y105 Z67:Z120 Y67:Y86 I38:I111 J56:J120 L56:M120 N47:N105 K56:K105 Y2:Z66 I2:N37 AA2:AB120 E2:G120 H2:H111 D2:D96 O2:X120" xr:uid="{8FCCCF8D-A982-4ECC-8B53-E3BEBA11274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.3" footer="0.3"/>
  <pageSetup paperSize="9" scale="18" fitToHeight="0" orientation="portrait" r:id="rId1"/>
  <headerFooter>
    <oddHeader>&amp;L&amp;D&amp;CLIST OF STUDENTS PAYMENT STATUS&amp;R&amp;T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2C83-91E4-41B7-8CF8-86E9AAFC4374}">
  <sheetPr codeName="Sheet9"/>
  <dimension ref="A1:X589"/>
  <sheetViews>
    <sheetView workbookViewId="0">
      <pane xSplit="1" ySplit="1" topLeftCell="B2" activePane="bottomRight" state="frozen"/>
      <selection activeCell="B16" sqref="B16"/>
      <selection pane="topRight" activeCell="B16" sqref="B16"/>
      <selection pane="bottomLeft" activeCell="B16" sqref="B16"/>
      <selection pane="bottomRight" activeCell="A3" sqref="A3"/>
    </sheetView>
  </sheetViews>
  <sheetFormatPr defaultColWidth="14.42578125" defaultRowHeight="15" customHeight="1" x14ac:dyDescent="0.25"/>
  <cols>
    <col min="1" max="1" width="10.42578125" style="27" bestFit="1" customWidth="1"/>
    <col min="2" max="2" width="8.42578125" style="5" bestFit="1" customWidth="1"/>
    <col min="3" max="3" width="41.85546875" style="5" bestFit="1" customWidth="1"/>
    <col min="4" max="4" width="12.5703125" style="26" bestFit="1" customWidth="1"/>
    <col min="5" max="5" width="24.7109375" style="5" bestFit="1" customWidth="1"/>
    <col min="6" max="6" width="11.7109375" style="5" customWidth="1"/>
    <col min="7" max="7" width="4.85546875" style="5" customWidth="1"/>
    <col min="8" max="23" width="24.140625" style="5" customWidth="1"/>
    <col min="24" max="16384" width="14.42578125" style="5"/>
  </cols>
  <sheetData>
    <row r="1" spans="1:24" s="36" customFormat="1" ht="18" x14ac:dyDescent="0.25">
      <c r="A1" s="34" t="s">
        <v>166</v>
      </c>
      <c r="B1" s="1" t="s">
        <v>246</v>
      </c>
      <c r="C1" s="2" t="s">
        <v>247</v>
      </c>
      <c r="D1" s="35" t="s">
        <v>139</v>
      </c>
      <c r="E1" s="3" t="s">
        <v>248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25">
      <c r="A2" s="27">
        <v>46238</v>
      </c>
      <c r="B2" s="5" t="s">
        <v>251</v>
      </c>
      <c r="C2" s="5" t="s">
        <v>250</v>
      </c>
      <c r="D2" s="26">
        <v>48000</v>
      </c>
      <c r="E2" s="5" t="s">
        <v>252</v>
      </c>
    </row>
    <row r="3" spans="1:24" ht="15.75" customHeight="1" x14ac:dyDescent="0.25"/>
    <row r="4" spans="1:24" ht="15.75" customHeight="1" x14ac:dyDescent="0.25"/>
    <row r="5" spans="1:24" ht="15.75" customHeight="1" x14ac:dyDescent="0.25"/>
    <row r="6" spans="1:24" ht="15.75" customHeight="1" x14ac:dyDescent="0.25"/>
    <row r="7" spans="1:24" ht="15.75" customHeight="1" x14ac:dyDescent="0.25"/>
    <row r="8" spans="1:24" ht="15.75" customHeight="1" x14ac:dyDescent="0.25"/>
    <row r="9" spans="1:24" ht="15.75" customHeight="1" x14ac:dyDescent="0.25"/>
    <row r="10" spans="1:24" ht="15.75" customHeight="1" x14ac:dyDescent="0.25"/>
    <row r="11" spans="1:24" ht="15.75" customHeight="1" x14ac:dyDescent="0.25"/>
    <row r="12" spans="1:24" ht="15.75" customHeight="1" x14ac:dyDescent="0.25"/>
    <row r="13" spans="1:24" s="27" customFormat="1" ht="15.75" customHeight="1" x14ac:dyDescent="0.25">
      <c r="B13" s="5"/>
      <c r="C13" s="5"/>
      <c r="D13" s="2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s="27" customFormat="1" ht="15.75" customHeight="1" x14ac:dyDescent="0.25">
      <c r="B14" s="5"/>
      <c r="C14" s="5"/>
      <c r="D14" s="2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s="27" customFormat="1" ht="15.75" customHeight="1" x14ac:dyDescent="0.25">
      <c r="B15" s="5"/>
      <c r="C15" s="5"/>
      <c r="D15" s="2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s="27" customFormat="1" ht="15.75" customHeight="1" x14ac:dyDescent="0.25">
      <c r="A16" s="30"/>
      <c r="B16" s="7"/>
      <c r="C16" s="7"/>
      <c r="D16" s="31"/>
      <c r="E16" s="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s="27" customFormat="1" ht="15.75" customHeight="1" x14ac:dyDescent="0.25">
      <c r="B17" s="5"/>
      <c r="C17" s="5"/>
      <c r="D17" s="2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s="27" customFormat="1" ht="15.75" customHeight="1" x14ac:dyDescent="0.25">
      <c r="B18" s="5"/>
      <c r="C18" s="5"/>
      <c r="D18" s="2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s="27" customFormat="1" ht="15.75" customHeight="1" x14ac:dyDescent="0.25">
      <c r="B19" s="5"/>
      <c r="C19" s="5"/>
      <c r="D19" s="2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s="27" customFormat="1" ht="15.75" customHeight="1" x14ac:dyDescent="0.25">
      <c r="A20" s="30"/>
      <c r="B20" s="7"/>
      <c r="C20" s="7"/>
      <c r="D20" s="31"/>
      <c r="E20" s="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s="27" customFormat="1" ht="15.75" customHeight="1" x14ac:dyDescent="0.25">
      <c r="B21" s="5"/>
      <c r="C21" s="5"/>
      <c r="D21" s="2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s="27" customFormat="1" ht="15.75" customHeight="1" x14ac:dyDescent="0.25">
      <c r="B22" s="5"/>
      <c r="C22" s="5"/>
      <c r="D22" s="2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s="27" customFormat="1" ht="15.75" customHeight="1" x14ac:dyDescent="0.25">
      <c r="B23" s="5"/>
      <c r="C23" s="5"/>
      <c r="D23" s="2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s="27" customFormat="1" ht="15.75" customHeight="1" x14ac:dyDescent="0.25">
      <c r="B24" s="5"/>
      <c r="C24" s="5"/>
      <c r="D24" s="2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s="27" customFormat="1" ht="15.75" customHeight="1" x14ac:dyDescent="0.25">
      <c r="B25" s="5"/>
      <c r="C25" s="5"/>
      <c r="D25" s="2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s="27" customFormat="1" ht="15.75" customHeight="1" x14ac:dyDescent="0.25">
      <c r="B26" s="5"/>
      <c r="C26" s="5"/>
      <c r="D26" s="2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s="27" customFormat="1" ht="15.75" customHeight="1" x14ac:dyDescent="0.25">
      <c r="B27" s="5"/>
      <c r="C27" s="5"/>
      <c r="D27" s="2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s="27" customFormat="1" ht="15.75" customHeight="1" x14ac:dyDescent="0.25">
      <c r="B28" s="5"/>
      <c r="C28" s="5"/>
      <c r="D28" s="2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s="27" customFormat="1" ht="15.75" customHeight="1" x14ac:dyDescent="0.25">
      <c r="B29" s="5"/>
      <c r="C29" s="5"/>
      <c r="D29" s="2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s="27" customFormat="1" ht="15.75" customHeight="1" x14ac:dyDescent="0.25">
      <c r="B30" s="5"/>
      <c r="C30" s="5"/>
      <c r="D30" s="2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s="27" customFormat="1" ht="15.75" customHeight="1" x14ac:dyDescent="0.25">
      <c r="B31" s="5"/>
      <c r="C31" s="5"/>
      <c r="D31" s="2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s="27" customFormat="1" ht="15.75" customHeight="1" x14ac:dyDescent="0.25">
      <c r="B32" s="5"/>
      <c r="C32" s="5"/>
      <c r="D32" s="2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s="27" customFormat="1" ht="15.75" customHeight="1" x14ac:dyDescent="0.25">
      <c r="B33" s="5"/>
      <c r="C33" s="5"/>
      <c r="D33" s="2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s="27" customFormat="1" ht="15.75" customHeight="1" x14ac:dyDescent="0.25">
      <c r="B34" s="5"/>
      <c r="C34" s="5"/>
      <c r="D34" s="2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s="27" customFormat="1" ht="15.75" customHeight="1" x14ac:dyDescent="0.25">
      <c r="B35" s="5"/>
      <c r="C35" s="5"/>
      <c r="D35" s="2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s="27" customFormat="1" ht="15.75" customHeight="1" x14ac:dyDescent="0.25">
      <c r="B36" s="5"/>
      <c r="C36" s="5"/>
      <c r="D36" s="2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s="27" customFormat="1" ht="15.75" customHeight="1" x14ac:dyDescent="0.25">
      <c r="B37" s="5"/>
      <c r="C37" s="5"/>
      <c r="D37" s="2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s="27" customFormat="1" ht="15.75" customHeight="1" x14ac:dyDescent="0.25">
      <c r="B38" s="5"/>
      <c r="C38" s="5"/>
      <c r="D38" s="2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s="27" customFormat="1" ht="15.75" customHeight="1" x14ac:dyDescent="0.25">
      <c r="B39" s="5"/>
      <c r="C39" s="5"/>
      <c r="D39" s="2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s="27" customFormat="1" ht="15.75" customHeight="1" x14ac:dyDescent="0.25">
      <c r="B40" s="5"/>
      <c r="C40" s="5"/>
      <c r="D40" s="2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s="27" customFormat="1" ht="15.75" customHeight="1" x14ac:dyDescent="0.25">
      <c r="A41" s="30"/>
      <c r="B41" s="7"/>
      <c r="C41" s="7"/>
      <c r="D41" s="31"/>
      <c r="E41" s="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s="27" customFormat="1" ht="15.75" customHeight="1" x14ac:dyDescent="0.25">
      <c r="B42" s="5"/>
      <c r="C42" s="5"/>
      <c r="D42" s="2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s="27" customFormat="1" ht="15.75" customHeight="1" x14ac:dyDescent="0.25">
      <c r="B43" s="5"/>
      <c r="C43" s="5"/>
      <c r="D43" s="2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s="27" customFormat="1" ht="15.75" customHeight="1" x14ac:dyDescent="0.25">
      <c r="B44" s="5"/>
      <c r="C44" s="5"/>
      <c r="D44" s="2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s="27" customFormat="1" ht="15.75" customHeight="1" x14ac:dyDescent="0.25">
      <c r="A45" s="30"/>
      <c r="B45" s="7"/>
      <c r="C45" s="7"/>
      <c r="D45" s="31"/>
      <c r="E45" s="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s="27" customFormat="1" ht="15.75" customHeight="1" x14ac:dyDescent="0.25">
      <c r="B46" s="5"/>
      <c r="C46" s="5"/>
      <c r="D46" s="2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s="27" customFormat="1" ht="15.75" customHeight="1" x14ac:dyDescent="0.25">
      <c r="B47" s="5"/>
      <c r="C47" s="5"/>
      <c r="D47" s="2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s="27" customFormat="1" ht="15.75" customHeight="1" x14ac:dyDescent="0.25">
      <c r="A48" s="30"/>
      <c r="B48" s="7"/>
      <c r="C48" s="7"/>
      <c r="D48" s="31"/>
      <c r="E48" s="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s="30" customFormat="1" ht="15.75" customHeight="1" x14ac:dyDescent="0.25">
      <c r="A49" s="27"/>
      <c r="B49" s="5"/>
      <c r="C49" s="5"/>
      <c r="D49" s="26"/>
      <c r="E49" s="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s="30" customFormat="1" ht="15.75" customHeight="1" x14ac:dyDescent="0.25">
      <c r="A50" s="27"/>
      <c r="B50" s="5"/>
      <c r="C50" s="5"/>
      <c r="D50" s="26"/>
      <c r="E50" s="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s="30" customFormat="1" ht="15.75" customHeight="1" x14ac:dyDescent="0.25">
      <c r="A51" s="27"/>
      <c r="B51" s="5"/>
      <c r="C51" s="5"/>
      <c r="D51" s="26"/>
      <c r="E51" s="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s="30" customFormat="1" ht="15.75" customHeight="1" x14ac:dyDescent="0.25">
      <c r="A52" s="27"/>
      <c r="B52" s="5"/>
      <c r="C52" s="5"/>
      <c r="D52" s="26"/>
      <c r="E52" s="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s="30" customFormat="1" ht="15.75" customHeight="1" x14ac:dyDescent="0.25">
      <c r="A53" s="27"/>
      <c r="B53" s="5"/>
      <c r="C53" s="5"/>
      <c r="D53" s="26"/>
      <c r="E53" s="5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s="27" customFormat="1" ht="15.75" customHeight="1" x14ac:dyDescent="0.25">
      <c r="B54" s="5"/>
      <c r="C54" s="5"/>
      <c r="D54" s="2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s="27" customFormat="1" ht="15.75" customHeight="1" x14ac:dyDescent="0.25">
      <c r="B55" s="5"/>
      <c r="C55" s="5"/>
      <c r="D55" s="2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s="27" customFormat="1" ht="15.75" customHeight="1" x14ac:dyDescent="0.25">
      <c r="B56" s="5"/>
      <c r="C56" s="5"/>
      <c r="D56" s="2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s="27" customFormat="1" ht="15.75" customHeight="1" x14ac:dyDescent="0.25">
      <c r="B57" s="5"/>
      <c r="C57" s="5"/>
      <c r="D57" s="2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s="27" customFormat="1" ht="15.75" customHeight="1" x14ac:dyDescent="0.25">
      <c r="B58" s="5"/>
      <c r="C58" s="5"/>
      <c r="D58" s="2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s="27" customFormat="1" ht="15.75" customHeight="1" x14ac:dyDescent="0.25">
      <c r="B59" s="5"/>
      <c r="C59" s="5"/>
      <c r="D59" s="2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s="27" customFormat="1" ht="15.75" customHeight="1" x14ac:dyDescent="0.25">
      <c r="B60" s="5"/>
      <c r="C60" s="5"/>
      <c r="D60" s="2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s="27" customFormat="1" ht="15.75" customHeight="1" x14ac:dyDescent="0.25">
      <c r="B61" s="5"/>
      <c r="C61" s="5"/>
      <c r="D61" s="2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s="27" customFormat="1" ht="15.75" customHeight="1" x14ac:dyDescent="0.25">
      <c r="B62" s="5"/>
      <c r="C62" s="5"/>
      <c r="D62" s="2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s="27" customFormat="1" ht="15.75" customHeight="1" x14ac:dyDescent="0.25">
      <c r="B63" s="5"/>
      <c r="C63" s="5"/>
      <c r="D63" s="2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s="27" customFormat="1" ht="15.75" customHeight="1" x14ac:dyDescent="0.25">
      <c r="B64" s="5"/>
      <c r="C64" s="5"/>
      <c r="D64" s="2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s="27" customFormat="1" ht="15.75" customHeight="1" x14ac:dyDescent="0.25">
      <c r="B65" s="5"/>
      <c r="C65" s="5"/>
      <c r="D65" s="2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s="27" customFormat="1" ht="15.75" customHeight="1" x14ac:dyDescent="0.25">
      <c r="B66" s="5"/>
      <c r="C66" s="5"/>
      <c r="D66" s="2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s="27" customFormat="1" ht="15.75" customHeight="1" x14ac:dyDescent="0.25">
      <c r="B67" s="5"/>
      <c r="C67" s="5"/>
      <c r="D67" s="2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s="27" customFormat="1" ht="15.75" customHeight="1" x14ac:dyDescent="0.25">
      <c r="B68" s="5"/>
      <c r="C68" s="5"/>
      <c r="D68" s="2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s="27" customFormat="1" ht="15.75" customHeight="1" x14ac:dyDescent="0.25">
      <c r="B69" s="5"/>
      <c r="C69" s="5"/>
      <c r="D69" s="2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s="27" customFormat="1" ht="15.75" customHeight="1" x14ac:dyDescent="0.25">
      <c r="B70" s="5"/>
      <c r="C70" s="5"/>
      <c r="D70" s="2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s="27" customFormat="1" ht="15.75" customHeight="1" x14ac:dyDescent="0.25">
      <c r="B71" s="5"/>
      <c r="C71" s="5"/>
      <c r="D71" s="2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s="27" customFormat="1" ht="15.75" customHeight="1" x14ac:dyDescent="0.25">
      <c r="B72" s="5"/>
      <c r="C72" s="5"/>
      <c r="D72" s="2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s="27" customFormat="1" ht="15.75" customHeight="1" x14ac:dyDescent="0.25">
      <c r="B73" s="5"/>
      <c r="C73" s="5"/>
      <c r="D73" s="2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s="27" customFormat="1" ht="15.75" customHeight="1" x14ac:dyDescent="0.25">
      <c r="B74" s="5"/>
      <c r="C74" s="5"/>
      <c r="D74" s="2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s="27" customFormat="1" ht="15.75" customHeight="1" x14ac:dyDescent="0.25">
      <c r="B75" s="5"/>
      <c r="C75" s="5"/>
      <c r="D75" s="2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s="27" customFormat="1" ht="15.75" customHeight="1" x14ac:dyDescent="0.25">
      <c r="B76" s="5"/>
      <c r="C76" s="5"/>
      <c r="D76" s="2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s="27" customFormat="1" ht="15.75" customHeight="1" x14ac:dyDescent="0.25">
      <c r="B77" s="5"/>
      <c r="C77" s="5"/>
      <c r="D77" s="2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s="27" customFormat="1" ht="15.75" customHeight="1" x14ac:dyDescent="0.25">
      <c r="B78" s="5"/>
      <c r="C78" s="5"/>
      <c r="D78" s="2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s="27" customFormat="1" ht="15.75" customHeight="1" x14ac:dyDescent="0.25">
      <c r="B79" s="5"/>
      <c r="C79" s="5"/>
      <c r="D79" s="2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s="27" customFormat="1" ht="15.75" customHeight="1" x14ac:dyDescent="0.25">
      <c r="B80" s="5"/>
      <c r="C80" s="5"/>
      <c r="D80" s="2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2:24" s="27" customFormat="1" ht="15.75" customHeight="1" x14ac:dyDescent="0.25">
      <c r="B81" s="5"/>
      <c r="C81" s="5"/>
      <c r="D81" s="2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2:24" s="27" customFormat="1" ht="15.75" customHeight="1" x14ac:dyDescent="0.25">
      <c r="B82" s="5"/>
      <c r="C82" s="5"/>
      <c r="D82" s="2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2:24" s="27" customFormat="1" ht="15.75" customHeight="1" x14ac:dyDescent="0.25">
      <c r="B83" s="5"/>
      <c r="C83" s="5"/>
      <c r="D83" s="2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2:24" s="27" customFormat="1" ht="15.75" customHeight="1" x14ac:dyDescent="0.25">
      <c r="B84" s="5"/>
      <c r="C84" s="5"/>
      <c r="D84" s="2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2:24" s="27" customFormat="1" ht="15.75" customHeight="1" x14ac:dyDescent="0.25">
      <c r="B85" s="5"/>
      <c r="C85" s="5"/>
      <c r="D85" s="2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2:24" s="27" customFormat="1" ht="15.75" customHeight="1" x14ac:dyDescent="0.25">
      <c r="B86" s="5"/>
      <c r="C86" s="5"/>
      <c r="D86" s="2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2:24" s="27" customFormat="1" ht="15.75" customHeight="1" x14ac:dyDescent="0.25">
      <c r="B87" s="5"/>
      <c r="C87" s="5"/>
      <c r="D87" s="2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2:24" s="27" customFormat="1" ht="15.75" customHeight="1" x14ac:dyDescent="0.25">
      <c r="B88" s="5"/>
      <c r="C88" s="5"/>
      <c r="D88" s="2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2:24" s="27" customFormat="1" ht="15.75" customHeight="1" x14ac:dyDescent="0.25">
      <c r="B89" s="5"/>
      <c r="C89" s="5"/>
      <c r="D89" s="2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2:24" s="27" customFormat="1" ht="15.75" customHeight="1" x14ac:dyDescent="0.25">
      <c r="B90" s="5"/>
      <c r="C90" s="5"/>
      <c r="D90" s="2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2:24" s="27" customFormat="1" ht="15.75" customHeight="1" x14ac:dyDescent="0.25">
      <c r="B91" s="5"/>
      <c r="C91" s="5"/>
      <c r="D91" s="2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2:24" s="27" customFormat="1" ht="15.75" customHeight="1" x14ac:dyDescent="0.25">
      <c r="B92" s="5"/>
      <c r="C92" s="5"/>
      <c r="D92" s="2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2:24" s="27" customFormat="1" ht="15.75" customHeight="1" x14ac:dyDescent="0.25">
      <c r="B93" s="5"/>
      <c r="C93" s="5"/>
      <c r="D93" s="2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2:24" s="27" customFormat="1" ht="15.75" customHeight="1" x14ac:dyDescent="0.25">
      <c r="B94" s="5"/>
      <c r="C94" s="5"/>
      <c r="D94" s="2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2:24" s="27" customFormat="1" ht="15.75" customHeight="1" x14ac:dyDescent="0.25">
      <c r="B95" s="5"/>
      <c r="C95" s="5"/>
      <c r="D95" s="2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2:24" s="27" customFormat="1" ht="15.75" customHeight="1" x14ac:dyDescent="0.25">
      <c r="B96" s="5"/>
      <c r="C96" s="5"/>
      <c r="D96" s="2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2:24" s="27" customFormat="1" ht="15.75" customHeight="1" x14ac:dyDescent="0.25">
      <c r="B97" s="5"/>
      <c r="C97" s="5"/>
      <c r="D97" s="2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2:24" s="27" customFormat="1" ht="15.75" customHeight="1" x14ac:dyDescent="0.25">
      <c r="B98" s="5"/>
      <c r="C98" s="5"/>
      <c r="D98" s="2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2:24" s="27" customFormat="1" ht="15.75" customHeight="1" x14ac:dyDescent="0.25">
      <c r="B99" s="5"/>
      <c r="C99" s="5"/>
      <c r="D99" s="2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2:24" s="27" customFormat="1" ht="15.75" customHeight="1" x14ac:dyDescent="0.25">
      <c r="B100" s="5"/>
      <c r="C100" s="5"/>
      <c r="D100" s="2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2:24" s="27" customFormat="1" ht="15.75" customHeight="1" x14ac:dyDescent="0.25">
      <c r="B101" s="5"/>
      <c r="C101" s="5"/>
      <c r="D101" s="2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2:24" s="27" customFormat="1" ht="15.75" customHeight="1" x14ac:dyDescent="0.25">
      <c r="B102" s="5"/>
      <c r="C102" s="5"/>
      <c r="D102" s="2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2:24" s="27" customFormat="1" ht="15.75" customHeight="1" x14ac:dyDescent="0.25">
      <c r="B103" s="5"/>
      <c r="C103" s="5"/>
      <c r="D103" s="2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2:24" s="27" customFormat="1" ht="15.75" customHeight="1" x14ac:dyDescent="0.25">
      <c r="B104" s="5"/>
      <c r="C104" s="5"/>
      <c r="D104" s="2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2:24" s="27" customFormat="1" ht="15.75" customHeight="1" x14ac:dyDescent="0.25">
      <c r="B105" s="5"/>
      <c r="C105" s="5"/>
      <c r="D105" s="2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2:24" s="27" customFormat="1" ht="15.75" customHeight="1" x14ac:dyDescent="0.25">
      <c r="B106" s="5"/>
      <c r="C106" s="5"/>
      <c r="D106" s="2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2:24" s="27" customFormat="1" ht="15.75" customHeight="1" x14ac:dyDescent="0.25">
      <c r="B107" s="5"/>
      <c r="C107" s="5"/>
      <c r="D107" s="2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2:24" s="27" customFormat="1" ht="15.75" customHeight="1" x14ac:dyDescent="0.25">
      <c r="B108" s="5"/>
      <c r="C108" s="5"/>
      <c r="D108" s="2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2:24" s="27" customFormat="1" ht="15.75" customHeight="1" x14ac:dyDescent="0.25">
      <c r="B109" s="5"/>
      <c r="C109" s="5"/>
      <c r="D109" s="2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2:24" s="27" customFormat="1" ht="15.75" customHeight="1" x14ac:dyDescent="0.25">
      <c r="B110" s="5"/>
      <c r="C110" s="5"/>
      <c r="D110" s="2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2:24" s="27" customFormat="1" ht="15.75" customHeight="1" x14ac:dyDescent="0.25">
      <c r="B111" s="5"/>
      <c r="C111" s="5"/>
      <c r="D111" s="2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2:24" s="27" customFormat="1" ht="15.75" customHeight="1" x14ac:dyDescent="0.25">
      <c r="B112" s="5"/>
      <c r="C112" s="5"/>
      <c r="D112" s="2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2:24" s="27" customFormat="1" ht="15.75" customHeight="1" x14ac:dyDescent="0.25">
      <c r="B113" s="5"/>
      <c r="C113" s="5"/>
      <c r="D113" s="2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2:24" s="27" customFormat="1" ht="15.75" customHeight="1" x14ac:dyDescent="0.25">
      <c r="B114" s="5"/>
      <c r="C114" s="5"/>
      <c r="D114" s="2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2:24" s="27" customFormat="1" ht="15.75" customHeight="1" x14ac:dyDescent="0.25">
      <c r="B115" s="5"/>
      <c r="C115" s="5"/>
      <c r="D115" s="2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2:24" s="27" customFormat="1" ht="15.75" customHeight="1" x14ac:dyDescent="0.25">
      <c r="B116" s="5"/>
      <c r="C116" s="5"/>
      <c r="D116" s="2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2:24" s="27" customFormat="1" ht="15.75" customHeight="1" x14ac:dyDescent="0.25">
      <c r="B117" s="5"/>
      <c r="C117" s="5"/>
      <c r="D117" s="2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2:24" s="27" customFormat="1" ht="15.75" customHeight="1" x14ac:dyDescent="0.25">
      <c r="B118" s="5"/>
      <c r="C118" s="5"/>
      <c r="D118" s="2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2:24" s="27" customFormat="1" ht="15.75" customHeight="1" x14ac:dyDescent="0.25">
      <c r="B119" s="5"/>
      <c r="C119" s="5"/>
      <c r="D119" s="2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2:24" s="27" customFormat="1" ht="15.75" customHeight="1" x14ac:dyDescent="0.25">
      <c r="B120" s="5"/>
      <c r="C120" s="5"/>
      <c r="D120" s="2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2:24" s="27" customFormat="1" ht="15.75" customHeight="1" x14ac:dyDescent="0.25">
      <c r="B121" s="5"/>
      <c r="C121" s="5"/>
      <c r="D121" s="2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2:24" s="27" customFormat="1" ht="15.75" customHeight="1" x14ac:dyDescent="0.25">
      <c r="B122" s="5"/>
      <c r="C122" s="5"/>
      <c r="D122" s="2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2:24" s="27" customFormat="1" ht="15.75" customHeight="1" x14ac:dyDescent="0.25">
      <c r="B123" s="5"/>
      <c r="C123" s="5"/>
      <c r="D123" s="2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2:24" s="27" customFormat="1" ht="15.75" customHeight="1" x14ac:dyDescent="0.25">
      <c r="B124" s="5"/>
      <c r="C124" s="5"/>
      <c r="D124" s="2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2:24" s="27" customFormat="1" ht="15.75" customHeight="1" x14ac:dyDescent="0.25">
      <c r="B125" s="5"/>
      <c r="C125" s="5"/>
      <c r="D125" s="2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2:24" s="27" customFormat="1" ht="15.75" customHeight="1" x14ac:dyDescent="0.25">
      <c r="B126" s="5"/>
      <c r="C126" s="5"/>
      <c r="D126" s="2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2:24" s="27" customFormat="1" ht="15.75" customHeight="1" x14ac:dyDescent="0.25">
      <c r="B127" s="5"/>
      <c r="C127" s="5"/>
      <c r="D127" s="2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2:24" s="27" customFormat="1" ht="15.75" customHeight="1" x14ac:dyDescent="0.25">
      <c r="B128" s="5"/>
      <c r="C128" s="5"/>
      <c r="D128" s="2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2:24" s="27" customFormat="1" ht="15.75" customHeight="1" x14ac:dyDescent="0.25">
      <c r="B129" s="5"/>
      <c r="C129" s="5"/>
      <c r="D129" s="2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2:24" s="27" customFormat="1" ht="15.75" customHeight="1" x14ac:dyDescent="0.25">
      <c r="B130" s="5"/>
      <c r="C130" s="5"/>
      <c r="D130" s="2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2:24" s="27" customFormat="1" ht="15.75" customHeight="1" x14ac:dyDescent="0.25">
      <c r="B131" s="5"/>
      <c r="C131" s="5"/>
      <c r="D131" s="2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2:24" s="27" customFormat="1" ht="15.75" customHeight="1" x14ac:dyDescent="0.25">
      <c r="B132" s="5"/>
      <c r="C132" s="5"/>
      <c r="D132" s="2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2:24" s="27" customFormat="1" ht="15.75" customHeight="1" x14ac:dyDescent="0.25">
      <c r="B133" s="5"/>
      <c r="C133" s="5"/>
      <c r="D133" s="2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2:24" s="27" customFormat="1" ht="15.75" customHeight="1" x14ac:dyDescent="0.25">
      <c r="B134" s="5"/>
      <c r="C134" s="5"/>
      <c r="D134" s="2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2:24" s="27" customFormat="1" ht="15.75" customHeight="1" x14ac:dyDescent="0.25">
      <c r="B135" s="5"/>
      <c r="C135" s="5"/>
      <c r="D135" s="2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2:24" s="27" customFormat="1" ht="15.75" customHeight="1" x14ac:dyDescent="0.25">
      <c r="B136" s="5"/>
      <c r="C136" s="5"/>
      <c r="D136" s="2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2:24" s="27" customFormat="1" ht="15.75" customHeight="1" x14ac:dyDescent="0.25">
      <c r="B137" s="5"/>
      <c r="C137" s="5"/>
      <c r="D137" s="2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2:24" s="27" customFormat="1" ht="15.75" customHeight="1" x14ac:dyDescent="0.25">
      <c r="B138" s="5"/>
      <c r="C138" s="5"/>
      <c r="D138" s="2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2:24" s="27" customFormat="1" ht="15.75" customHeight="1" x14ac:dyDescent="0.25">
      <c r="B139" s="5"/>
      <c r="C139" s="5"/>
      <c r="D139" s="2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2:24" s="27" customFormat="1" ht="15.75" customHeight="1" x14ac:dyDescent="0.25">
      <c r="B140" s="5"/>
      <c r="C140" s="5"/>
      <c r="D140" s="2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2:24" s="27" customFormat="1" ht="15.75" customHeight="1" x14ac:dyDescent="0.25">
      <c r="B141" s="5"/>
      <c r="C141" s="5"/>
      <c r="D141" s="2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2:24" s="27" customFormat="1" ht="15.75" customHeight="1" x14ac:dyDescent="0.25">
      <c r="B142" s="5"/>
      <c r="C142" s="5"/>
      <c r="D142" s="2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2:24" s="27" customFormat="1" ht="15.75" customHeight="1" x14ac:dyDescent="0.25">
      <c r="B143" s="5"/>
      <c r="C143" s="5"/>
      <c r="D143" s="2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2:24" s="27" customFormat="1" ht="15.75" customHeight="1" x14ac:dyDescent="0.25">
      <c r="B144" s="5"/>
      <c r="C144" s="5"/>
      <c r="D144" s="2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2:24" s="27" customFormat="1" ht="15.75" customHeight="1" x14ac:dyDescent="0.25">
      <c r="B145" s="5"/>
      <c r="C145" s="5"/>
      <c r="D145" s="2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2:24" s="27" customFormat="1" ht="15.75" customHeight="1" x14ac:dyDescent="0.25">
      <c r="B146" s="5"/>
      <c r="C146" s="5"/>
      <c r="D146" s="2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2:24" s="27" customFormat="1" ht="15.75" customHeight="1" x14ac:dyDescent="0.25">
      <c r="B147" s="5"/>
      <c r="C147" s="5"/>
      <c r="D147" s="2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2:24" s="27" customFormat="1" ht="15.75" customHeight="1" x14ac:dyDescent="0.25">
      <c r="B148" s="5"/>
      <c r="C148" s="5"/>
      <c r="D148" s="2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2:24" s="27" customFormat="1" ht="15.75" customHeight="1" x14ac:dyDescent="0.25">
      <c r="B149" s="5"/>
      <c r="C149" s="5"/>
      <c r="D149" s="2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2:24" s="27" customFormat="1" ht="15.75" customHeight="1" x14ac:dyDescent="0.25">
      <c r="B150" s="5"/>
      <c r="C150" s="5"/>
      <c r="D150" s="2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2:24" s="27" customFormat="1" ht="15.75" customHeight="1" x14ac:dyDescent="0.25">
      <c r="B151" s="5"/>
      <c r="C151" s="5"/>
      <c r="D151" s="2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2:24" s="27" customFormat="1" ht="15.75" customHeight="1" x14ac:dyDescent="0.25">
      <c r="B152" s="5"/>
      <c r="C152" s="5"/>
      <c r="D152" s="2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2:24" s="27" customFormat="1" ht="15.75" customHeight="1" x14ac:dyDescent="0.25">
      <c r="B153" s="5"/>
      <c r="C153" s="5"/>
      <c r="D153" s="2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2:24" s="27" customFormat="1" ht="15.75" customHeight="1" x14ac:dyDescent="0.25">
      <c r="B154" s="5"/>
      <c r="C154" s="5"/>
      <c r="D154" s="2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2:24" s="27" customFormat="1" ht="15.75" customHeight="1" x14ac:dyDescent="0.25">
      <c r="B155" s="5"/>
      <c r="C155" s="5"/>
      <c r="D155" s="2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2:24" s="27" customFormat="1" ht="15.75" customHeight="1" x14ac:dyDescent="0.25">
      <c r="B156" s="5"/>
      <c r="C156" s="5"/>
      <c r="D156" s="2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2:24" s="27" customFormat="1" ht="15.75" customHeight="1" x14ac:dyDescent="0.25">
      <c r="B157" s="5"/>
      <c r="C157" s="5"/>
      <c r="D157" s="2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2:24" s="27" customFormat="1" ht="15.75" customHeight="1" x14ac:dyDescent="0.25">
      <c r="B158" s="5"/>
      <c r="C158" s="5"/>
      <c r="D158" s="2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2:24" s="27" customFormat="1" ht="15.75" customHeight="1" x14ac:dyDescent="0.25">
      <c r="B159" s="5"/>
      <c r="C159" s="5"/>
      <c r="D159" s="2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2:24" s="27" customFormat="1" ht="15.75" customHeight="1" x14ac:dyDescent="0.25">
      <c r="B160" s="5"/>
      <c r="C160" s="5"/>
      <c r="D160" s="2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2:24" s="27" customFormat="1" ht="15.75" customHeight="1" x14ac:dyDescent="0.25">
      <c r="B161" s="5"/>
      <c r="C161" s="5"/>
      <c r="D161" s="2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2:24" s="27" customFormat="1" ht="15.75" customHeight="1" x14ac:dyDescent="0.25">
      <c r="B162" s="5"/>
      <c r="C162" s="5"/>
      <c r="D162" s="2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2:24" s="27" customFormat="1" ht="15.75" customHeight="1" x14ac:dyDescent="0.25">
      <c r="B163" s="5"/>
      <c r="C163" s="5"/>
      <c r="D163" s="2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2:24" s="27" customFormat="1" ht="15.75" customHeight="1" x14ac:dyDescent="0.25">
      <c r="B164" s="5"/>
      <c r="C164" s="5"/>
      <c r="D164" s="2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2:24" s="27" customFormat="1" ht="15.75" customHeight="1" x14ac:dyDescent="0.25">
      <c r="B165" s="5"/>
      <c r="C165" s="5"/>
      <c r="D165" s="2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2:24" s="27" customFormat="1" ht="15.75" customHeight="1" x14ac:dyDescent="0.25">
      <c r="B166" s="5"/>
      <c r="C166" s="5"/>
      <c r="D166" s="2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2:24" s="27" customFormat="1" ht="15.75" customHeight="1" x14ac:dyDescent="0.25">
      <c r="B167" s="5"/>
      <c r="C167" s="5"/>
      <c r="D167" s="2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2:24" s="27" customFormat="1" ht="15.75" customHeight="1" x14ac:dyDescent="0.25">
      <c r="B168" s="5"/>
      <c r="C168" s="5"/>
      <c r="D168" s="2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2:24" s="27" customFormat="1" ht="15.75" customHeight="1" x14ac:dyDescent="0.25">
      <c r="B169" s="5"/>
      <c r="C169" s="5"/>
      <c r="D169" s="2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2:24" s="27" customFormat="1" ht="15.75" customHeight="1" x14ac:dyDescent="0.25">
      <c r="B170" s="5"/>
      <c r="C170" s="5"/>
      <c r="D170" s="2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2:24" s="27" customFormat="1" ht="15.75" customHeight="1" x14ac:dyDescent="0.25">
      <c r="B171" s="5"/>
      <c r="C171" s="5"/>
      <c r="D171" s="2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2:24" s="27" customFormat="1" ht="15.75" customHeight="1" x14ac:dyDescent="0.25">
      <c r="B172" s="5"/>
      <c r="C172" s="5"/>
      <c r="D172" s="2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2:24" s="27" customFormat="1" ht="15.75" customHeight="1" x14ac:dyDescent="0.25">
      <c r="B173" s="5"/>
      <c r="C173" s="5"/>
      <c r="D173" s="2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2:24" s="27" customFormat="1" ht="15.75" customHeight="1" x14ac:dyDescent="0.25">
      <c r="B174" s="5"/>
      <c r="C174" s="5"/>
      <c r="D174" s="2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2:24" s="27" customFormat="1" ht="15.75" customHeight="1" x14ac:dyDescent="0.25">
      <c r="B175" s="5"/>
      <c r="C175" s="5"/>
      <c r="D175" s="2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2:24" s="27" customFormat="1" ht="15.75" customHeight="1" x14ac:dyDescent="0.25">
      <c r="B176" s="5"/>
      <c r="C176" s="5"/>
      <c r="D176" s="2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2:24" s="27" customFormat="1" ht="15.75" customHeight="1" x14ac:dyDescent="0.25">
      <c r="B177" s="5"/>
      <c r="C177" s="5"/>
      <c r="D177" s="2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2:24" s="27" customFormat="1" ht="15.75" customHeight="1" x14ac:dyDescent="0.25">
      <c r="B178" s="5"/>
      <c r="C178" s="5"/>
      <c r="D178" s="2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2:24" s="27" customFormat="1" ht="15.75" customHeight="1" x14ac:dyDescent="0.25">
      <c r="B179" s="5"/>
      <c r="C179" s="5"/>
      <c r="D179" s="2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2:24" s="27" customFormat="1" ht="15.75" customHeight="1" x14ac:dyDescent="0.25">
      <c r="B180" s="5"/>
      <c r="C180" s="5"/>
      <c r="D180" s="2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2:24" s="27" customFormat="1" ht="15.75" customHeight="1" x14ac:dyDescent="0.25">
      <c r="B181" s="5"/>
      <c r="C181" s="5"/>
      <c r="D181" s="2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2:24" s="27" customFormat="1" ht="15.75" customHeight="1" x14ac:dyDescent="0.25">
      <c r="B182" s="5"/>
      <c r="C182" s="5"/>
      <c r="D182" s="2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2:24" s="27" customFormat="1" ht="15.75" customHeight="1" x14ac:dyDescent="0.25">
      <c r="B183" s="5"/>
      <c r="C183" s="5"/>
      <c r="D183" s="2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2:24" s="27" customFormat="1" ht="15.75" customHeight="1" x14ac:dyDescent="0.25">
      <c r="B184" s="5"/>
      <c r="C184" s="5"/>
      <c r="D184" s="2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2:24" s="27" customFormat="1" ht="15.75" customHeight="1" x14ac:dyDescent="0.25">
      <c r="B185" s="5"/>
      <c r="C185" s="5"/>
      <c r="D185" s="2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2:24" s="27" customFormat="1" ht="15.75" customHeight="1" x14ac:dyDescent="0.25">
      <c r="B186" s="5"/>
      <c r="C186" s="5"/>
      <c r="D186" s="2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2:24" s="27" customFormat="1" ht="15.75" customHeight="1" x14ac:dyDescent="0.25">
      <c r="B187" s="5"/>
      <c r="C187" s="5"/>
      <c r="D187" s="2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2:24" s="27" customFormat="1" ht="15.75" customHeight="1" x14ac:dyDescent="0.25">
      <c r="B188" s="5"/>
      <c r="C188" s="5"/>
      <c r="D188" s="2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2:24" s="27" customFormat="1" ht="15.75" customHeight="1" x14ac:dyDescent="0.25">
      <c r="B189" s="5"/>
      <c r="C189" s="5"/>
      <c r="D189" s="2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2:24" s="27" customFormat="1" ht="15.75" customHeight="1" x14ac:dyDescent="0.25">
      <c r="B190" s="5"/>
      <c r="C190" s="5"/>
      <c r="D190" s="2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2:24" s="27" customFormat="1" ht="15.75" customHeight="1" x14ac:dyDescent="0.25">
      <c r="B191" s="5"/>
      <c r="C191" s="5"/>
      <c r="D191" s="2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2:24" s="27" customFormat="1" ht="15.75" customHeight="1" x14ac:dyDescent="0.25">
      <c r="B192" s="5"/>
      <c r="C192" s="5"/>
      <c r="D192" s="2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2:24" s="27" customFormat="1" ht="15.75" customHeight="1" x14ac:dyDescent="0.25">
      <c r="B193" s="5"/>
      <c r="C193" s="5"/>
      <c r="D193" s="2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2:24" s="27" customFormat="1" ht="15.75" customHeight="1" x14ac:dyDescent="0.25">
      <c r="B194" s="5"/>
      <c r="C194" s="5"/>
      <c r="D194" s="2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2:24" s="27" customFormat="1" ht="15.75" customHeight="1" x14ac:dyDescent="0.25">
      <c r="B195" s="5"/>
      <c r="C195" s="5"/>
      <c r="D195" s="2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2:24" s="27" customFormat="1" ht="15.75" customHeight="1" x14ac:dyDescent="0.25">
      <c r="B196" s="5"/>
      <c r="C196" s="5"/>
      <c r="D196" s="2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2:24" s="27" customFormat="1" ht="15.75" customHeight="1" x14ac:dyDescent="0.25">
      <c r="B197" s="5"/>
      <c r="C197" s="5"/>
      <c r="D197" s="2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2:24" s="27" customFormat="1" ht="15.75" customHeight="1" x14ac:dyDescent="0.25">
      <c r="B198" s="5"/>
      <c r="C198" s="5"/>
      <c r="D198" s="2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2:24" s="27" customFormat="1" ht="15.75" customHeight="1" x14ac:dyDescent="0.25">
      <c r="B199" s="5"/>
      <c r="C199" s="5"/>
      <c r="D199" s="2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2:24" s="27" customFormat="1" ht="15.75" customHeight="1" x14ac:dyDescent="0.25">
      <c r="B200" s="5"/>
      <c r="C200" s="5"/>
      <c r="D200" s="2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2:24" s="27" customFormat="1" ht="15.75" customHeight="1" x14ac:dyDescent="0.25">
      <c r="B201" s="5"/>
      <c r="C201" s="5"/>
      <c r="D201" s="2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2:24" s="27" customFormat="1" ht="15.75" customHeight="1" x14ac:dyDescent="0.25">
      <c r="B202" s="5"/>
      <c r="C202" s="5"/>
      <c r="D202" s="2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2:24" s="27" customFormat="1" ht="15.75" customHeight="1" x14ac:dyDescent="0.25">
      <c r="B203" s="5"/>
      <c r="C203" s="5"/>
      <c r="D203" s="2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2:24" s="27" customFormat="1" ht="15.75" customHeight="1" x14ac:dyDescent="0.25">
      <c r="B204" s="5"/>
      <c r="C204" s="5"/>
      <c r="D204" s="2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2:24" s="27" customFormat="1" ht="15.75" customHeight="1" x14ac:dyDescent="0.25">
      <c r="B205" s="5"/>
      <c r="C205" s="5"/>
      <c r="D205" s="2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2:24" s="27" customFormat="1" ht="15.75" customHeight="1" x14ac:dyDescent="0.25">
      <c r="B206" s="5"/>
      <c r="C206" s="5"/>
      <c r="D206" s="2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2:24" s="27" customFormat="1" ht="15.75" customHeight="1" x14ac:dyDescent="0.25">
      <c r="B207" s="5"/>
      <c r="C207" s="5"/>
      <c r="D207" s="2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2:24" s="27" customFormat="1" ht="15.75" customHeight="1" x14ac:dyDescent="0.25">
      <c r="B208" s="5"/>
      <c r="C208" s="5"/>
      <c r="D208" s="2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2:24" s="27" customFormat="1" ht="15.75" customHeight="1" x14ac:dyDescent="0.25">
      <c r="B209" s="5"/>
      <c r="C209" s="5"/>
      <c r="D209" s="2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2:24" s="27" customFormat="1" ht="15.75" customHeight="1" x14ac:dyDescent="0.25">
      <c r="B210" s="5"/>
      <c r="C210" s="5"/>
      <c r="D210" s="2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2:24" s="27" customFormat="1" ht="15.75" customHeight="1" x14ac:dyDescent="0.25">
      <c r="B211" s="5"/>
      <c r="C211" s="5"/>
      <c r="D211" s="2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2:24" s="27" customFormat="1" ht="15.75" customHeight="1" x14ac:dyDescent="0.25">
      <c r="B212" s="5"/>
      <c r="C212" s="5"/>
      <c r="D212" s="2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2:24" s="27" customFormat="1" ht="15.75" customHeight="1" x14ac:dyDescent="0.25">
      <c r="B213" s="5"/>
      <c r="C213" s="5"/>
      <c r="D213" s="2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2:24" s="27" customFormat="1" ht="15.75" customHeight="1" x14ac:dyDescent="0.25">
      <c r="B214" s="5"/>
      <c r="C214" s="5"/>
      <c r="D214" s="2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2:24" s="27" customFormat="1" ht="15.75" customHeight="1" x14ac:dyDescent="0.25">
      <c r="B215" s="5"/>
      <c r="C215" s="5"/>
      <c r="D215" s="2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2:24" s="27" customFormat="1" ht="15.75" customHeight="1" x14ac:dyDescent="0.25">
      <c r="B216" s="5"/>
      <c r="C216" s="5"/>
      <c r="D216" s="2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2:24" s="27" customFormat="1" ht="15.75" customHeight="1" x14ac:dyDescent="0.25">
      <c r="B217" s="5"/>
      <c r="C217" s="5"/>
      <c r="D217" s="2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2:24" s="27" customFormat="1" ht="15.75" customHeight="1" x14ac:dyDescent="0.25">
      <c r="B218" s="5"/>
      <c r="C218" s="5"/>
      <c r="D218" s="2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2:24" s="27" customFormat="1" ht="15.75" customHeight="1" x14ac:dyDescent="0.25">
      <c r="B219" s="5"/>
      <c r="C219" s="5"/>
      <c r="D219" s="2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2:24" s="27" customFormat="1" ht="15.75" customHeight="1" x14ac:dyDescent="0.25">
      <c r="B220" s="5"/>
      <c r="C220" s="5"/>
      <c r="D220" s="2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2:24" s="27" customFormat="1" ht="15.75" customHeight="1" x14ac:dyDescent="0.25">
      <c r="B221" s="5"/>
      <c r="C221" s="5"/>
      <c r="D221" s="2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2:24" s="27" customFormat="1" ht="15.75" customHeight="1" x14ac:dyDescent="0.25">
      <c r="B222" s="5"/>
      <c r="C222" s="5"/>
      <c r="D222" s="2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2:24" s="27" customFormat="1" ht="15.75" customHeight="1" x14ac:dyDescent="0.25">
      <c r="B223" s="5"/>
      <c r="C223" s="5"/>
      <c r="D223" s="2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2:24" s="27" customFormat="1" ht="15.75" customHeight="1" x14ac:dyDescent="0.25">
      <c r="B224" s="5"/>
      <c r="C224" s="5"/>
      <c r="D224" s="2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2:24" s="27" customFormat="1" ht="15.75" customHeight="1" x14ac:dyDescent="0.25">
      <c r="B225" s="5"/>
      <c r="C225" s="5"/>
      <c r="D225" s="2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2:24" s="27" customFormat="1" ht="15.75" customHeight="1" x14ac:dyDescent="0.25">
      <c r="B226" s="5"/>
      <c r="C226" s="5"/>
      <c r="D226" s="2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2:24" s="27" customFormat="1" ht="15.75" customHeight="1" x14ac:dyDescent="0.25">
      <c r="B227" s="5"/>
      <c r="C227" s="5"/>
      <c r="D227" s="2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2:24" s="27" customFormat="1" ht="15.75" customHeight="1" x14ac:dyDescent="0.25">
      <c r="B228" s="5"/>
      <c r="C228" s="5"/>
      <c r="D228" s="2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2:24" s="27" customFormat="1" ht="15.75" customHeight="1" x14ac:dyDescent="0.25">
      <c r="B229" s="5"/>
      <c r="C229" s="5"/>
      <c r="D229" s="2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2:24" s="27" customFormat="1" ht="15.75" customHeight="1" x14ac:dyDescent="0.25">
      <c r="B230" s="5"/>
      <c r="C230" s="5"/>
      <c r="D230" s="2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2:24" s="27" customFormat="1" ht="15.75" customHeight="1" x14ac:dyDescent="0.25">
      <c r="B231" s="5"/>
      <c r="C231" s="5"/>
      <c r="D231" s="2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2:24" s="27" customFormat="1" ht="15.75" customHeight="1" x14ac:dyDescent="0.25">
      <c r="B232" s="5"/>
      <c r="C232" s="5"/>
      <c r="D232" s="2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2:24" s="27" customFormat="1" ht="15.75" customHeight="1" x14ac:dyDescent="0.25">
      <c r="B233" s="5"/>
      <c r="C233" s="5"/>
      <c r="D233" s="2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2:24" s="27" customFormat="1" ht="15.75" customHeight="1" x14ac:dyDescent="0.25">
      <c r="B234" s="5"/>
      <c r="C234" s="5"/>
      <c r="D234" s="2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2:24" s="27" customFormat="1" ht="15.75" customHeight="1" x14ac:dyDescent="0.25">
      <c r="B235" s="5"/>
      <c r="C235" s="5"/>
      <c r="D235" s="2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2:24" s="27" customFormat="1" ht="15.75" customHeight="1" x14ac:dyDescent="0.25">
      <c r="B236" s="5"/>
      <c r="C236" s="5"/>
      <c r="D236" s="2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2:24" s="27" customFormat="1" ht="15.75" customHeight="1" x14ac:dyDescent="0.25">
      <c r="B237" s="5"/>
      <c r="C237" s="5"/>
      <c r="D237" s="2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2:24" s="27" customFormat="1" ht="15.75" customHeight="1" x14ac:dyDescent="0.25">
      <c r="B238" s="5"/>
      <c r="C238" s="5"/>
      <c r="D238" s="2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2:24" s="27" customFormat="1" ht="15.75" customHeight="1" x14ac:dyDescent="0.25">
      <c r="B239" s="5"/>
      <c r="C239" s="5"/>
      <c r="D239" s="2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2:24" s="27" customFormat="1" ht="15.75" customHeight="1" x14ac:dyDescent="0.25">
      <c r="B240" s="5"/>
      <c r="C240" s="5"/>
      <c r="D240" s="2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2:24" s="27" customFormat="1" ht="15.75" customHeight="1" x14ac:dyDescent="0.25">
      <c r="B241" s="5"/>
      <c r="C241" s="5"/>
      <c r="D241" s="2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2:24" s="27" customFormat="1" ht="15.75" customHeight="1" x14ac:dyDescent="0.25">
      <c r="B242" s="5"/>
      <c r="C242" s="5"/>
      <c r="D242" s="2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2:24" s="27" customFormat="1" ht="15.75" customHeight="1" x14ac:dyDescent="0.25">
      <c r="B243" s="5"/>
      <c r="C243" s="5"/>
      <c r="D243" s="2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2:24" s="27" customFormat="1" ht="15.75" customHeight="1" x14ac:dyDescent="0.25">
      <c r="B244" s="5"/>
      <c r="C244" s="5"/>
      <c r="D244" s="2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2:24" s="27" customFormat="1" ht="15.75" customHeight="1" x14ac:dyDescent="0.25">
      <c r="B245" s="5"/>
      <c r="C245" s="5"/>
      <c r="D245" s="2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2:24" s="27" customFormat="1" ht="15.75" customHeight="1" x14ac:dyDescent="0.25">
      <c r="B246" s="5"/>
      <c r="C246" s="5"/>
      <c r="D246" s="2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2:24" s="27" customFormat="1" ht="15.75" customHeight="1" x14ac:dyDescent="0.25">
      <c r="B247" s="5"/>
      <c r="C247" s="5"/>
      <c r="D247" s="2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2:24" s="27" customFormat="1" ht="15.75" customHeight="1" x14ac:dyDescent="0.25">
      <c r="B248" s="5"/>
      <c r="C248" s="5"/>
      <c r="D248" s="2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2:24" s="27" customFormat="1" ht="15.75" customHeight="1" x14ac:dyDescent="0.25">
      <c r="B249" s="5"/>
      <c r="C249" s="5"/>
      <c r="D249" s="2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2:24" s="27" customFormat="1" ht="15.75" customHeight="1" x14ac:dyDescent="0.25">
      <c r="B250" s="5"/>
      <c r="C250" s="5"/>
      <c r="D250" s="2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2:24" s="27" customFormat="1" ht="15.75" customHeight="1" x14ac:dyDescent="0.25">
      <c r="B251" s="5"/>
      <c r="C251" s="5"/>
      <c r="D251" s="2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2:24" s="27" customFormat="1" ht="15.75" customHeight="1" x14ac:dyDescent="0.25">
      <c r="B252" s="5"/>
      <c r="C252" s="5"/>
      <c r="D252" s="2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2:24" s="27" customFormat="1" ht="15.75" customHeight="1" x14ac:dyDescent="0.25">
      <c r="B253" s="5"/>
      <c r="C253" s="5"/>
      <c r="D253" s="2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2:24" s="27" customFormat="1" ht="15.75" customHeight="1" x14ac:dyDescent="0.25">
      <c r="B254" s="5"/>
      <c r="C254" s="5"/>
      <c r="D254" s="2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2:24" s="27" customFormat="1" ht="15.75" customHeight="1" x14ac:dyDescent="0.25">
      <c r="B255" s="5"/>
      <c r="C255" s="5"/>
      <c r="D255" s="2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2:24" s="27" customFormat="1" ht="15.75" customHeight="1" x14ac:dyDescent="0.25">
      <c r="B256" s="5"/>
      <c r="C256" s="5"/>
      <c r="D256" s="2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2:24" s="27" customFormat="1" ht="15.75" customHeight="1" x14ac:dyDescent="0.25">
      <c r="B257" s="5"/>
      <c r="C257" s="5"/>
      <c r="D257" s="2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2:24" s="27" customFormat="1" ht="15.75" customHeight="1" x14ac:dyDescent="0.25">
      <c r="B258" s="5"/>
      <c r="C258" s="5"/>
      <c r="D258" s="2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2:24" s="27" customFormat="1" ht="15.75" customHeight="1" x14ac:dyDescent="0.25">
      <c r="B259" s="5"/>
      <c r="C259" s="5"/>
      <c r="D259" s="2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2:24" s="27" customFormat="1" ht="15.75" customHeight="1" x14ac:dyDescent="0.25">
      <c r="B260" s="5"/>
      <c r="C260" s="5"/>
      <c r="D260" s="2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2:24" s="27" customFormat="1" ht="15.75" customHeight="1" x14ac:dyDescent="0.25">
      <c r="B261" s="5"/>
      <c r="C261" s="5"/>
      <c r="D261" s="2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2:24" s="27" customFormat="1" ht="15.75" customHeight="1" x14ac:dyDescent="0.25">
      <c r="B262" s="5"/>
      <c r="C262" s="5"/>
      <c r="D262" s="2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2:24" s="27" customFormat="1" ht="15.75" customHeight="1" x14ac:dyDescent="0.25">
      <c r="B263" s="5"/>
      <c r="C263" s="5"/>
      <c r="D263" s="2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2:24" s="27" customFormat="1" ht="15.75" customHeight="1" x14ac:dyDescent="0.25">
      <c r="B264" s="5"/>
      <c r="C264" s="5"/>
      <c r="D264" s="2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2:24" s="27" customFormat="1" ht="15.75" customHeight="1" x14ac:dyDescent="0.25">
      <c r="B265" s="5"/>
      <c r="C265" s="5"/>
      <c r="D265" s="2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2:24" s="27" customFormat="1" ht="15.75" customHeight="1" x14ac:dyDescent="0.25">
      <c r="B266" s="5"/>
      <c r="C266" s="5"/>
      <c r="D266" s="2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2:24" s="27" customFormat="1" ht="15.75" customHeight="1" x14ac:dyDescent="0.25">
      <c r="B267" s="5"/>
      <c r="C267" s="5"/>
      <c r="D267" s="2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2:24" s="27" customFormat="1" ht="15.75" customHeight="1" x14ac:dyDescent="0.25">
      <c r="B268" s="5"/>
      <c r="C268" s="5"/>
      <c r="D268" s="2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2:24" s="27" customFormat="1" ht="15.75" customHeight="1" x14ac:dyDescent="0.25">
      <c r="B269" s="5"/>
      <c r="C269" s="5"/>
      <c r="D269" s="2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2:24" s="27" customFormat="1" ht="15.75" customHeight="1" x14ac:dyDescent="0.25">
      <c r="B270" s="5"/>
      <c r="C270" s="5"/>
      <c r="D270" s="2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2:24" s="27" customFormat="1" ht="15.75" customHeight="1" x14ac:dyDescent="0.25">
      <c r="B271" s="5"/>
      <c r="C271" s="5"/>
      <c r="D271" s="2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2:24" s="27" customFormat="1" ht="15.75" customHeight="1" x14ac:dyDescent="0.25">
      <c r="B272" s="5"/>
      <c r="C272" s="5"/>
      <c r="D272" s="2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2:24" s="27" customFormat="1" ht="15.75" customHeight="1" x14ac:dyDescent="0.25">
      <c r="B273" s="5"/>
      <c r="C273" s="5"/>
      <c r="D273" s="2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2:24" s="27" customFormat="1" ht="15.75" customHeight="1" x14ac:dyDescent="0.25">
      <c r="B274" s="5"/>
      <c r="C274" s="5"/>
      <c r="D274" s="2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2:24" s="27" customFormat="1" ht="15.75" customHeight="1" x14ac:dyDescent="0.25">
      <c r="B275" s="5"/>
      <c r="C275" s="5"/>
      <c r="D275" s="2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2:24" s="27" customFormat="1" ht="15.75" customHeight="1" x14ac:dyDescent="0.25">
      <c r="B276" s="5"/>
      <c r="C276" s="5"/>
      <c r="D276" s="2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2:24" s="27" customFormat="1" ht="15.75" customHeight="1" x14ac:dyDescent="0.25">
      <c r="B277" s="5"/>
      <c r="C277" s="5"/>
      <c r="D277" s="2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2:24" s="27" customFormat="1" ht="15.75" customHeight="1" x14ac:dyDescent="0.25">
      <c r="B278" s="5"/>
      <c r="C278" s="5"/>
      <c r="D278" s="2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2:24" s="27" customFormat="1" ht="15.75" customHeight="1" x14ac:dyDescent="0.25">
      <c r="B279" s="5"/>
      <c r="C279" s="5"/>
      <c r="D279" s="2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2:24" s="27" customFormat="1" ht="15.75" customHeight="1" x14ac:dyDescent="0.25">
      <c r="B280" s="5"/>
      <c r="C280" s="5"/>
      <c r="D280" s="2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2:24" s="27" customFormat="1" ht="15.75" customHeight="1" x14ac:dyDescent="0.25">
      <c r="B281" s="5"/>
      <c r="C281" s="5"/>
      <c r="D281" s="2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2:24" s="27" customFormat="1" ht="15.75" customHeight="1" x14ac:dyDescent="0.25">
      <c r="B282" s="5"/>
      <c r="C282" s="5"/>
      <c r="D282" s="2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2:24" s="27" customFormat="1" ht="15.75" customHeight="1" x14ac:dyDescent="0.25">
      <c r="B283" s="5"/>
      <c r="C283" s="5"/>
      <c r="D283" s="2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2:24" s="27" customFormat="1" ht="15.75" customHeight="1" x14ac:dyDescent="0.25">
      <c r="B284" s="5"/>
      <c r="C284" s="5"/>
      <c r="D284" s="2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2:24" s="27" customFormat="1" ht="15.75" customHeight="1" x14ac:dyDescent="0.25">
      <c r="B285" s="5"/>
      <c r="C285" s="5"/>
      <c r="D285" s="2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2:24" s="27" customFormat="1" ht="15.75" customHeight="1" x14ac:dyDescent="0.25">
      <c r="B286" s="5"/>
      <c r="C286" s="5"/>
      <c r="D286" s="2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2:24" s="27" customFormat="1" ht="15.75" customHeight="1" x14ac:dyDescent="0.25">
      <c r="B287" s="5"/>
      <c r="C287" s="5"/>
      <c r="D287" s="2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2:24" s="27" customFormat="1" ht="15.75" customHeight="1" x14ac:dyDescent="0.25">
      <c r="B288" s="5"/>
      <c r="C288" s="5"/>
      <c r="D288" s="2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2:24" s="27" customFormat="1" ht="15.75" customHeight="1" x14ac:dyDescent="0.25">
      <c r="B289" s="5"/>
      <c r="C289" s="5"/>
      <c r="D289" s="2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2:24" s="27" customFormat="1" ht="15.75" customHeight="1" x14ac:dyDescent="0.25">
      <c r="B290" s="5"/>
      <c r="C290" s="5"/>
      <c r="D290" s="2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2:24" s="27" customFormat="1" ht="15.75" customHeight="1" x14ac:dyDescent="0.25">
      <c r="B291" s="5"/>
      <c r="C291" s="5"/>
      <c r="D291" s="2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2:24" s="27" customFormat="1" ht="15.75" customHeight="1" x14ac:dyDescent="0.25">
      <c r="B292" s="5"/>
      <c r="C292" s="5"/>
      <c r="D292" s="2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2:24" s="27" customFormat="1" ht="15.75" customHeight="1" x14ac:dyDescent="0.25">
      <c r="B293" s="5"/>
      <c r="C293" s="5"/>
      <c r="D293" s="2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2:24" s="27" customFormat="1" ht="15.75" customHeight="1" x14ac:dyDescent="0.25">
      <c r="B294" s="5"/>
      <c r="C294" s="5"/>
      <c r="D294" s="2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2:24" s="27" customFormat="1" ht="15.75" customHeight="1" x14ac:dyDescent="0.25">
      <c r="B295" s="5"/>
      <c r="C295" s="5"/>
      <c r="D295" s="2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2:24" s="27" customFormat="1" ht="15.75" customHeight="1" x14ac:dyDescent="0.25">
      <c r="B296" s="5"/>
      <c r="C296" s="5"/>
      <c r="D296" s="2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2:24" s="27" customFormat="1" ht="15.75" customHeight="1" x14ac:dyDescent="0.25">
      <c r="B297" s="5"/>
      <c r="C297" s="5"/>
      <c r="D297" s="2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2:24" s="27" customFormat="1" ht="15.75" customHeight="1" x14ac:dyDescent="0.25">
      <c r="B298" s="5"/>
      <c r="C298" s="5"/>
      <c r="D298" s="2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2:24" s="27" customFormat="1" ht="15.75" customHeight="1" x14ac:dyDescent="0.25">
      <c r="B299" s="5"/>
      <c r="C299" s="5"/>
      <c r="D299" s="2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2:24" s="27" customFormat="1" ht="15.75" customHeight="1" x14ac:dyDescent="0.25">
      <c r="B300" s="5"/>
      <c r="C300" s="5"/>
      <c r="D300" s="2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2:24" s="27" customFormat="1" ht="15.75" customHeight="1" x14ac:dyDescent="0.25">
      <c r="B301" s="5"/>
      <c r="C301" s="5"/>
      <c r="D301" s="2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2:24" s="27" customFormat="1" ht="15.75" customHeight="1" x14ac:dyDescent="0.25">
      <c r="B302" s="5"/>
      <c r="C302" s="5"/>
      <c r="D302" s="2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2:24" s="27" customFormat="1" ht="15.75" customHeight="1" x14ac:dyDescent="0.25">
      <c r="B303" s="5"/>
      <c r="C303" s="5"/>
      <c r="D303" s="2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2:24" s="27" customFormat="1" ht="15.75" customHeight="1" x14ac:dyDescent="0.25">
      <c r="B304" s="5"/>
      <c r="C304" s="5"/>
      <c r="D304" s="2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2:24" s="27" customFormat="1" ht="15.75" customHeight="1" x14ac:dyDescent="0.25">
      <c r="B305" s="5"/>
      <c r="C305" s="5"/>
      <c r="D305" s="2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2:24" s="27" customFormat="1" ht="15.75" customHeight="1" x14ac:dyDescent="0.25">
      <c r="B306" s="5"/>
      <c r="C306" s="5"/>
      <c r="D306" s="2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2:24" s="27" customFormat="1" ht="15.75" customHeight="1" x14ac:dyDescent="0.25">
      <c r="B307" s="5"/>
      <c r="C307" s="5"/>
      <c r="D307" s="2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2:24" s="27" customFormat="1" ht="15.75" customHeight="1" x14ac:dyDescent="0.25">
      <c r="B308" s="5"/>
      <c r="C308" s="5"/>
      <c r="D308" s="2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2:24" s="27" customFormat="1" ht="15.75" customHeight="1" x14ac:dyDescent="0.25">
      <c r="B309" s="5"/>
      <c r="C309" s="5"/>
      <c r="D309" s="2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2:24" s="27" customFormat="1" ht="15.75" customHeight="1" x14ac:dyDescent="0.25">
      <c r="B310" s="5"/>
      <c r="C310" s="5"/>
      <c r="D310" s="2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2:24" s="27" customFormat="1" ht="15.75" customHeight="1" x14ac:dyDescent="0.25">
      <c r="B311" s="5"/>
      <c r="C311" s="5"/>
      <c r="D311" s="2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2:24" s="27" customFormat="1" ht="15.75" customHeight="1" x14ac:dyDescent="0.25">
      <c r="B312" s="5"/>
      <c r="C312" s="5"/>
      <c r="D312" s="2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2:24" s="27" customFormat="1" ht="15.75" customHeight="1" x14ac:dyDescent="0.25">
      <c r="B313" s="5"/>
      <c r="C313" s="5"/>
      <c r="D313" s="2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2:24" s="27" customFormat="1" ht="15.75" customHeight="1" x14ac:dyDescent="0.25">
      <c r="B314" s="5"/>
      <c r="C314" s="5"/>
      <c r="D314" s="2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2:24" s="27" customFormat="1" ht="15.75" customHeight="1" x14ac:dyDescent="0.25">
      <c r="B315" s="5"/>
      <c r="C315" s="5"/>
      <c r="D315" s="2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2:24" s="27" customFormat="1" ht="15.75" customHeight="1" x14ac:dyDescent="0.25">
      <c r="B316" s="5"/>
      <c r="C316" s="5"/>
      <c r="D316" s="2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2:24" s="27" customFormat="1" ht="15.75" customHeight="1" x14ac:dyDescent="0.25">
      <c r="B317" s="5"/>
      <c r="C317" s="5"/>
      <c r="D317" s="2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2:24" s="27" customFormat="1" ht="15.75" customHeight="1" x14ac:dyDescent="0.25">
      <c r="B318" s="5"/>
      <c r="C318" s="5"/>
      <c r="D318" s="2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2:24" s="27" customFormat="1" ht="15.75" customHeight="1" x14ac:dyDescent="0.25">
      <c r="B319" s="5"/>
      <c r="C319" s="5"/>
      <c r="D319" s="2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2:24" s="27" customFormat="1" ht="15.75" customHeight="1" x14ac:dyDescent="0.25">
      <c r="B320" s="5"/>
      <c r="C320" s="5"/>
      <c r="D320" s="2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2:24" s="27" customFormat="1" ht="15.75" customHeight="1" x14ac:dyDescent="0.25">
      <c r="B321" s="5"/>
      <c r="C321" s="5"/>
      <c r="D321" s="2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2:24" s="27" customFormat="1" ht="15.75" customHeight="1" x14ac:dyDescent="0.25">
      <c r="B322" s="5"/>
      <c r="C322" s="5"/>
      <c r="D322" s="2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2:24" s="27" customFormat="1" ht="15.75" customHeight="1" x14ac:dyDescent="0.25">
      <c r="B323" s="5"/>
      <c r="C323" s="5"/>
      <c r="D323" s="2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2:24" s="27" customFormat="1" ht="15.75" customHeight="1" x14ac:dyDescent="0.25">
      <c r="B324" s="5"/>
      <c r="C324" s="5"/>
      <c r="D324" s="2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2:24" s="27" customFormat="1" ht="15.75" customHeight="1" x14ac:dyDescent="0.25">
      <c r="B325" s="5"/>
      <c r="C325" s="5"/>
      <c r="D325" s="2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2:24" s="27" customFormat="1" ht="15.75" customHeight="1" x14ac:dyDescent="0.25">
      <c r="B326" s="5"/>
      <c r="C326" s="5"/>
      <c r="D326" s="2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2:24" s="27" customFormat="1" ht="15.75" customHeight="1" x14ac:dyDescent="0.25">
      <c r="B327" s="5"/>
      <c r="C327" s="5"/>
      <c r="D327" s="2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2:24" s="27" customFormat="1" ht="15.75" customHeight="1" x14ac:dyDescent="0.25">
      <c r="B328" s="5"/>
      <c r="C328" s="5"/>
      <c r="D328" s="2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2:24" s="27" customFormat="1" ht="15.75" customHeight="1" x14ac:dyDescent="0.25">
      <c r="B329" s="5"/>
      <c r="C329" s="5"/>
      <c r="D329" s="2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2:24" s="27" customFormat="1" ht="15.75" customHeight="1" x14ac:dyDescent="0.25">
      <c r="B330" s="5"/>
      <c r="C330" s="5"/>
      <c r="D330" s="2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2:24" s="27" customFormat="1" ht="15.75" customHeight="1" x14ac:dyDescent="0.25">
      <c r="B331" s="5"/>
      <c r="C331" s="5"/>
      <c r="D331" s="2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2:24" s="27" customFormat="1" ht="15.75" customHeight="1" x14ac:dyDescent="0.25">
      <c r="B332" s="5"/>
      <c r="C332" s="5"/>
      <c r="D332" s="2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2:24" s="27" customFormat="1" ht="15.75" customHeight="1" x14ac:dyDescent="0.25">
      <c r="B333" s="5"/>
      <c r="C333" s="5"/>
      <c r="D333" s="2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2:24" s="27" customFormat="1" ht="15.75" customHeight="1" x14ac:dyDescent="0.25">
      <c r="B334" s="5"/>
      <c r="C334" s="5"/>
      <c r="D334" s="2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2:24" s="27" customFormat="1" ht="15.75" customHeight="1" x14ac:dyDescent="0.25">
      <c r="B335" s="5"/>
      <c r="C335" s="5"/>
      <c r="D335" s="2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2:24" s="27" customFormat="1" ht="15.75" customHeight="1" x14ac:dyDescent="0.25">
      <c r="B336" s="5"/>
      <c r="C336" s="5"/>
      <c r="D336" s="2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2:24" s="27" customFormat="1" ht="15.75" customHeight="1" x14ac:dyDescent="0.25">
      <c r="B337" s="5"/>
      <c r="C337" s="5"/>
      <c r="D337" s="2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2:24" s="27" customFormat="1" ht="15.75" customHeight="1" x14ac:dyDescent="0.25">
      <c r="B338" s="5"/>
      <c r="C338" s="5"/>
      <c r="D338" s="2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2:24" s="27" customFormat="1" ht="15.75" customHeight="1" x14ac:dyDescent="0.25">
      <c r="B339" s="5"/>
      <c r="C339" s="5"/>
      <c r="D339" s="2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2:24" s="27" customFormat="1" ht="15.75" customHeight="1" x14ac:dyDescent="0.25">
      <c r="B340" s="5"/>
      <c r="C340" s="5"/>
      <c r="D340" s="2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2:24" s="27" customFormat="1" ht="15.75" customHeight="1" x14ac:dyDescent="0.25">
      <c r="B341" s="5"/>
      <c r="C341" s="5"/>
      <c r="D341" s="2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2:24" s="27" customFormat="1" ht="15.75" customHeight="1" x14ac:dyDescent="0.25">
      <c r="B342" s="5"/>
      <c r="C342" s="5"/>
      <c r="D342" s="2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2:24" s="27" customFormat="1" ht="15.75" customHeight="1" x14ac:dyDescent="0.25">
      <c r="B343" s="5"/>
      <c r="C343" s="5"/>
      <c r="D343" s="2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2:24" s="27" customFormat="1" ht="15.75" customHeight="1" x14ac:dyDescent="0.25">
      <c r="B344" s="5"/>
      <c r="C344" s="5"/>
      <c r="D344" s="2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2:24" s="27" customFormat="1" ht="15.75" customHeight="1" x14ac:dyDescent="0.25">
      <c r="B345" s="5"/>
      <c r="C345" s="5"/>
      <c r="D345" s="2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2:24" s="27" customFormat="1" ht="15.75" customHeight="1" x14ac:dyDescent="0.25">
      <c r="B346" s="5"/>
      <c r="C346" s="5"/>
      <c r="D346" s="2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2:24" s="27" customFormat="1" ht="15.75" customHeight="1" x14ac:dyDescent="0.25">
      <c r="B347" s="5"/>
      <c r="C347" s="5"/>
      <c r="D347" s="2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2:24" s="27" customFormat="1" ht="15.75" customHeight="1" x14ac:dyDescent="0.25">
      <c r="B348" s="5"/>
      <c r="C348" s="5"/>
      <c r="D348" s="2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2:24" s="27" customFormat="1" ht="15.75" customHeight="1" x14ac:dyDescent="0.25">
      <c r="B349" s="5"/>
      <c r="C349" s="5"/>
      <c r="D349" s="2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2:24" s="27" customFormat="1" ht="15.75" customHeight="1" x14ac:dyDescent="0.25">
      <c r="B350" s="5"/>
      <c r="C350" s="5"/>
      <c r="D350" s="2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2:24" s="27" customFormat="1" ht="15.75" customHeight="1" x14ac:dyDescent="0.25">
      <c r="B351" s="5"/>
      <c r="C351" s="5"/>
      <c r="D351" s="2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2:24" s="27" customFormat="1" ht="15.75" customHeight="1" x14ac:dyDescent="0.25">
      <c r="B352" s="5"/>
      <c r="C352" s="5"/>
      <c r="D352" s="2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2:24" s="27" customFormat="1" ht="15.75" customHeight="1" x14ac:dyDescent="0.25">
      <c r="B353" s="5"/>
      <c r="C353" s="5"/>
      <c r="D353" s="2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2:24" s="27" customFormat="1" ht="15.75" customHeight="1" x14ac:dyDescent="0.25">
      <c r="B354" s="5"/>
      <c r="C354" s="5"/>
      <c r="D354" s="2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2:24" s="27" customFormat="1" ht="15.75" customHeight="1" x14ac:dyDescent="0.25">
      <c r="B355" s="5"/>
      <c r="C355" s="5"/>
      <c r="D355" s="2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2:24" s="27" customFormat="1" ht="15.75" customHeight="1" x14ac:dyDescent="0.25">
      <c r="B356" s="5"/>
      <c r="C356" s="5"/>
      <c r="D356" s="2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2:24" s="27" customFormat="1" ht="15.75" customHeight="1" x14ac:dyDescent="0.25">
      <c r="B357" s="5"/>
      <c r="C357" s="5"/>
      <c r="D357" s="2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2:24" s="27" customFormat="1" ht="15.75" customHeight="1" x14ac:dyDescent="0.25">
      <c r="B358" s="5"/>
      <c r="C358" s="5"/>
      <c r="D358" s="2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2:24" s="27" customFormat="1" ht="15.75" customHeight="1" x14ac:dyDescent="0.25">
      <c r="B359" s="5"/>
      <c r="C359" s="5"/>
      <c r="D359" s="2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2:24" s="27" customFormat="1" ht="15.75" customHeight="1" x14ac:dyDescent="0.25">
      <c r="B360" s="5"/>
      <c r="C360" s="5"/>
      <c r="D360" s="2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2:24" s="27" customFormat="1" ht="15.75" customHeight="1" x14ac:dyDescent="0.25">
      <c r="B361" s="5"/>
      <c r="C361" s="5"/>
      <c r="D361" s="2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2:24" s="27" customFormat="1" ht="15.75" customHeight="1" x14ac:dyDescent="0.25">
      <c r="B362" s="5"/>
      <c r="C362" s="5"/>
      <c r="D362" s="2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2:24" s="27" customFormat="1" ht="15.75" customHeight="1" x14ac:dyDescent="0.25">
      <c r="B363" s="5"/>
      <c r="C363" s="5"/>
      <c r="D363" s="2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2:24" s="27" customFormat="1" ht="15.75" customHeight="1" x14ac:dyDescent="0.25">
      <c r="B364" s="5"/>
      <c r="C364" s="5"/>
      <c r="D364" s="2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2:24" s="27" customFormat="1" ht="15.75" customHeight="1" x14ac:dyDescent="0.25">
      <c r="B365" s="5"/>
      <c r="C365" s="5"/>
      <c r="D365" s="2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2:24" s="27" customFormat="1" ht="15.75" customHeight="1" x14ac:dyDescent="0.25">
      <c r="B366" s="5"/>
      <c r="C366" s="5"/>
      <c r="D366" s="2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2:24" s="27" customFormat="1" ht="15.75" customHeight="1" x14ac:dyDescent="0.25">
      <c r="B367" s="5"/>
      <c r="C367" s="5"/>
      <c r="D367" s="2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2:24" s="27" customFormat="1" ht="15.75" customHeight="1" x14ac:dyDescent="0.25">
      <c r="B368" s="5"/>
      <c r="C368" s="5"/>
      <c r="D368" s="2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2:24" s="27" customFormat="1" ht="15.75" customHeight="1" x14ac:dyDescent="0.25">
      <c r="B369" s="5"/>
      <c r="C369" s="5"/>
      <c r="D369" s="2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2:24" s="27" customFormat="1" ht="15.75" customHeight="1" x14ac:dyDescent="0.25">
      <c r="B370" s="5"/>
      <c r="C370" s="5"/>
      <c r="D370" s="2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2:24" s="27" customFormat="1" ht="15.75" customHeight="1" x14ac:dyDescent="0.25">
      <c r="B371" s="5"/>
      <c r="C371" s="5"/>
      <c r="D371" s="2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2:24" s="27" customFormat="1" ht="15.75" customHeight="1" x14ac:dyDescent="0.25">
      <c r="B372" s="5"/>
      <c r="C372" s="5"/>
      <c r="D372" s="2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2:24" s="27" customFormat="1" ht="15.75" customHeight="1" x14ac:dyDescent="0.25">
      <c r="B373" s="5"/>
      <c r="C373" s="5"/>
      <c r="D373" s="2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2:24" s="27" customFormat="1" ht="15.75" customHeight="1" x14ac:dyDescent="0.25">
      <c r="B374" s="5"/>
      <c r="C374" s="5"/>
      <c r="D374" s="2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2:24" s="27" customFormat="1" ht="15.75" customHeight="1" x14ac:dyDescent="0.25">
      <c r="B375" s="5"/>
      <c r="C375" s="5"/>
      <c r="D375" s="2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2:24" s="27" customFormat="1" ht="15.75" customHeight="1" x14ac:dyDescent="0.25">
      <c r="B376" s="5"/>
      <c r="C376" s="5"/>
      <c r="D376" s="2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2:24" s="27" customFormat="1" ht="15.75" customHeight="1" x14ac:dyDescent="0.25">
      <c r="B377" s="5"/>
      <c r="C377" s="5"/>
      <c r="D377" s="2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2:24" s="27" customFormat="1" ht="15.75" customHeight="1" x14ac:dyDescent="0.25">
      <c r="B378" s="5"/>
      <c r="C378" s="5"/>
      <c r="D378" s="2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2:24" s="27" customFormat="1" ht="15.75" customHeight="1" x14ac:dyDescent="0.25">
      <c r="B379" s="5"/>
      <c r="C379" s="5"/>
      <c r="D379" s="2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2:24" s="27" customFormat="1" ht="15.75" customHeight="1" x14ac:dyDescent="0.25">
      <c r="B380" s="5"/>
      <c r="C380" s="5"/>
      <c r="D380" s="2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2:24" s="27" customFormat="1" ht="15.75" customHeight="1" x14ac:dyDescent="0.25">
      <c r="B381" s="5"/>
      <c r="C381" s="5"/>
      <c r="D381" s="2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2:24" s="27" customFormat="1" ht="15.75" customHeight="1" x14ac:dyDescent="0.25">
      <c r="B382" s="5"/>
      <c r="C382" s="5"/>
      <c r="D382" s="2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2:24" s="27" customFormat="1" ht="15.75" customHeight="1" x14ac:dyDescent="0.25">
      <c r="B383" s="5"/>
      <c r="C383" s="5"/>
      <c r="D383" s="2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2:24" s="27" customFormat="1" ht="15.75" customHeight="1" x14ac:dyDescent="0.25">
      <c r="B384" s="5"/>
      <c r="C384" s="5"/>
      <c r="D384" s="2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2:24" s="27" customFormat="1" ht="15.75" customHeight="1" x14ac:dyDescent="0.25">
      <c r="B385" s="5"/>
      <c r="C385" s="5"/>
      <c r="D385" s="2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2:24" s="27" customFormat="1" ht="15.75" customHeight="1" x14ac:dyDescent="0.25">
      <c r="B386" s="5"/>
      <c r="C386" s="5"/>
      <c r="D386" s="2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2:24" s="27" customFormat="1" ht="15.75" customHeight="1" x14ac:dyDescent="0.25">
      <c r="B387" s="5"/>
      <c r="C387" s="5"/>
      <c r="D387" s="2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2:24" s="27" customFormat="1" ht="15.75" customHeight="1" x14ac:dyDescent="0.25">
      <c r="B388" s="5"/>
      <c r="C388" s="5"/>
      <c r="D388" s="2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2:24" s="27" customFormat="1" ht="15.75" customHeight="1" x14ac:dyDescent="0.25">
      <c r="B389" s="5"/>
      <c r="C389" s="5"/>
      <c r="D389" s="2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2:24" s="27" customFormat="1" ht="15.75" customHeight="1" x14ac:dyDescent="0.25">
      <c r="B390" s="5"/>
      <c r="C390" s="5"/>
      <c r="D390" s="2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2:24" s="27" customFormat="1" ht="15.75" customHeight="1" x14ac:dyDescent="0.25">
      <c r="B391" s="5"/>
      <c r="C391" s="5"/>
      <c r="D391" s="2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2:24" s="27" customFormat="1" ht="15.75" customHeight="1" x14ac:dyDescent="0.25">
      <c r="B392" s="5"/>
      <c r="C392" s="5"/>
      <c r="D392" s="2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2:24" s="27" customFormat="1" ht="15.75" customHeight="1" x14ac:dyDescent="0.25">
      <c r="B393" s="5"/>
      <c r="C393" s="5"/>
      <c r="D393" s="2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2:24" s="27" customFormat="1" ht="15.75" customHeight="1" x14ac:dyDescent="0.25">
      <c r="B394" s="5"/>
      <c r="C394" s="5"/>
      <c r="D394" s="2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2:24" s="27" customFormat="1" ht="15.75" customHeight="1" x14ac:dyDescent="0.25">
      <c r="B395" s="5"/>
      <c r="C395" s="5"/>
      <c r="D395" s="2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2:24" s="27" customFormat="1" ht="15.75" customHeight="1" x14ac:dyDescent="0.25">
      <c r="B396" s="5"/>
      <c r="C396" s="5"/>
      <c r="D396" s="2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2:24" s="27" customFormat="1" ht="15.75" customHeight="1" x14ac:dyDescent="0.25">
      <c r="B397" s="5"/>
      <c r="C397" s="5"/>
      <c r="D397" s="2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2:24" s="27" customFormat="1" ht="15.75" customHeight="1" x14ac:dyDescent="0.25">
      <c r="B398" s="5"/>
      <c r="C398" s="5"/>
      <c r="D398" s="2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2:24" s="27" customFormat="1" ht="15.75" customHeight="1" x14ac:dyDescent="0.25">
      <c r="B399" s="5"/>
      <c r="C399" s="5"/>
      <c r="D399" s="2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2:24" s="27" customFormat="1" ht="15.75" customHeight="1" x14ac:dyDescent="0.25">
      <c r="B400" s="5"/>
      <c r="C400" s="5"/>
      <c r="D400" s="2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2:24" s="27" customFormat="1" ht="15.75" customHeight="1" x14ac:dyDescent="0.25">
      <c r="B401" s="5"/>
      <c r="C401" s="5"/>
      <c r="D401" s="2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2:24" s="27" customFormat="1" ht="15.75" customHeight="1" x14ac:dyDescent="0.25">
      <c r="B402" s="5"/>
      <c r="C402" s="5"/>
      <c r="D402" s="2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2:24" s="27" customFormat="1" ht="15.75" customHeight="1" x14ac:dyDescent="0.25">
      <c r="B403" s="5"/>
      <c r="C403" s="5"/>
      <c r="D403" s="2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2:24" s="27" customFormat="1" ht="15.75" customHeight="1" x14ac:dyDescent="0.25">
      <c r="B404" s="5"/>
      <c r="C404" s="5"/>
      <c r="D404" s="2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2:24" s="27" customFormat="1" ht="15.75" customHeight="1" x14ac:dyDescent="0.25">
      <c r="B405" s="5"/>
      <c r="C405" s="5"/>
      <c r="D405" s="2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2:24" s="27" customFormat="1" ht="15.75" customHeight="1" x14ac:dyDescent="0.25">
      <c r="B406" s="5"/>
      <c r="C406" s="5"/>
      <c r="D406" s="2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2:24" s="27" customFormat="1" ht="15.75" customHeight="1" x14ac:dyDescent="0.25">
      <c r="B407" s="5"/>
      <c r="C407" s="5"/>
      <c r="D407" s="2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2:24" s="27" customFormat="1" ht="15.75" customHeight="1" x14ac:dyDescent="0.25">
      <c r="B408" s="5"/>
      <c r="C408" s="5"/>
      <c r="D408" s="2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2:24" s="27" customFormat="1" ht="15.75" customHeight="1" x14ac:dyDescent="0.25">
      <c r="B409" s="5"/>
      <c r="C409" s="5"/>
      <c r="D409" s="2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2:24" s="27" customFormat="1" ht="15.75" customHeight="1" x14ac:dyDescent="0.25">
      <c r="B410" s="5"/>
      <c r="C410" s="5"/>
      <c r="D410" s="2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2:24" s="27" customFormat="1" ht="15.75" customHeight="1" x14ac:dyDescent="0.25">
      <c r="B411" s="5"/>
      <c r="C411" s="5"/>
      <c r="D411" s="2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2:24" s="27" customFormat="1" ht="15.75" customHeight="1" x14ac:dyDescent="0.25">
      <c r="B412" s="5"/>
      <c r="C412" s="5"/>
      <c r="D412" s="2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2:24" s="27" customFormat="1" ht="15.75" customHeight="1" x14ac:dyDescent="0.25">
      <c r="B413" s="5"/>
      <c r="C413" s="5"/>
      <c r="D413" s="2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2:24" s="27" customFormat="1" ht="15.75" customHeight="1" x14ac:dyDescent="0.25">
      <c r="B414" s="5"/>
      <c r="C414" s="5"/>
      <c r="D414" s="2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2:24" s="27" customFormat="1" ht="15.75" customHeight="1" x14ac:dyDescent="0.25">
      <c r="B415" s="5"/>
      <c r="C415" s="5"/>
      <c r="D415" s="2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2:24" s="27" customFormat="1" ht="15.75" customHeight="1" x14ac:dyDescent="0.25">
      <c r="B416" s="5"/>
      <c r="C416" s="5"/>
      <c r="D416" s="2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2:24" s="27" customFormat="1" ht="15.75" customHeight="1" x14ac:dyDescent="0.25">
      <c r="B417" s="5"/>
      <c r="C417" s="5"/>
      <c r="D417" s="2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2:24" s="27" customFormat="1" ht="15.75" customHeight="1" x14ac:dyDescent="0.25">
      <c r="B418" s="5"/>
      <c r="C418" s="5"/>
      <c r="D418" s="2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2:24" s="27" customFormat="1" ht="15.75" customHeight="1" x14ac:dyDescent="0.25">
      <c r="B419" s="5"/>
      <c r="C419" s="5"/>
      <c r="D419" s="2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2:24" s="27" customFormat="1" ht="15.75" customHeight="1" x14ac:dyDescent="0.25">
      <c r="B420" s="5"/>
      <c r="C420" s="5"/>
      <c r="D420" s="2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2:24" s="27" customFormat="1" ht="15.75" customHeight="1" x14ac:dyDescent="0.25">
      <c r="B421" s="5"/>
      <c r="C421" s="5"/>
      <c r="D421" s="2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2:24" s="27" customFormat="1" ht="15.75" customHeight="1" x14ac:dyDescent="0.25">
      <c r="B422" s="5"/>
      <c r="C422" s="5"/>
      <c r="D422" s="2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2:24" s="27" customFormat="1" ht="15.75" customHeight="1" x14ac:dyDescent="0.25">
      <c r="B423" s="5"/>
      <c r="C423" s="5"/>
      <c r="D423" s="2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2:24" s="27" customFormat="1" ht="15.75" customHeight="1" x14ac:dyDescent="0.25">
      <c r="B424" s="5"/>
      <c r="C424" s="5"/>
      <c r="D424" s="2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2:24" s="27" customFormat="1" ht="15.75" customHeight="1" x14ac:dyDescent="0.25">
      <c r="B425" s="5"/>
      <c r="C425" s="5"/>
      <c r="D425" s="2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2:24" s="27" customFormat="1" ht="15.75" customHeight="1" x14ac:dyDescent="0.25">
      <c r="B426" s="5"/>
      <c r="C426" s="5"/>
      <c r="D426" s="2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2:24" s="27" customFormat="1" ht="15.75" customHeight="1" x14ac:dyDescent="0.25">
      <c r="B427" s="5"/>
      <c r="C427" s="5"/>
      <c r="D427" s="2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2:24" s="27" customFormat="1" ht="15.75" customHeight="1" x14ac:dyDescent="0.25">
      <c r="B428" s="5"/>
      <c r="C428" s="5"/>
      <c r="D428" s="2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2:24" s="27" customFormat="1" ht="15.75" customHeight="1" x14ac:dyDescent="0.25">
      <c r="B429" s="5"/>
      <c r="C429" s="5"/>
      <c r="D429" s="2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2:24" s="27" customFormat="1" ht="15.75" customHeight="1" x14ac:dyDescent="0.25">
      <c r="B430" s="5"/>
      <c r="C430" s="5"/>
      <c r="D430" s="2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2:24" s="27" customFormat="1" ht="15.75" customHeight="1" x14ac:dyDescent="0.25">
      <c r="B431" s="5"/>
      <c r="C431" s="5"/>
      <c r="D431" s="2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2:24" s="27" customFormat="1" ht="15.75" customHeight="1" x14ac:dyDescent="0.25">
      <c r="B432" s="5"/>
      <c r="C432" s="5"/>
      <c r="D432" s="2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2:24" s="27" customFormat="1" ht="15.75" customHeight="1" x14ac:dyDescent="0.25">
      <c r="B433" s="5"/>
      <c r="C433" s="5"/>
      <c r="D433" s="2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2:24" s="27" customFormat="1" ht="15.75" customHeight="1" x14ac:dyDescent="0.25">
      <c r="B434" s="5"/>
      <c r="C434" s="5"/>
      <c r="D434" s="2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2:24" s="27" customFormat="1" ht="15.75" customHeight="1" x14ac:dyDescent="0.25">
      <c r="B435" s="5"/>
      <c r="C435" s="5"/>
      <c r="D435" s="2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2:24" s="27" customFormat="1" ht="15.75" customHeight="1" x14ac:dyDescent="0.25">
      <c r="B436" s="5"/>
      <c r="C436" s="5"/>
      <c r="D436" s="2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2:24" s="27" customFormat="1" ht="15.75" customHeight="1" x14ac:dyDescent="0.25">
      <c r="B437" s="5"/>
      <c r="C437" s="5"/>
      <c r="D437" s="2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2:24" s="27" customFormat="1" ht="15.75" customHeight="1" x14ac:dyDescent="0.25">
      <c r="B438" s="5"/>
      <c r="C438" s="5"/>
      <c r="D438" s="2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2:24" s="27" customFormat="1" ht="15.75" customHeight="1" x14ac:dyDescent="0.25">
      <c r="B439" s="5"/>
      <c r="C439" s="5"/>
      <c r="D439" s="2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2:24" s="27" customFormat="1" ht="15.75" customHeight="1" x14ac:dyDescent="0.25">
      <c r="B440" s="5"/>
      <c r="C440" s="5"/>
      <c r="D440" s="2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2:24" s="27" customFormat="1" ht="15.75" customHeight="1" x14ac:dyDescent="0.25">
      <c r="B441" s="5"/>
      <c r="C441" s="5"/>
      <c r="D441" s="2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2:24" s="27" customFormat="1" ht="15.75" customHeight="1" x14ac:dyDescent="0.25">
      <c r="B442" s="5"/>
      <c r="C442" s="5"/>
      <c r="D442" s="2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2:24" s="27" customFormat="1" ht="15.75" customHeight="1" x14ac:dyDescent="0.25">
      <c r="B443" s="5"/>
      <c r="C443" s="5"/>
      <c r="D443" s="2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2:24" s="27" customFormat="1" ht="15.75" customHeight="1" x14ac:dyDescent="0.25">
      <c r="B444" s="5"/>
      <c r="C444" s="5"/>
      <c r="D444" s="2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2:24" s="27" customFormat="1" ht="15.75" customHeight="1" x14ac:dyDescent="0.25">
      <c r="B445" s="5"/>
      <c r="C445" s="5"/>
      <c r="D445" s="2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2:24" s="27" customFormat="1" ht="15.75" customHeight="1" x14ac:dyDescent="0.25">
      <c r="B446" s="5"/>
      <c r="C446" s="5"/>
      <c r="D446" s="2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2:24" s="27" customFormat="1" ht="15.75" customHeight="1" x14ac:dyDescent="0.25">
      <c r="B447" s="5"/>
      <c r="C447" s="5"/>
      <c r="D447" s="2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2:24" s="27" customFormat="1" ht="15.75" customHeight="1" x14ac:dyDescent="0.25">
      <c r="B448" s="5"/>
      <c r="C448" s="5"/>
      <c r="D448" s="2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2:24" s="27" customFormat="1" ht="15.75" customHeight="1" x14ac:dyDescent="0.25">
      <c r="B449" s="5"/>
      <c r="C449" s="5"/>
      <c r="D449" s="2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2:24" s="27" customFormat="1" ht="15.75" customHeight="1" x14ac:dyDescent="0.25">
      <c r="B450" s="5"/>
      <c r="C450" s="5"/>
      <c r="D450" s="2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2:24" s="27" customFormat="1" ht="15.75" customHeight="1" x14ac:dyDescent="0.25">
      <c r="B451" s="5"/>
      <c r="C451" s="5"/>
      <c r="D451" s="2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2:24" s="27" customFormat="1" ht="15.75" customHeight="1" x14ac:dyDescent="0.25">
      <c r="B452" s="5"/>
      <c r="C452" s="5"/>
      <c r="D452" s="2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2:24" s="27" customFormat="1" ht="15.75" customHeight="1" x14ac:dyDescent="0.25">
      <c r="B453" s="5"/>
      <c r="C453" s="5"/>
      <c r="D453" s="2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2:24" s="27" customFormat="1" ht="15.75" customHeight="1" x14ac:dyDescent="0.25">
      <c r="B454" s="5"/>
      <c r="C454" s="5"/>
      <c r="D454" s="2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2:24" s="27" customFormat="1" ht="15.75" customHeight="1" x14ac:dyDescent="0.25">
      <c r="B455" s="5"/>
      <c r="C455" s="5"/>
      <c r="D455" s="2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2:24" s="27" customFormat="1" ht="15.75" customHeight="1" x14ac:dyDescent="0.25">
      <c r="B456" s="5"/>
      <c r="C456" s="5"/>
      <c r="D456" s="2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2:24" s="27" customFormat="1" ht="15.75" customHeight="1" x14ac:dyDescent="0.25">
      <c r="B457" s="5"/>
      <c r="C457" s="5"/>
      <c r="D457" s="2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2:24" s="27" customFormat="1" ht="15.75" customHeight="1" x14ac:dyDescent="0.25">
      <c r="B458" s="5"/>
      <c r="C458" s="5"/>
      <c r="D458" s="2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2:24" s="27" customFormat="1" ht="15.75" customHeight="1" x14ac:dyDescent="0.25">
      <c r="B459" s="5"/>
      <c r="C459" s="5"/>
      <c r="D459" s="2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2:24" s="27" customFormat="1" ht="15.75" customHeight="1" x14ac:dyDescent="0.25">
      <c r="B460" s="5"/>
      <c r="C460" s="5"/>
      <c r="D460" s="2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2:24" s="27" customFormat="1" ht="15.75" customHeight="1" x14ac:dyDescent="0.25">
      <c r="B461" s="5"/>
      <c r="C461" s="5"/>
      <c r="D461" s="2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2:24" s="27" customFormat="1" ht="15.75" customHeight="1" x14ac:dyDescent="0.25">
      <c r="B462" s="5"/>
      <c r="C462" s="5"/>
      <c r="D462" s="2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2:24" s="27" customFormat="1" ht="15.75" customHeight="1" x14ac:dyDescent="0.25">
      <c r="B463" s="5"/>
      <c r="C463" s="5"/>
      <c r="D463" s="2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2:24" s="27" customFormat="1" ht="15.75" customHeight="1" x14ac:dyDescent="0.25">
      <c r="B464" s="5"/>
      <c r="C464" s="5"/>
      <c r="D464" s="2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2:24" s="27" customFormat="1" ht="15.75" customHeight="1" x14ac:dyDescent="0.25">
      <c r="B465" s="5"/>
      <c r="C465" s="5"/>
      <c r="D465" s="2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2:24" s="27" customFormat="1" ht="15.75" customHeight="1" x14ac:dyDescent="0.25">
      <c r="B466" s="5"/>
      <c r="C466" s="5"/>
      <c r="D466" s="2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2:24" s="27" customFormat="1" ht="15.75" customHeight="1" x14ac:dyDescent="0.25">
      <c r="B467" s="5"/>
      <c r="C467" s="5"/>
      <c r="D467" s="2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2:24" s="27" customFormat="1" ht="15.75" customHeight="1" x14ac:dyDescent="0.25">
      <c r="B468" s="5"/>
      <c r="C468" s="5"/>
      <c r="D468" s="2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2:24" s="27" customFormat="1" ht="15.75" customHeight="1" x14ac:dyDescent="0.25">
      <c r="B469" s="5"/>
      <c r="C469" s="5"/>
      <c r="D469" s="2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2:24" s="27" customFormat="1" ht="15.75" customHeight="1" x14ac:dyDescent="0.25">
      <c r="B470" s="5"/>
      <c r="C470" s="5"/>
      <c r="D470" s="2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2:24" s="27" customFormat="1" ht="15.75" customHeight="1" x14ac:dyDescent="0.25">
      <c r="B471" s="5"/>
      <c r="C471" s="5"/>
      <c r="D471" s="2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2:24" s="27" customFormat="1" ht="15.75" customHeight="1" x14ac:dyDescent="0.25">
      <c r="B472" s="5"/>
      <c r="C472" s="5"/>
      <c r="D472" s="2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2:24" s="27" customFormat="1" ht="15.75" customHeight="1" x14ac:dyDescent="0.25">
      <c r="B473" s="5"/>
      <c r="C473" s="5"/>
      <c r="D473" s="2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2:24" s="27" customFormat="1" ht="15.75" customHeight="1" x14ac:dyDescent="0.25">
      <c r="B474" s="5"/>
      <c r="C474" s="5"/>
      <c r="D474" s="2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2:24" s="27" customFormat="1" ht="15.75" customHeight="1" x14ac:dyDescent="0.25">
      <c r="B475" s="5"/>
      <c r="C475" s="5"/>
      <c r="D475" s="2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2:24" s="27" customFormat="1" ht="15.75" customHeight="1" x14ac:dyDescent="0.25">
      <c r="B476" s="5"/>
      <c r="C476" s="5"/>
      <c r="D476" s="2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2:24" s="27" customFormat="1" ht="15.75" customHeight="1" x14ac:dyDescent="0.25">
      <c r="B477" s="5"/>
      <c r="C477" s="5"/>
      <c r="D477" s="2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2:24" s="27" customFormat="1" ht="15.75" customHeight="1" x14ac:dyDescent="0.25">
      <c r="B478" s="5"/>
      <c r="C478" s="5"/>
      <c r="D478" s="2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2:24" s="27" customFormat="1" ht="15.75" customHeight="1" x14ac:dyDescent="0.25">
      <c r="B479" s="5"/>
      <c r="C479" s="5"/>
      <c r="D479" s="2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2:24" s="27" customFormat="1" ht="15.75" customHeight="1" x14ac:dyDescent="0.25">
      <c r="B480" s="5"/>
      <c r="C480" s="5"/>
      <c r="D480" s="2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2:24" s="27" customFormat="1" ht="15.75" customHeight="1" x14ac:dyDescent="0.25">
      <c r="B481" s="5"/>
      <c r="C481" s="5"/>
      <c r="D481" s="2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2:24" s="27" customFormat="1" ht="15.75" customHeight="1" x14ac:dyDescent="0.25">
      <c r="B482" s="5"/>
      <c r="C482" s="5"/>
      <c r="D482" s="2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2:24" s="27" customFormat="1" ht="15.75" customHeight="1" x14ac:dyDescent="0.25">
      <c r="B483" s="5"/>
      <c r="C483" s="5"/>
      <c r="D483" s="2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2:24" s="27" customFormat="1" ht="15.75" customHeight="1" x14ac:dyDescent="0.25">
      <c r="B484" s="5"/>
      <c r="C484" s="5"/>
      <c r="D484" s="2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2:24" s="27" customFormat="1" ht="15.75" customHeight="1" x14ac:dyDescent="0.25">
      <c r="B485" s="5"/>
      <c r="C485" s="5"/>
      <c r="D485" s="2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2:24" s="27" customFormat="1" ht="15.75" customHeight="1" x14ac:dyDescent="0.25">
      <c r="B486" s="5"/>
      <c r="C486" s="5"/>
      <c r="D486" s="2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2:24" s="27" customFormat="1" ht="15.75" customHeight="1" x14ac:dyDescent="0.25">
      <c r="B487" s="5"/>
      <c r="C487" s="5"/>
      <c r="D487" s="2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2:24" s="27" customFormat="1" ht="15.75" customHeight="1" x14ac:dyDescent="0.25">
      <c r="B488" s="5"/>
      <c r="C488" s="5"/>
      <c r="D488" s="2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2:24" s="27" customFormat="1" ht="15.75" customHeight="1" x14ac:dyDescent="0.25">
      <c r="B489" s="5"/>
      <c r="C489" s="5"/>
      <c r="D489" s="2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2:24" s="27" customFormat="1" ht="15.75" customHeight="1" x14ac:dyDescent="0.25">
      <c r="B490" s="5"/>
      <c r="C490" s="5"/>
      <c r="D490" s="2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2:24" s="27" customFormat="1" ht="15.75" customHeight="1" x14ac:dyDescent="0.25">
      <c r="B491" s="5"/>
      <c r="C491" s="5"/>
      <c r="D491" s="2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2:24" s="27" customFormat="1" ht="15.75" customHeight="1" x14ac:dyDescent="0.25">
      <c r="B492" s="5"/>
      <c r="C492" s="5"/>
      <c r="D492" s="2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2:24" s="27" customFormat="1" ht="15.75" customHeight="1" x14ac:dyDescent="0.25">
      <c r="B493" s="5"/>
      <c r="C493" s="5"/>
      <c r="D493" s="2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2:24" s="27" customFormat="1" ht="15.75" customHeight="1" x14ac:dyDescent="0.25">
      <c r="B494" s="5"/>
      <c r="C494" s="5"/>
      <c r="D494" s="2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2:24" s="27" customFormat="1" ht="15.75" customHeight="1" x14ac:dyDescent="0.25">
      <c r="B495" s="5"/>
      <c r="C495" s="5"/>
      <c r="D495" s="2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2:24" s="27" customFormat="1" ht="15.75" customHeight="1" x14ac:dyDescent="0.25">
      <c r="B496" s="5"/>
      <c r="C496" s="5"/>
      <c r="D496" s="2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2:24" s="27" customFormat="1" ht="15.75" customHeight="1" x14ac:dyDescent="0.25">
      <c r="B497" s="5"/>
      <c r="C497" s="5"/>
      <c r="D497" s="2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2:24" s="27" customFormat="1" ht="15.75" customHeight="1" x14ac:dyDescent="0.25">
      <c r="B498" s="5"/>
      <c r="C498" s="5"/>
      <c r="D498" s="2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2:24" s="27" customFormat="1" ht="15.75" customHeight="1" x14ac:dyDescent="0.25">
      <c r="B499" s="5"/>
      <c r="C499" s="5"/>
      <c r="D499" s="2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2:24" s="27" customFormat="1" ht="15.75" customHeight="1" x14ac:dyDescent="0.25">
      <c r="B500" s="5"/>
      <c r="C500" s="5"/>
      <c r="D500" s="2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2:24" s="27" customFormat="1" ht="15.75" customHeight="1" x14ac:dyDescent="0.25">
      <c r="B501" s="5"/>
      <c r="C501" s="5"/>
      <c r="D501" s="2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2:24" s="27" customFormat="1" ht="15.75" customHeight="1" x14ac:dyDescent="0.25">
      <c r="B502" s="5"/>
      <c r="C502" s="5"/>
      <c r="D502" s="2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2:24" s="27" customFormat="1" ht="15.75" customHeight="1" x14ac:dyDescent="0.25">
      <c r="B503" s="5"/>
      <c r="C503" s="5"/>
      <c r="D503" s="2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2:24" s="27" customFormat="1" ht="15.75" customHeight="1" x14ac:dyDescent="0.25">
      <c r="B504" s="5"/>
      <c r="C504" s="5"/>
      <c r="D504" s="2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2:24" s="27" customFormat="1" ht="15.75" customHeight="1" x14ac:dyDescent="0.25">
      <c r="B505" s="5"/>
      <c r="C505" s="5"/>
      <c r="D505" s="2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2:24" s="27" customFormat="1" ht="15.75" customHeight="1" x14ac:dyDescent="0.25">
      <c r="B506" s="5"/>
      <c r="C506" s="5"/>
      <c r="D506" s="2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2:24" s="27" customFormat="1" ht="15.75" customHeight="1" x14ac:dyDescent="0.25">
      <c r="B507" s="5"/>
      <c r="C507" s="5"/>
      <c r="D507" s="2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2:24" s="27" customFormat="1" ht="15.75" customHeight="1" x14ac:dyDescent="0.25">
      <c r="B508" s="5"/>
      <c r="C508" s="5"/>
      <c r="D508" s="2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2:24" s="27" customFormat="1" ht="15.75" customHeight="1" x14ac:dyDescent="0.25">
      <c r="B509" s="5"/>
      <c r="C509" s="5"/>
      <c r="D509" s="2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2:24" s="27" customFormat="1" ht="15.75" customHeight="1" x14ac:dyDescent="0.25">
      <c r="B510" s="5"/>
      <c r="C510" s="5"/>
      <c r="D510" s="2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2:24" s="27" customFormat="1" ht="15.75" customHeight="1" x14ac:dyDescent="0.25">
      <c r="B511" s="5"/>
      <c r="C511" s="5"/>
      <c r="D511" s="2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2:24" s="27" customFormat="1" ht="15.75" customHeight="1" x14ac:dyDescent="0.25">
      <c r="B512" s="5"/>
      <c r="C512" s="5"/>
      <c r="D512" s="2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2:24" s="27" customFormat="1" ht="15.75" customHeight="1" x14ac:dyDescent="0.25">
      <c r="B513" s="5"/>
      <c r="C513" s="5"/>
      <c r="D513" s="2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2:24" s="27" customFormat="1" ht="15.75" customHeight="1" x14ac:dyDescent="0.25">
      <c r="B514" s="5"/>
      <c r="C514" s="5"/>
      <c r="D514" s="2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2:24" s="27" customFormat="1" ht="15.75" customHeight="1" x14ac:dyDescent="0.25">
      <c r="B515" s="5"/>
      <c r="C515" s="5"/>
      <c r="D515" s="2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2:24" s="27" customFormat="1" ht="15.75" customHeight="1" x14ac:dyDescent="0.25">
      <c r="B516" s="5"/>
      <c r="C516" s="5"/>
      <c r="D516" s="2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2:24" s="27" customFormat="1" ht="15.75" customHeight="1" x14ac:dyDescent="0.25">
      <c r="B517" s="5"/>
      <c r="C517" s="5"/>
      <c r="D517" s="2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2:24" s="27" customFormat="1" ht="15.75" customHeight="1" x14ac:dyDescent="0.25">
      <c r="B518" s="5"/>
      <c r="C518" s="5"/>
      <c r="D518" s="2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2:24" s="27" customFormat="1" ht="15.75" customHeight="1" x14ac:dyDescent="0.25">
      <c r="B519" s="5"/>
      <c r="C519" s="5"/>
      <c r="D519" s="2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2:24" s="27" customFormat="1" ht="15.75" customHeight="1" x14ac:dyDescent="0.25">
      <c r="B520" s="5"/>
      <c r="C520" s="5"/>
      <c r="D520" s="2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2:24" s="27" customFormat="1" ht="15.75" customHeight="1" x14ac:dyDescent="0.25">
      <c r="B521" s="5"/>
      <c r="C521" s="5"/>
      <c r="D521" s="2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2:24" s="27" customFormat="1" ht="15.75" customHeight="1" x14ac:dyDescent="0.25">
      <c r="B522" s="5"/>
      <c r="C522" s="5"/>
      <c r="D522" s="2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2:24" s="27" customFormat="1" ht="15.75" customHeight="1" x14ac:dyDescent="0.25">
      <c r="B523" s="5"/>
      <c r="C523" s="5"/>
      <c r="D523" s="2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2:24" s="27" customFormat="1" ht="15.75" customHeight="1" x14ac:dyDescent="0.25">
      <c r="B524" s="5"/>
      <c r="C524" s="5"/>
      <c r="D524" s="2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2:24" s="27" customFormat="1" ht="15.75" customHeight="1" x14ac:dyDescent="0.25">
      <c r="B525" s="5"/>
      <c r="C525" s="5"/>
      <c r="D525" s="2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2:24" s="27" customFormat="1" ht="15.75" customHeight="1" x14ac:dyDescent="0.25">
      <c r="B526" s="5"/>
      <c r="C526" s="5"/>
      <c r="D526" s="2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2:24" s="27" customFormat="1" ht="15.75" customHeight="1" x14ac:dyDescent="0.25">
      <c r="B527" s="5"/>
      <c r="C527" s="5"/>
      <c r="D527" s="2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2:24" s="27" customFormat="1" ht="15.75" customHeight="1" x14ac:dyDescent="0.25">
      <c r="B528" s="5"/>
      <c r="C528" s="5"/>
      <c r="D528" s="2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2:24" s="27" customFormat="1" ht="15.75" customHeight="1" x14ac:dyDescent="0.25">
      <c r="B529" s="5"/>
      <c r="C529" s="5"/>
      <c r="D529" s="2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2:24" s="27" customFormat="1" ht="15.75" customHeight="1" x14ac:dyDescent="0.25">
      <c r="B530" s="5"/>
      <c r="C530" s="5"/>
      <c r="D530" s="2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2:24" s="27" customFormat="1" ht="15.75" customHeight="1" x14ac:dyDescent="0.25">
      <c r="B531" s="5"/>
      <c r="C531" s="5"/>
      <c r="D531" s="2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2:24" s="27" customFormat="1" ht="15.75" customHeight="1" x14ac:dyDescent="0.25">
      <c r="B532" s="5"/>
      <c r="C532" s="5"/>
      <c r="D532" s="2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2:24" s="27" customFormat="1" ht="15.75" customHeight="1" x14ac:dyDescent="0.25">
      <c r="B533" s="5"/>
      <c r="C533" s="5"/>
      <c r="D533" s="2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2:24" s="27" customFormat="1" ht="15.75" customHeight="1" x14ac:dyDescent="0.25">
      <c r="B534" s="5"/>
      <c r="C534" s="5"/>
      <c r="D534" s="2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2:24" s="27" customFormat="1" ht="15.75" customHeight="1" x14ac:dyDescent="0.25">
      <c r="B535" s="5"/>
      <c r="C535" s="5"/>
      <c r="D535" s="2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2:24" s="27" customFormat="1" ht="15.75" customHeight="1" x14ac:dyDescent="0.25">
      <c r="B536" s="5"/>
      <c r="C536" s="5"/>
      <c r="D536" s="2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2:24" s="27" customFormat="1" ht="15.75" customHeight="1" x14ac:dyDescent="0.25">
      <c r="B537" s="5"/>
      <c r="C537" s="5"/>
      <c r="D537" s="2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2:24" s="27" customFormat="1" ht="15.75" customHeight="1" x14ac:dyDescent="0.25">
      <c r="B538" s="5"/>
      <c r="C538" s="5"/>
      <c r="D538" s="2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2:24" s="27" customFormat="1" ht="15.75" customHeight="1" x14ac:dyDescent="0.25">
      <c r="B539" s="5"/>
      <c r="C539" s="5"/>
      <c r="D539" s="2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2:24" s="27" customFormat="1" ht="15.75" customHeight="1" x14ac:dyDescent="0.25">
      <c r="B540" s="5"/>
      <c r="C540" s="5"/>
      <c r="D540" s="2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2:24" s="27" customFormat="1" ht="15.75" customHeight="1" x14ac:dyDescent="0.25">
      <c r="B541" s="5"/>
      <c r="C541" s="5"/>
      <c r="D541" s="2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2:24" s="27" customFormat="1" ht="15.75" customHeight="1" x14ac:dyDescent="0.25">
      <c r="B542" s="5"/>
      <c r="C542" s="5"/>
      <c r="D542" s="2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2:24" s="27" customFormat="1" ht="15.75" customHeight="1" x14ac:dyDescent="0.25">
      <c r="B543" s="5"/>
      <c r="C543" s="5"/>
      <c r="D543" s="2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2:24" s="27" customFormat="1" ht="15.75" customHeight="1" x14ac:dyDescent="0.25">
      <c r="B544" s="5"/>
      <c r="C544" s="5"/>
      <c r="D544" s="2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2:24" s="27" customFormat="1" ht="15.75" customHeight="1" x14ac:dyDescent="0.25">
      <c r="B545" s="5"/>
      <c r="C545" s="5"/>
      <c r="D545" s="2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2:24" s="27" customFormat="1" ht="15.75" customHeight="1" x14ac:dyDescent="0.25">
      <c r="B546" s="5"/>
      <c r="C546" s="5"/>
      <c r="D546" s="2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2:24" s="27" customFormat="1" ht="15.75" customHeight="1" x14ac:dyDescent="0.25">
      <c r="B547" s="5"/>
      <c r="C547" s="5"/>
      <c r="D547" s="2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2:24" s="27" customFormat="1" ht="15.75" customHeight="1" x14ac:dyDescent="0.25">
      <c r="B548" s="5"/>
      <c r="C548" s="5"/>
      <c r="D548" s="2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2:24" s="27" customFormat="1" ht="15.75" customHeight="1" x14ac:dyDescent="0.25">
      <c r="B549" s="5"/>
      <c r="C549" s="5"/>
      <c r="D549" s="2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2:24" s="27" customFormat="1" ht="15.75" customHeight="1" x14ac:dyDescent="0.25">
      <c r="B550" s="5"/>
      <c r="C550" s="5"/>
      <c r="D550" s="2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2:24" s="27" customFormat="1" ht="15.75" customHeight="1" x14ac:dyDescent="0.25">
      <c r="B551" s="5"/>
      <c r="C551" s="5"/>
      <c r="D551" s="2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2:24" s="27" customFormat="1" ht="15.75" customHeight="1" x14ac:dyDescent="0.25">
      <c r="B552" s="5"/>
      <c r="C552" s="5"/>
      <c r="D552" s="2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2:24" s="27" customFormat="1" ht="15.75" customHeight="1" x14ac:dyDescent="0.25">
      <c r="B553" s="5"/>
      <c r="C553" s="5"/>
      <c r="D553" s="2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2:24" s="27" customFormat="1" ht="15.75" customHeight="1" x14ac:dyDescent="0.25">
      <c r="B554" s="5"/>
      <c r="C554" s="5"/>
      <c r="D554" s="2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2:24" s="27" customFormat="1" ht="15.75" customHeight="1" x14ac:dyDescent="0.25">
      <c r="B555" s="5"/>
      <c r="C555" s="5"/>
      <c r="D555" s="2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2:24" s="27" customFormat="1" ht="15.75" customHeight="1" x14ac:dyDescent="0.25">
      <c r="B556" s="5"/>
      <c r="C556" s="5"/>
      <c r="D556" s="2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2:24" s="27" customFormat="1" ht="15.75" customHeight="1" x14ac:dyDescent="0.25">
      <c r="B557" s="5"/>
      <c r="C557" s="5"/>
      <c r="D557" s="2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2:24" s="27" customFormat="1" ht="15.75" customHeight="1" x14ac:dyDescent="0.25">
      <c r="B558" s="5"/>
      <c r="C558" s="5"/>
      <c r="D558" s="2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2:24" s="27" customFormat="1" ht="15.75" customHeight="1" x14ac:dyDescent="0.25">
      <c r="B559" s="5"/>
      <c r="C559" s="5"/>
      <c r="D559" s="2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2:24" s="27" customFormat="1" ht="15.75" customHeight="1" x14ac:dyDescent="0.25">
      <c r="B560" s="5"/>
      <c r="C560" s="5"/>
      <c r="D560" s="2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2:24" s="27" customFormat="1" ht="15.75" customHeight="1" x14ac:dyDescent="0.25">
      <c r="B561" s="5"/>
      <c r="C561" s="5"/>
      <c r="D561" s="2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2:24" s="27" customFormat="1" ht="15.75" customHeight="1" x14ac:dyDescent="0.25">
      <c r="B562" s="5"/>
      <c r="C562" s="5"/>
      <c r="D562" s="2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2:24" s="27" customFormat="1" ht="15.75" customHeight="1" x14ac:dyDescent="0.25">
      <c r="B563" s="5"/>
      <c r="C563" s="5"/>
      <c r="D563" s="2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2:24" s="27" customFormat="1" ht="15.75" customHeight="1" x14ac:dyDescent="0.25">
      <c r="B564" s="5"/>
      <c r="C564" s="5"/>
      <c r="D564" s="2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2:24" s="27" customFormat="1" ht="15.75" customHeight="1" x14ac:dyDescent="0.25">
      <c r="B565" s="5"/>
      <c r="C565" s="5"/>
      <c r="D565" s="2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2:24" s="27" customFormat="1" ht="15.75" customHeight="1" x14ac:dyDescent="0.25">
      <c r="B566" s="5"/>
      <c r="C566" s="5"/>
      <c r="D566" s="2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2:24" s="27" customFormat="1" ht="15.75" customHeight="1" x14ac:dyDescent="0.25">
      <c r="B567" s="5"/>
      <c r="C567" s="5"/>
      <c r="D567" s="2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2:24" s="27" customFormat="1" ht="15.75" customHeight="1" x14ac:dyDescent="0.25">
      <c r="B568" s="5"/>
      <c r="C568" s="5"/>
      <c r="D568" s="2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2:24" s="27" customFormat="1" ht="15.75" customHeight="1" x14ac:dyDescent="0.25">
      <c r="B569" s="5"/>
      <c r="C569" s="5"/>
      <c r="D569" s="2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2:24" s="27" customFormat="1" ht="15.75" customHeight="1" x14ac:dyDescent="0.25">
      <c r="B570" s="5"/>
      <c r="C570" s="5"/>
      <c r="D570" s="2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2:24" s="27" customFormat="1" ht="15.75" customHeight="1" x14ac:dyDescent="0.25">
      <c r="B571" s="5"/>
      <c r="C571" s="5"/>
      <c r="D571" s="2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2:24" s="27" customFormat="1" ht="15.75" customHeight="1" x14ac:dyDescent="0.25">
      <c r="B572" s="5"/>
      <c r="C572" s="5"/>
      <c r="D572" s="2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2:24" s="27" customFormat="1" ht="15.75" customHeight="1" x14ac:dyDescent="0.25">
      <c r="B573" s="5"/>
      <c r="C573" s="5"/>
      <c r="D573" s="2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2:24" s="27" customFormat="1" ht="15.75" customHeight="1" x14ac:dyDescent="0.25">
      <c r="B574" s="5"/>
      <c r="C574" s="5"/>
      <c r="D574" s="2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2:24" s="27" customFormat="1" ht="15.75" customHeight="1" x14ac:dyDescent="0.25">
      <c r="B575" s="5"/>
      <c r="C575" s="5"/>
      <c r="D575" s="2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2:24" s="27" customFormat="1" ht="15.75" customHeight="1" x14ac:dyDescent="0.25">
      <c r="B576" s="5"/>
      <c r="C576" s="5"/>
      <c r="D576" s="2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2:24" s="27" customFormat="1" ht="15.75" customHeight="1" x14ac:dyDescent="0.25">
      <c r="B577" s="5"/>
      <c r="C577" s="5"/>
      <c r="D577" s="2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2:24" s="27" customFormat="1" ht="15.75" customHeight="1" x14ac:dyDescent="0.25">
      <c r="B578" s="5"/>
      <c r="C578" s="5"/>
      <c r="D578" s="2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2:24" s="27" customFormat="1" ht="15.75" customHeight="1" x14ac:dyDescent="0.25">
      <c r="B579" s="5"/>
      <c r="C579" s="5"/>
      <c r="D579" s="2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2:24" s="27" customFormat="1" ht="15.75" customHeight="1" x14ac:dyDescent="0.25">
      <c r="B580" s="5"/>
      <c r="C580" s="5"/>
      <c r="D580" s="2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2:24" s="27" customFormat="1" ht="15.75" customHeight="1" x14ac:dyDescent="0.25">
      <c r="B581" s="5"/>
      <c r="C581" s="5"/>
      <c r="D581" s="2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2:24" s="27" customFormat="1" ht="15.75" customHeight="1" x14ac:dyDescent="0.25">
      <c r="B582" s="5"/>
      <c r="C582" s="5"/>
      <c r="D582" s="2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2:24" s="27" customFormat="1" ht="15.75" customHeight="1" x14ac:dyDescent="0.25">
      <c r="B583" s="5"/>
      <c r="C583" s="5"/>
      <c r="D583" s="2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2:24" s="27" customFormat="1" ht="15.75" customHeight="1" x14ac:dyDescent="0.25">
      <c r="B584" s="5"/>
      <c r="C584" s="5"/>
      <c r="D584" s="2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2:24" s="27" customFormat="1" ht="15.75" customHeight="1" x14ac:dyDescent="0.25">
      <c r="B585" s="5"/>
      <c r="C585" s="5"/>
      <c r="D585" s="2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2:24" s="27" customFormat="1" ht="15.75" customHeight="1" x14ac:dyDescent="0.25">
      <c r="B586" s="5"/>
      <c r="C586" s="5"/>
      <c r="D586" s="2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2:24" s="27" customFormat="1" ht="15.75" customHeight="1" x14ac:dyDescent="0.25">
      <c r="B587" s="5"/>
      <c r="C587" s="5"/>
      <c r="D587" s="2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2:24" s="27" customFormat="1" ht="15.75" customHeight="1" x14ac:dyDescent="0.25">
      <c r="B588" s="5"/>
      <c r="C588" s="5"/>
      <c r="D588" s="2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2:24" s="27" customFormat="1" ht="15.75" customHeight="1" x14ac:dyDescent="0.25">
      <c r="B589" s="5"/>
      <c r="C589" s="5"/>
      <c r="D589" s="2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</sheetData>
  <sortState xmlns:xlrd2="http://schemas.microsoft.com/office/spreadsheetml/2017/richdata2" ref="A2:E207">
    <sortCondition ref="A2:A207"/>
    <sortCondition ref="B2:B207"/>
  </sortState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BB1A-62BE-415B-8CCD-17A851ED17D7}">
  <sheetPr codeName="Sheet8"/>
  <dimension ref="A1:H991"/>
  <sheetViews>
    <sheetView workbookViewId="0">
      <selection activeCell="B1" sqref="B1"/>
    </sheetView>
  </sheetViews>
  <sheetFormatPr defaultColWidth="14.42578125" defaultRowHeight="14.25" x14ac:dyDescent="0.25"/>
  <cols>
    <col min="1" max="1" width="29.28515625" style="8" bestFit="1" customWidth="1"/>
    <col min="2" max="2" width="22.7109375" style="5" bestFit="1" customWidth="1"/>
    <col min="3" max="3" width="37.7109375" style="5" bestFit="1" customWidth="1"/>
    <col min="4" max="4" width="22.85546875" style="5" bestFit="1" customWidth="1"/>
    <col min="5" max="5" width="18.7109375" style="5" bestFit="1" customWidth="1"/>
    <col min="6" max="6" width="21.140625" style="5" bestFit="1" customWidth="1"/>
    <col min="7" max="27" width="22.5703125" style="5" customWidth="1"/>
    <col min="28" max="16384" width="14.42578125" style="5"/>
  </cols>
  <sheetData>
    <row r="1" spans="1:8" s="8" customFormat="1" x14ac:dyDescent="0.25">
      <c r="B1" s="9" t="s">
        <v>165</v>
      </c>
      <c r="C1" s="9" t="s">
        <v>231</v>
      </c>
      <c r="D1" s="9" t="s">
        <v>170</v>
      </c>
      <c r="E1" s="10" t="s">
        <v>230</v>
      </c>
      <c r="F1" s="10" t="s">
        <v>167</v>
      </c>
    </row>
    <row r="2" spans="1:8" x14ac:dyDescent="0.25">
      <c r="A2" s="8" t="s">
        <v>227</v>
      </c>
      <c r="B2" s="6">
        <f>'1ST TERM ACCOUNT'!AC121</f>
        <v>0</v>
      </c>
      <c r="C2" s="6">
        <f>B2*0.7</f>
        <v>0</v>
      </c>
      <c r="D2" s="6"/>
      <c r="E2" s="11"/>
      <c r="F2" s="6">
        <f>$C$2-D2</f>
        <v>0</v>
      </c>
    </row>
    <row r="3" spans="1:8" x14ac:dyDescent="0.25">
      <c r="A3" s="8" t="s">
        <v>229</v>
      </c>
      <c r="B3" s="6">
        <f>SUMIF('1ST TERM ACCOUNT'!T2:T120,6000)</f>
        <v>210000</v>
      </c>
      <c r="C3" s="6"/>
      <c r="D3" s="6"/>
      <c r="E3" s="11"/>
      <c r="F3" s="6">
        <f>$C$2-(D2+D3)</f>
        <v>0</v>
      </c>
    </row>
    <row r="4" spans="1:8" x14ac:dyDescent="0.25">
      <c r="A4" s="8" t="s">
        <v>228</v>
      </c>
      <c r="B4" s="6">
        <f>B3-B2</f>
        <v>210000</v>
      </c>
      <c r="C4" s="6"/>
      <c r="D4" s="6"/>
      <c r="E4" s="11"/>
      <c r="F4" s="6">
        <f>$C$2-(D2+D3+D4)</f>
        <v>0</v>
      </c>
    </row>
    <row r="5" spans="1:8" x14ac:dyDescent="0.25">
      <c r="B5" s="6"/>
      <c r="C5" s="6"/>
      <c r="D5" s="6"/>
      <c r="E5" s="11"/>
      <c r="F5" s="6">
        <f>$C$2-(D2+D3+D4+D5)</f>
        <v>0</v>
      </c>
      <c r="H5" s="25"/>
    </row>
    <row r="6" spans="1:8" x14ac:dyDescent="0.25">
      <c r="B6" s="6"/>
      <c r="C6" s="6"/>
      <c r="D6" s="6"/>
      <c r="E6" s="11"/>
    </row>
    <row r="7" spans="1:8" s="8" customFormat="1" x14ac:dyDescent="0.25">
      <c r="B7" s="9" t="s">
        <v>168</v>
      </c>
      <c r="C7" s="9" t="s">
        <v>231</v>
      </c>
      <c r="D7" s="9" t="s">
        <v>170</v>
      </c>
      <c r="E7" s="10" t="s">
        <v>230</v>
      </c>
      <c r="F7" s="10" t="s">
        <v>167</v>
      </c>
    </row>
    <row r="8" spans="1:8" x14ac:dyDescent="0.25">
      <c r="A8" s="8" t="s">
        <v>227</v>
      </c>
      <c r="B8" s="6">
        <f>'1ST TERM ACCOUNT'!AD121</f>
        <v>0</v>
      </c>
      <c r="C8" s="6">
        <f>B8*0.7</f>
        <v>0</v>
      </c>
      <c r="D8" s="6"/>
      <c r="E8" s="11"/>
      <c r="F8" s="6">
        <f>$C$8-D8</f>
        <v>0</v>
      </c>
    </row>
    <row r="9" spans="1:8" x14ac:dyDescent="0.25">
      <c r="A9" s="8" t="s">
        <v>229</v>
      </c>
      <c r="B9" s="6">
        <f>SUMIF('1ST TERM ACCOUNT'!T2:T120,8000)</f>
        <v>48000</v>
      </c>
      <c r="C9" s="6"/>
      <c r="D9" s="6"/>
      <c r="E9" s="11"/>
      <c r="F9" s="6">
        <f>$C$8-(D8+D9)</f>
        <v>0</v>
      </c>
    </row>
    <row r="10" spans="1:8" x14ac:dyDescent="0.25">
      <c r="A10" s="8" t="s">
        <v>228</v>
      </c>
      <c r="B10" s="6">
        <f>B9-B8</f>
        <v>48000</v>
      </c>
      <c r="C10" s="6"/>
      <c r="D10" s="6"/>
      <c r="E10" s="11"/>
      <c r="F10" s="6">
        <f>$C$8-(D8+D9+D10)</f>
        <v>0</v>
      </c>
    </row>
    <row r="11" spans="1:8" x14ac:dyDescent="0.25">
      <c r="B11" s="6"/>
      <c r="C11" s="6"/>
      <c r="D11" s="6"/>
      <c r="E11" s="11"/>
      <c r="F11" s="6">
        <f>$C$8-(D8+D9+D10+D11)</f>
        <v>0</v>
      </c>
    </row>
    <row r="12" spans="1:8" x14ac:dyDescent="0.25">
      <c r="B12" s="6"/>
      <c r="C12" s="6"/>
      <c r="D12" s="6"/>
      <c r="E12" s="11"/>
    </row>
    <row r="13" spans="1:8" s="8" customFormat="1" x14ac:dyDescent="0.25">
      <c r="B13" s="9" t="s">
        <v>169</v>
      </c>
      <c r="C13" s="9" t="s">
        <v>232</v>
      </c>
      <c r="D13" s="9" t="s">
        <v>170</v>
      </c>
      <c r="E13" s="10" t="s">
        <v>230</v>
      </c>
      <c r="F13" s="10" t="s">
        <v>167</v>
      </c>
    </row>
    <row r="14" spans="1:8" x14ac:dyDescent="0.25">
      <c r="A14" s="8" t="s">
        <v>227</v>
      </c>
      <c r="B14" s="6">
        <f>'1ST TERM ACCOUNT'!AE121</f>
        <v>0</v>
      </c>
      <c r="C14" s="6">
        <f>B14</f>
        <v>0</v>
      </c>
      <c r="D14" s="6"/>
      <c r="E14" s="11"/>
      <c r="F14" s="6">
        <f>$C$14-D14</f>
        <v>0</v>
      </c>
    </row>
    <row r="15" spans="1:8" x14ac:dyDescent="0.25">
      <c r="A15" s="8" t="s">
        <v>229</v>
      </c>
      <c r="B15" s="6">
        <f>SUM('1ST TERM ACCOUNT'!W2:W120)</f>
        <v>0</v>
      </c>
      <c r="C15" s="6"/>
      <c r="D15" s="6"/>
      <c r="E15" s="11"/>
      <c r="F15" s="6">
        <f>$C$14-(D14+D15)</f>
        <v>0</v>
      </c>
    </row>
    <row r="16" spans="1:8" x14ac:dyDescent="0.25">
      <c r="A16" s="8" t="s">
        <v>228</v>
      </c>
      <c r="B16" s="6">
        <f>B15-B14</f>
        <v>0</v>
      </c>
      <c r="C16" s="6"/>
      <c r="D16" s="6"/>
      <c r="E16" s="11"/>
      <c r="F16" s="6">
        <f>$C$14-(D14+D15+D16)</f>
        <v>0</v>
      </c>
    </row>
    <row r="17" spans="2:6" x14ac:dyDescent="0.25">
      <c r="B17" s="6"/>
      <c r="C17" s="6"/>
      <c r="D17" s="6"/>
      <c r="E17" s="11"/>
      <c r="F17" s="6">
        <f>$C$14-(D14+D15+D16+D17)</f>
        <v>0</v>
      </c>
    </row>
    <row r="18" spans="2:6" x14ac:dyDescent="0.25">
      <c r="B18" s="6"/>
      <c r="C18" s="6"/>
      <c r="D18" s="6"/>
      <c r="E18" s="11"/>
      <c r="F18" s="6">
        <f>$C$14-(D15+D16+D17+D18+D14)</f>
        <v>0</v>
      </c>
    </row>
    <row r="19" spans="2:6" x14ac:dyDescent="0.25">
      <c r="B19" s="6"/>
      <c r="C19" s="6"/>
      <c r="D19" s="6"/>
      <c r="E19" s="11"/>
      <c r="F19" s="6">
        <f>$C$14-(D14+D15+D16+D17+D18+D19)</f>
        <v>0</v>
      </c>
    </row>
    <row r="20" spans="2:6" x14ac:dyDescent="0.25">
      <c r="B20" s="6"/>
      <c r="C20" s="6"/>
      <c r="D20" s="6"/>
      <c r="E20" s="11"/>
    </row>
    <row r="21" spans="2:6" x14ac:dyDescent="0.25">
      <c r="B21" s="6"/>
      <c r="C21" s="6"/>
      <c r="D21" s="6"/>
      <c r="E21" s="11"/>
    </row>
    <row r="22" spans="2:6" x14ac:dyDescent="0.25">
      <c r="B22" s="6"/>
      <c r="C22" s="6"/>
      <c r="D22" s="6"/>
      <c r="E22" s="11"/>
    </row>
    <row r="23" spans="2:6" x14ac:dyDescent="0.25">
      <c r="B23" s="6"/>
      <c r="C23" s="6"/>
      <c r="D23" s="6"/>
      <c r="E23" s="11"/>
    </row>
    <row r="24" spans="2:6" x14ac:dyDescent="0.25">
      <c r="B24" s="6"/>
      <c r="C24" s="6"/>
      <c r="D24" s="6"/>
      <c r="E24" s="11"/>
    </row>
    <row r="25" spans="2:6" x14ac:dyDescent="0.25">
      <c r="B25" s="6"/>
      <c r="C25" s="6"/>
      <c r="D25" s="6"/>
      <c r="E25" s="11"/>
    </row>
    <row r="26" spans="2:6" x14ac:dyDescent="0.25">
      <c r="B26" s="6"/>
      <c r="C26" s="6"/>
      <c r="D26" s="6"/>
      <c r="E26" s="11"/>
    </row>
    <row r="27" spans="2:6" x14ac:dyDescent="0.25">
      <c r="B27" s="6"/>
      <c r="C27" s="6"/>
      <c r="D27" s="6"/>
      <c r="E27" s="11"/>
    </row>
    <row r="28" spans="2:6" x14ac:dyDescent="0.25">
      <c r="B28" s="6"/>
      <c r="C28" s="6"/>
      <c r="D28" s="6"/>
      <c r="E28" s="11"/>
    </row>
    <row r="29" spans="2:6" x14ac:dyDescent="0.25">
      <c r="B29" s="6"/>
      <c r="C29" s="6"/>
      <c r="D29" s="6"/>
      <c r="E29" s="11"/>
    </row>
    <row r="30" spans="2:6" x14ac:dyDescent="0.25">
      <c r="B30" s="6"/>
      <c r="C30" s="6"/>
      <c r="D30" s="6"/>
      <c r="E30" s="11"/>
    </row>
    <row r="31" spans="2:6" x14ac:dyDescent="0.25">
      <c r="B31" s="6"/>
      <c r="C31" s="6"/>
      <c r="D31" s="6"/>
      <c r="E31" s="11"/>
    </row>
    <row r="32" spans="2:6" x14ac:dyDescent="0.25">
      <c r="B32" s="6"/>
      <c r="C32" s="6"/>
      <c r="D32" s="6"/>
      <c r="E32" s="11"/>
    </row>
    <row r="33" spans="2:5" x14ac:dyDescent="0.25">
      <c r="B33" s="6"/>
      <c r="C33" s="6"/>
      <c r="D33" s="6"/>
      <c r="E33" s="11"/>
    </row>
    <row r="34" spans="2:5" x14ac:dyDescent="0.25">
      <c r="B34" s="6"/>
      <c r="C34" s="6"/>
      <c r="D34" s="6"/>
      <c r="E34" s="11"/>
    </row>
    <row r="35" spans="2:5" x14ac:dyDescent="0.25">
      <c r="B35" s="6"/>
      <c r="C35" s="6"/>
      <c r="D35" s="6"/>
      <c r="E35" s="11"/>
    </row>
    <row r="36" spans="2:5" x14ac:dyDescent="0.25">
      <c r="B36" s="6"/>
      <c r="C36" s="6"/>
      <c r="D36" s="6"/>
      <c r="E36" s="11"/>
    </row>
    <row r="37" spans="2:5" x14ac:dyDescent="0.25">
      <c r="B37" s="6"/>
      <c r="C37" s="6"/>
      <c r="D37" s="6"/>
      <c r="E37" s="11"/>
    </row>
    <row r="38" spans="2:5" x14ac:dyDescent="0.25">
      <c r="B38" s="6"/>
      <c r="C38" s="6"/>
      <c r="D38" s="6"/>
      <c r="E38" s="11"/>
    </row>
    <row r="39" spans="2:5" x14ac:dyDescent="0.25">
      <c r="B39" s="6"/>
      <c r="C39" s="6"/>
      <c r="D39" s="6"/>
      <c r="E39" s="11"/>
    </row>
    <row r="40" spans="2:5" x14ac:dyDescent="0.25">
      <c r="B40" s="6"/>
      <c r="C40" s="6"/>
      <c r="D40" s="6"/>
      <c r="E40" s="11"/>
    </row>
    <row r="41" spans="2:5" x14ac:dyDescent="0.25">
      <c r="B41" s="6"/>
      <c r="C41" s="6"/>
      <c r="D41" s="6"/>
      <c r="E41" s="11"/>
    </row>
    <row r="42" spans="2:5" x14ac:dyDescent="0.25">
      <c r="B42" s="6"/>
      <c r="C42" s="6"/>
      <c r="D42" s="6"/>
      <c r="E42" s="11"/>
    </row>
    <row r="43" spans="2:5" x14ac:dyDescent="0.25">
      <c r="B43" s="6"/>
      <c r="C43" s="6"/>
      <c r="D43" s="6"/>
      <c r="E43" s="11"/>
    </row>
    <row r="44" spans="2:5" x14ac:dyDescent="0.25">
      <c r="B44" s="6"/>
      <c r="C44" s="6"/>
      <c r="D44" s="6"/>
      <c r="E44" s="11"/>
    </row>
    <row r="45" spans="2:5" x14ac:dyDescent="0.25">
      <c r="B45" s="6"/>
      <c r="C45" s="6"/>
      <c r="D45" s="6"/>
      <c r="E45" s="11"/>
    </row>
    <row r="46" spans="2:5" x14ac:dyDescent="0.25">
      <c r="B46" s="6"/>
      <c r="C46" s="6"/>
      <c r="D46" s="6"/>
      <c r="E46" s="11"/>
    </row>
    <row r="47" spans="2:5" x14ac:dyDescent="0.25">
      <c r="B47" s="6"/>
      <c r="C47" s="6"/>
      <c r="D47" s="6"/>
      <c r="E47" s="11"/>
    </row>
    <row r="48" spans="2:5" x14ac:dyDescent="0.25">
      <c r="B48" s="6"/>
      <c r="C48" s="6"/>
      <c r="D48" s="6"/>
      <c r="E48" s="11"/>
    </row>
    <row r="49" spans="2:5" x14ac:dyDescent="0.25">
      <c r="B49" s="6"/>
      <c r="C49" s="6"/>
      <c r="D49" s="6"/>
      <c r="E49" s="11"/>
    </row>
    <row r="50" spans="2:5" x14ac:dyDescent="0.25">
      <c r="B50" s="6"/>
      <c r="C50" s="6"/>
      <c r="D50" s="6"/>
      <c r="E50" s="11"/>
    </row>
    <row r="51" spans="2:5" x14ac:dyDescent="0.25">
      <c r="B51" s="6"/>
      <c r="C51" s="6"/>
      <c r="D51" s="6"/>
      <c r="E51" s="11"/>
    </row>
    <row r="52" spans="2:5" x14ac:dyDescent="0.25">
      <c r="B52" s="6"/>
      <c r="C52" s="6"/>
      <c r="D52" s="6"/>
      <c r="E52" s="11"/>
    </row>
    <row r="53" spans="2:5" x14ac:dyDescent="0.25">
      <c r="B53" s="6"/>
      <c r="C53" s="6"/>
      <c r="D53" s="6"/>
      <c r="E53" s="11"/>
    </row>
    <row r="54" spans="2:5" x14ac:dyDescent="0.25">
      <c r="B54" s="6"/>
      <c r="C54" s="6"/>
      <c r="D54" s="6"/>
      <c r="E54" s="11"/>
    </row>
    <row r="55" spans="2:5" x14ac:dyDescent="0.25">
      <c r="B55" s="6"/>
      <c r="C55" s="6"/>
      <c r="D55" s="6"/>
      <c r="E55" s="11"/>
    </row>
    <row r="56" spans="2:5" x14ac:dyDescent="0.25">
      <c r="B56" s="6"/>
      <c r="C56" s="6"/>
      <c r="D56" s="6"/>
      <c r="E56" s="11"/>
    </row>
    <row r="57" spans="2:5" x14ac:dyDescent="0.25">
      <c r="B57" s="6"/>
      <c r="C57" s="6"/>
      <c r="D57" s="6"/>
      <c r="E57" s="11"/>
    </row>
    <row r="58" spans="2:5" x14ac:dyDescent="0.25">
      <c r="B58" s="6"/>
      <c r="C58" s="6"/>
      <c r="D58" s="6"/>
      <c r="E58" s="11"/>
    </row>
    <row r="59" spans="2:5" x14ac:dyDescent="0.25">
      <c r="B59" s="6"/>
      <c r="C59" s="6"/>
      <c r="D59" s="6"/>
      <c r="E59" s="11"/>
    </row>
    <row r="60" spans="2:5" x14ac:dyDescent="0.25">
      <c r="B60" s="6"/>
      <c r="C60" s="6"/>
      <c r="D60" s="6"/>
      <c r="E60" s="11"/>
    </row>
    <row r="61" spans="2:5" x14ac:dyDescent="0.25">
      <c r="B61" s="6"/>
      <c r="C61" s="6"/>
      <c r="D61" s="6"/>
      <c r="E61" s="11"/>
    </row>
    <row r="62" spans="2:5" x14ac:dyDescent="0.25">
      <c r="B62" s="6"/>
      <c r="C62" s="6"/>
      <c r="D62" s="6"/>
      <c r="E62" s="11"/>
    </row>
    <row r="63" spans="2:5" x14ac:dyDescent="0.25">
      <c r="B63" s="6"/>
      <c r="C63" s="6"/>
      <c r="D63" s="6"/>
      <c r="E63" s="11"/>
    </row>
    <row r="64" spans="2:5" x14ac:dyDescent="0.25">
      <c r="B64" s="6"/>
      <c r="C64" s="6"/>
      <c r="D64" s="6"/>
      <c r="E64" s="11"/>
    </row>
    <row r="65" spans="2:5" x14ac:dyDescent="0.25">
      <c r="B65" s="6"/>
      <c r="C65" s="6"/>
      <c r="D65" s="6"/>
      <c r="E65" s="11"/>
    </row>
    <row r="66" spans="2:5" x14ac:dyDescent="0.25">
      <c r="B66" s="6"/>
      <c r="C66" s="6"/>
      <c r="D66" s="6"/>
      <c r="E66" s="11"/>
    </row>
    <row r="67" spans="2:5" x14ac:dyDescent="0.25">
      <c r="B67" s="6"/>
      <c r="C67" s="6"/>
      <c r="D67" s="6"/>
      <c r="E67" s="11"/>
    </row>
    <row r="68" spans="2:5" x14ac:dyDescent="0.25">
      <c r="B68" s="6"/>
      <c r="C68" s="6"/>
      <c r="D68" s="6"/>
      <c r="E68" s="11"/>
    </row>
    <row r="69" spans="2:5" x14ac:dyDescent="0.25">
      <c r="B69" s="6"/>
      <c r="C69" s="6"/>
      <c r="D69" s="6"/>
      <c r="E69" s="11"/>
    </row>
    <row r="70" spans="2:5" x14ac:dyDescent="0.25">
      <c r="B70" s="6"/>
      <c r="C70" s="6"/>
      <c r="D70" s="6"/>
      <c r="E70" s="11"/>
    </row>
    <row r="71" spans="2:5" x14ac:dyDescent="0.25">
      <c r="B71" s="6"/>
      <c r="C71" s="6"/>
      <c r="D71" s="6"/>
      <c r="E71" s="11"/>
    </row>
    <row r="72" spans="2:5" x14ac:dyDescent="0.25">
      <c r="B72" s="6"/>
      <c r="C72" s="6"/>
      <c r="D72" s="6"/>
      <c r="E72" s="11"/>
    </row>
    <row r="73" spans="2:5" x14ac:dyDescent="0.25">
      <c r="B73" s="6"/>
      <c r="C73" s="6"/>
      <c r="D73" s="6"/>
      <c r="E73" s="11"/>
    </row>
    <row r="74" spans="2:5" x14ac:dyDescent="0.25">
      <c r="B74" s="6"/>
      <c r="C74" s="6"/>
      <c r="D74" s="6"/>
      <c r="E74" s="11"/>
    </row>
    <row r="75" spans="2:5" x14ac:dyDescent="0.25">
      <c r="B75" s="6"/>
      <c r="C75" s="6"/>
      <c r="D75" s="6"/>
      <c r="E75" s="11"/>
    </row>
    <row r="76" spans="2:5" x14ac:dyDescent="0.25">
      <c r="B76" s="6"/>
      <c r="C76" s="6"/>
      <c r="D76" s="6"/>
      <c r="E76" s="11"/>
    </row>
    <row r="77" spans="2:5" x14ac:dyDescent="0.25">
      <c r="B77" s="6"/>
      <c r="C77" s="6"/>
      <c r="D77" s="6"/>
      <c r="E77" s="11"/>
    </row>
    <row r="78" spans="2:5" x14ac:dyDescent="0.25">
      <c r="B78" s="6"/>
      <c r="C78" s="6"/>
      <c r="D78" s="6"/>
      <c r="E78" s="11"/>
    </row>
    <row r="79" spans="2:5" x14ac:dyDescent="0.25">
      <c r="B79" s="6"/>
      <c r="C79" s="6"/>
      <c r="D79" s="6"/>
      <c r="E79" s="11"/>
    </row>
    <row r="80" spans="2:5" x14ac:dyDescent="0.25">
      <c r="B80" s="6"/>
      <c r="C80" s="6"/>
      <c r="D80" s="6"/>
      <c r="E80" s="11"/>
    </row>
    <row r="81" spans="2:5" x14ac:dyDescent="0.25">
      <c r="B81" s="6"/>
      <c r="C81" s="6"/>
      <c r="D81" s="6"/>
      <c r="E81" s="11"/>
    </row>
    <row r="82" spans="2:5" x14ac:dyDescent="0.25">
      <c r="B82" s="6"/>
      <c r="C82" s="6"/>
      <c r="D82" s="6"/>
      <c r="E82" s="11"/>
    </row>
    <row r="83" spans="2:5" x14ac:dyDescent="0.25">
      <c r="B83" s="6"/>
      <c r="C83" s="6"/>
      <c r="D83" s="6"/>
      <c r="E83" s="11"/>
    </row>
    <row r="84" spans="2:5" x14ac:dyDescent="0.25">
      <c r="B84" s="6"/>
      <c r="C84" s="6"/>
      <c r="D84" s="6"/>
      <c r="E84" s="11"/>
    </row>
    <row r="85" spans="2:5" x14ac:dyDescent="0.25">
      <c r="B85" s="6"/>
      <c r="C85" s="6"/>
      <c r="D85" s="6"/>
      <c r="E85" s="11"/>
    </row>
    <row r="86" spans="2:5" x14ac:dyDescent="0.25">
      <c r="B86" s="6"/>
      <c r="C86" s="6"/>
      <c r="D86" s="6"/>
      <c r="E86" s="11"/>
    </row>
    <row r="87" spans="2:5" x14ac:dyDescent="0.25">
      <c r="B87" s="6"/>
      <c r="C87" s="6"/>
      <c r="D87" s="6"/>
      <c r="E87" s="11"/>
    </row>
    <row r="88" spans="2:5" x14ac:dyDescent="0.25">
      <c r="B88" s="6"/>
      <c r="C88" s="6"/>
      <c r="D88" s="6"/>
      <c r="E88" s="11"/>
    </row>
    <row r="89" spans="2:5" x14ac:dyDescent="0.25">
      <c r="B89" s="6"/>
      <c r="C89" s="6"/>
      <c r="D89" s="6"/>
      <c r="E89" s="11"/>
    </row>
    <row r="90" spans="2:5" x14ac:dyDescent="0.25">
      <c r="B90" s="6"/>
      <c r="C90" s="6"/>
      <c r="D90" s="6"/>
      <c r="E90" s="11"/>
    </row>
    <row r="91" spans="2:5" x14ac:dyDescent="0.25">
      <c r="B91" s="6"/>
      <c r="C91" s="6"/>
      <c r="D91" s="6"/>
      <c r="E91" s="11"/>
    </row>
    <row r="92" spans="2:5" x14ac:dyDescent="0.25">
      <c r="B92" s="6"/>
      <c r="C92" s="6"/>
      <c r="D92" s="6"/>
      <c r="E92" s="11"/>
    </row>
    <row r="93" spans="2:5" x14ac:dyDescent="0.25">
      <c r="B93" s="6"/>
      <c r="C93" s="6"/>
      <c r="D93" s="6"/>
      <c r="E93" s="11"/>
    </row>
    <row r="94" spans="2:5" x14ac:dyDescent="0.25">
      <c r="B94" s="6"/>
      <c r="C94" s="6"/>
      <c r="D94" s="6"/>
      <c r="E94" s="11"/>
    </row>
    <row r="95" spans="2:5" x14ac:dyDescent="0.25">
      <c r="B95" s="6"/>
      <c r="C95" s="6"/>
      <c r="D95" s="6"/>
      <c r="E95" s="11"/>
    </row>
    <row r="96" spans="2:5" x14ac:dyDescent="0.25">
      <c r="B96" s="6"/>
      <c r="C96" s="6"/>
      <c r="D96" s="6"/>
      <c r="E96" s="11"/>
    </row>
    <row r="97" spans="2:5" x14ac:dyDescent="0.25">
      <c r="B97" s="6"/>
      <c r="C97" s="6"/>
      <c r="D97" s="6"/>
      <c r="E97" s="11"/>
    </row>
    <row r="98" spans="2:5" x14ac:dyDescent="0.25">
      <c r="B98" s="6"/>
      <c r="C98" s="6"/>
      <c r="D98" s="6"/>
      <c r="E98" s="11"/>
    </row>
    <row r="99" spans="2:5" x14ac:dyDescent="0.25">
      <c r="B99" s="6"/>
      <c r="C99" s="6"/>
      <c r="D99" s="6"/>
      <c r="E99" s="11"/>
    </row>
    <row r="100" spans="2:5" x14ac:dyDescent="0.25">
      <c r="B100" s="6"/>
      <c r="C100" s="6"/>
      <c r="D100" s="6"/>
      <c r="E100" s="11"/>
    </row>
    <row r="101" spans="2:5" x14ac:dyDescent="0.25">
      <c r="B101" s="6"/>
      <c r="C101" s="6"/>
      <c r="D101" s="6"/>
      <c r="E101" s="11"/>
    </row>
    <row r="102" spans="2:5" x14ac:dyDescent="0.25">
      <c r="B102" s="6"/>
      <c r="C102" s="6"/>
      <c r="D102" s="6"/>
      <c r="E102" s="11"/>
    </row>
    <row r="103" spans="2:5" x14ac:dyDescent="0.25">
      <c r="B103" s="6"/>
      <c r="C103" s="6"/>
      <c r="D103" s="6"/>
      <c r="E103" s="11"/>
    </row>
    <row r="104" spans="2:5" x14ac:dyDescent="0.25">
      <c r="B104" s="6"/>
      <c r="C104" s="6"/>
      <c r="D104" s="6"/>
      <c r="E104" s="11"/>
    </row>
    <row r="105" spans="2:5" x14ac:dyDescent="0.25">
      <c r="B105" s="6"/>
      <c r="C105" s="6"/>
      <c r="D105" s="6"/>
      <c r="E105" s="11"/>
    </row>
    <row r="106" spans="2:5" x14ac:dyDescent="0.25">
      <c r="B106" s="6"/>
      <c r="C106" s="6"/>
      <c r="D106" s="6"/>
      <c r="E106" s="11"/>
    </row>
    <row r="107" spans="2:5" x14ac:dyDescent="0.25">
      <c r="B107" s="6"/>
      <c r="C107" s="6"/>
      <c r="D107" s="6"/>
      <c r="E107" s="11"/>
    </row>
    <row r="108" spans="2:5" x14ac:dyDescent="0.25">
      <c r="B108" s="6"/>
      <c r="C108" s="6"/>
      <c r="D108" s="6"/>
      <c r="E108" s="11"/>
    </row>
    <row r="109" spans="2:5" x14ac:dyDescent="0.25">
      <c r="B109" s="6"/>
      <c r="C109" s="6"/>
      <c r="D109" s="6"/>
      <c r="E109" s="11"/>
    </row>
    <row r="110" spans="2:5" x14ac:dyDescent="0.25">
      <c r="B110" s="6"/>
      <c r="C110" s="6"/>
      <c r="D110" s="6"/>
      <c r="E110" s="11"/>
    </row>
    <row r="111" spans="2:5" x14ac:dyDescent="0.25">
      <c r="B111" s="6"/>
      <c r="C111" s="6"/>
      <c r="D111" s="6"/>
      <c r="E111" s="11"/>
    </row>
    <row r="112" spans="2:5" x14ac:dyDescent="0.25">
      <c r="B112" s="6"/>
      <c r="C112" s="6"/>
      <c r="D112" s="6"/>
      <c r="E112" s="11"/>
    </row>
    <row r="113" spans="2:5" x14ac:dyDescent="0.25">
      <c r="B113" s="6"/>
      <c r="C113" s="6"/>
      <c r="D113" s="6"/>
      <c r="E113" s="11"/>
    </row>
    <row r="114" spans="2:5" x14ac:dyDescent="0.25">
      <c r="B114" s="6"/>
      <c r="C114" s="6"/>
      <c r="D114" s="6"/>
      <c r="E114" s="11"/>
    </row>
    <row r="115" spans="2:5" x14ac:dyDescent="0.25">
      <c r="B115" s="6"/>
      <c r="C115" s="6"/>
      <c r="D115" s="6"/>
      <c r="E115" s="11"/>
    </row>
    <row r="116" spans="2:5" x14ac:dyDescent="0.25">
      <c r="B116" s="6"/>
      <c r="C116" s="6"/>
      <c r="D116" s="6"/>
      <c r="E116" s="11"/>
    </row>
    <row r="117" spans="2:5" x14ac:dyDescent="0.25">
      <c r="B117" s="6"/>
      <c r="C117" s="6"/>
      <c r="D117" s="6"/>
      <c r="E117" s="11"/>
    </row>
    <row r="118" spans="2:5" x14ac:dyDescent="0.25">
      <c r="B118" s="6"/>
      <c r="C118" s="6"/>
      <c r="D118" s="6"/>
      <c r="E118" s="11"/>
    </row>
    <row r="119" spans="2:5" x14ac:dyDescent="0.25">
      <c r="B119" s="6"/>
      <c r="C119" s="6"/>
      <c r="D119" s="6"/>
      <c r="E119" s="11"/>
    </row>
    <row r="120" spans="2:5" x14ac:dyDescent="0.25">
      <c r="B120" s="6"/>
      <c r="C120" s="6"/>
      <c r="D120" s="6"/>
      <c r="E120" s="11"/>
    </row>
    <row r="121" spans="2:5" x14ac:dyDescent="0.25">
      <c r="B121" s="6"/>
      <c r="C121" s="6"/>
      <c r="D121" s="6"/>
      <c r="E121" s="11"/>
    </row>
    <row r="122" spans="2:5" x14ac:dyDescent="0.25">
      <c r="B122" s="6"/>
      <c r="C122" s="6"/>
      <c r="D122" s="6"/>
      <c r="E122" s="11"/>
    </row>
    <row r="123" spans="2:5" x14ac:dyDescent="0.25">
      <c r="B123" s="6"/>
      <c r="C123" s="6"/>
      <c r="D123" s="6"/>
      <c r="E123" s="11"/>
    </row>
    <row r="124" spans="2:5" x14ac:dyDescent="0.25">
      <c r="B124" s="6"/>
      <c r="C124" s="6"/>
      <c r="D124" s="6"/>
      <c r="E124" s="11"/>
    </row>
    <row r="125" spans="2:5" x14ac:dyDescent="0.25">
      <c r="B125" s="6"/>
      <c r="C125" s="6"/>
      <c r="D125" s="6"/>
      <c r="E125" s="11"/>
    </row>
    <row r="126" spans="2:5" x14ac:dyDescent="0.25">
      <c r="B126" s="6"/>
      <c r="C126" s="6"/>
      <c r="D126" s="6"/>
      <c r="E126" s="11"/>
    </row>
    <row r="127" spans="2:5" x14ac:dyDescent="0.25">
      <c r="B127" s="6"/>
      <c r="C127" s="6"/>
      <c r="D127" s="6"/>
      <c r="E127" s="11"/>
    </row>
    <row r="128" spans="2:5" x14ac:dyDescent="0.25">
      <c r="B128" s="6"/>
      <c r="C128" s="6"/>
      <c r="D128" s="6"/>
      <c r="E128" s="11"/>
    </row>
    <row r="129" spans="2:5" x14ac:dyDescent="0.25">
      <c r="B129" s="6"/>
      <c r="C129" s="6"/>
      <c r="D129" s="6"/>
      <c r="E129" s="11"/>
    </row>
    <row r="130" spans="2:5" x14ac:dyDescent="0.25">
      <c r="B130" s="6"/>
      <c r="C130" s="6"/>
      <c r="D130" s="6"/>
      <c r="E130" s="11"/>
    </row>
    <row r="131" spans="2:5" x14ac:dyDescent="0.25">
      <c r="B131" s="6"/>
      <c r="C131" s="6"/>
      <c r="D131" s="6"/>
      <c r="E131" s="11"/>
    </row>
    <row r="132" spans="2:5" x14ac:dyDescent="0.25">
      <c r="B132" s="6"/>
      <c r="C132" s="6"/>
      <c r="D132" s="6"/>
      <c r="E132" s="11"/>
    </row>
    <row r="133" spans="2:5" x14ac:dyDescent="0.25">
      <c r="B133" s="6"/>
      <c r="C133" s="6"/>
      <c r="D133" s="6"/>
      <c r="E133" s="11"/>
    </row>
    <row r="134" spans="2:5" x14ac:dyDescent="0.25">
      <c r="B134" s="6"/>
      <c r="C134" s="6"/>
      <c r="D134" s="6"/>
      <c r="E134" s="11"/>
    </row>
    <row r="135" spans="2:5" x14ac:dyDescent="0.25">
      <c r="B135" s="6"/>
      <c r="C135" s="6"/>
      <c r="D135" s="6"/>
      <c r="E135" s="11"/>
    </row>
    <row r="136" spans="2:5" x14ac:dyDescent="0.25">
      <c r="B136" s="6"/>
      <c r="C136" s="6"/>
      <c r="D136" s="6"/>
      <c r="E136" s="11"/>
    </row>
    <row r="137" spans="2:5" x14ac:dyDescent="0.25">
      <c r="B137" s="6"/>
      <c r="C137" s="6"/>
      <c r="D137" s="6"/>
      <c r="E137" s="11"/>
    </row>
    <row r="138" spans="2:5" x14ac:dyDescent="0.25">
      <c r="B138" s="6"/>
      <c r="C138" s="6"/>
      <c r="D138" s="6"/>
      <c r="E138" s="11"/>
    </row>
    <row r="139" spans="2:5" x14ac:dyDescent="0.25">
      <c r="B139" s="6"/>
      <c r="C139" s="6"/>
      <c r="D139" s="6"/>
      <c r="E139" s="11"/>
    </row>
    <row r="140" spans="2:5" x14ac:dyDescent="0.25">
      <c r="B140" s="6"/>
      <c r="C140" s="6"/>
      <c r="D140" s="6"/>
      <c r="E140" s="11"/>
    </row>
    <row r="141" spans="2:5" x14ac:dyDescent="0.25">
      <c r="B141" s="6"/>
      <c r="C141" s="6"/>
      <c r="D141" s="6"/>
      <c r="E141" s="11"/>
    </row>
    <row r="142" spans="2:5" x14ac:dyDescent="0.25">
      <c r="B142" s="6"/>
      <c r="C142" s="6"/>
      <c r="D142" s="6"/>
      <c r="E142" s="11"/>
    </row>
    <row r="143" spans="2:5" x14ac:dyDescent="0.25">
      <c r="B143" s="6"/>
      <c r="C143" s="6"/>
      <c r="D143" s="6"/>
      <c r="E143" s="11"/>
    </row>
    <row r="144" spans="2:5" x14ac:dyDescent="0.25">
      <c r="B144" s="6"/>
      <c r="C144" s="6"/>
      <c r="D144" s="6"/>
      <c r="E144" s="11"/>
    </row>
    <row r="145" spans="2:5" x14ac:dyDescent="0.25">
      <c r="B145" s="6"/>
      <c r="C145" s="6"/>
      <c r="D145" s="6"/>
      <c r="E145" s="11"/>
    </row>
    <row r="146" spans="2:5" x14ac:dyDescent="0.25">
      <c r="B146" s="6"/>
      <c r="C146" s="6"/>
      <c r="D146" s="6"/>
      <c r="E146" s="11"/>
    </row>
    <row r="147" spans="2:5" x14ac:dyDescent="0.25">
      <c r="B147" s="6"/>
      <c r="C147" s="6"/>
      <c r="D147" s="6"/>
      <c r="E147" s="11"/>
    </row>
    <row r="148" spans="2:5" x14ac:dyDescent="0.25">
      <c r="B148" s="6"/>
      <c r="C148" s="6"/>
      <c r="D148" s="6"/>
      <c r="E148" s="11"/>
    </row>
    <row r="149" spans="2:5" x14ac:dyDescent="0.25">
      <c r="B149" s="6"/>
      <c r="C149" s="6"/>
      <c r="D149" s="6"/>
      <c r="E149" s="11"/>
    </row>
    <row r="150" spans="2:5" x14ac:dyDescent="0.25">
      <c r="B150" s="6"/>
      <c r="C150" s="6"/>
      <c r="D150" s="6"/>
      <c r="E150" s="11"/>
    </row>
    <row r="151" spans="2:5" x14ac:dyDescent="0.25">
      <c r="B151" s="6"/>
      <c r="C151" s="6"/>
      <c r="D151" s="6"/>
      <c r="E151" s="11"/>
    </row>
    <row r="152" spans="2:5" x14ac:dyDescent="0.25">
      <c r="B152" s="6"/>
      <c r="C152" s="6"/>
      <c r="D152" s="6"/>
      <c r="E152" s="11"/>
    </row>
    <row r="153" spans="2:5" x14ac:dyDescent="0.25">
      <c r="B153" s="6"/>
      <c r="C153" s="6"/>
      <c r="D153" s="6"/>
      <c r="E153" s="11"/>
    </row>
    <row r="154" spans="2:5" x14ac:dyDescent="0.25">
      <c r="B154" s="6"/>
      <c r="C154" s="6"/>
      <c r="D154" s="6"/>
      <c r="E154" s="11"/>
    </row>
    <row r="155" spans="2:5" x14ac:dyDescent="0.25">
      <c r="B155" s="6"/>
      <c r="C155" s="6"/>
      <c r="D155" s="6"/>
      <c r="E155" s="11"/>
    </row>
    <row r="156" spans="2:5" x14ac:dyDescent="0.25">
      <c r="B156" s="6"/>
      <c r="C156" s="6"/>
      <c r="D156" s="6"/>
      <c r="E156" s="11"/>
    </row>
    <row r="157" spans="2:5" x14ac:dyDescent="0.25">
      <c r="B157" s="6"/>
      <c r="C157" s="6"/>
      <c r="D157" s="6"/>
      <c r="E157" s="11"/>
    </row>
    <row r="158" spans="2:5" x14ac:dyDescent="0.25">
      <c r="B158" s="6"/>
      <c r="C158" s="6"/>
      <c r="D158" s="6"/>
      <c r="E158" s="11"/>
    </row>
    <row r="159" spans="2:5" x14ac:dyDescent="0.25">
      <c r="B159" s="6"/>
      <c r="C159" s="6"/>
      <c r="D159" s="6"/>
      <c r="E159" s="11"/>
    </row>
    <row r="160" spans="2:5" x14ac:dyDescent="0.25">
      <c r="B160" s="6"/>
      <c r="C160" s="6"/>
      <c r="D160" s="6"/>
      <c r="E160" s="11"/>
    </row>
    <row r="161" spans="2:5" x14ac:dyDescent="0.25">
      <c r="B161" s="6"/>
      <c r="C161" s="6"/>
      <c r="D161" s="6"/>
      <c r="E161" s="11"/>
    </row>
    <row r="162" spans="2:5" x14ac:dyDescent="0.25">
      <c r="B162" s="6"/>
      <c r="C162" s="6"/>
      <c r="D162" s="6"/>
      <c r="E162" s="11"/>
    </row>
    <row r="163" spans="2:5" x14ac:dyDescent="0.25">
      <c r="B163" s="6"/>
      <c r="C163" s="6"/>
      <c r="D163" s="6"/>
      <c r="E163" s="11"/>
    </row>
    <row r="164" spans="2:5" x14ac:dyDescent="0.25">
      <c r="B164" s="6"/>
      <c r="C164" s="6"/>
      <c r="D164" s="6"/>
      <c r="E164" s="11"/>
    </row>
    <row r="165" spans="2:5" x14ac:dyDescent="0.25">
      <c r="B165" s="6"/>
      <c r="C165" s="6"/>
      <c r="D165" s="6"/>
      <c r="E165" s="11"/>
    </row>
    <row r="166" spans="2:5" x14ac:dyDescent="0.25">
      <c r="B166" s="6"/>
      <c r="C166" s="6"/>
      <c r="D166" s="6"/>
      <c r="E166" s="11"/>
    </row>
    <row r="167" spans="2:5" x14ac:dyDescent="0.25">
      <c r="B167" s="6"/>
      <c r="C167" s="6"/>
      <c r="D167" s="6"/>
      <c r="E167" s="11"/>
    </row>
    <row r="168" spans="2:5" x14ac:dyDescent="0.25">
      <c r="B168" s="6"/>
      <c r="C168" s="6"/>
      <c r="D168" s="6"/>
      <c r="E168" s="11"/>
    </row>
    <row r="169" spans="2:5" x14ac:dyDescent="0.25">
      <c r="B169" s="6"/>
      <c r="C169" s="6"/>
      <c r="D169" s="6"/>
      <c r="E169" s="11"/>
    </row>
    <row r="170" spans="2:5" x14ac:dyDescent="0.25">
      <c r="B170" s="6"/>
      <c r="C170" s="6"/>
      <c r="D170" s="6"/>
      <c r="E170" s="11"/>
    </row>
    <row r="171" spans="2:5" x14ac:dyDescent="0.25">
      <c r="B171" s="6"/>
      <c r="C171" s="6"/>
      <c r="D171" s="6"/>
      <c r="E171" s="11"/>
    </row>
    <row r="172" spans="2:5" x14ac:dyDescent="0.25">
      <c r="B172" s="6"/>
      <c r="C172" s="6"/>
      <c r="D172" s="6"/>
      <c r="E172" s="11"/>
    </row>
    <row r="173" spans="2:5" x14ac:dyDescent="0.25">
      <c r="B173" s="6"/>
      <c r="C173" s="6"/>
      <c r="D173" s="6"/>
      <c r="E173" s="11"/>
    </row>
    <row r="174" spans="2:5" x14ac:dyDescent="0.25">
      <c r="B174" s="6"/>
      <c r="C174" s="6"/>
      <c r="D174" s="6"/>
      <c r="E174" s="11"/>
    </row>
    <row r="175" spans="2:5" x14ac:dyDescent="0.25">
      <c r="B175" s="6"/>
      <c r="C175" s="6"/>
      <c r="D175" s="6"/>
      <c r="E175" s="11"/>
    </row>
    <row r="176" spans="2:5" x14ac:dyDescent="0.25">
      <c r="B176" s="6"/>
      <c r="C176" s="6"/>
      <c r="D176" s="6"/>
      <c r="E176" s="11"/>
    </row>
    <row r="177" spans="2:5" x14ac:dyDescent="0.25">
      <c r="B177" s="6"/>
      <c r="C177" s="6"/>
      <c r="D177" s="6"/>
      <c r="E177" s="11"/>
    </row>
    <row r="178" spans="2:5" x14ac:dyDescent="0.25">
      <c r="B178" s="6"/>
      <c r="C178" s="6"/>
      <c r="D178" s="6"/>
      <c r="E178" s="11"/>
    </row>
    <row r="179" spans="2:5" x14ac:dyDescent="0.25">
      <c r="B179" s="6"/>
      <c r="C179" s="6"/>
      <c r="D179" s="6"/>
      <c r="E179" s="11"/>
    </row>
    <row r="180" spans="2:5" x14ac:dyDescent="0.25">
      <c r="B180" s="6"/>
      <c r="C180" s="6"/>
      <c r="D180" s="6"/>
      <c r="E180" s="11"/>
    </row>
    <row r="181" spans="2:5" x14ac:dyDescent="0.25">
      <c r="B181" s="6"/>
      <c r="C181" s="6"/>
      <c r="D181" s="6"/>
      <c r="E181" s="11"/>
    </row>
    <row r="182" spans="2:5" x14ac:dyDescent="0.25">
      <c r="B182" s="6"/>
      <c r="C182" s="6"/>
      <c r="D182" s="6"/>
      <c r="E182" s="11"/>
    </row>
    <row r="183" spans="2:5" x14ac:dyDescent="0.25">
      <c r="B183" s="6"/>
      <c r="C183" s="6"/>
      <c r="D183" s="6"/>
      <c r="E183" s="11"/>
    </row>
    <row r="184" spans="2:5" x14ac:dyDescent="0.25">
      <c r="B184" s="6"/>
      <c r="C184" s="6"/>
      <c r="D184" s="6"/>
      <c r="E184" s="11"/>
    </row>
    <row r="185" spans="2:5" x14ac:dyDescent="0.25">
      <c r="B185" s="6"/>
      <c r="C185" s="6"/>
      <c r="D185" s="6"/>
      <c r="E185" s="11"/>
    </row>
    <row r="186" spans="2:5" x14ac:dyDescent="0.25">
      <c r="B186" s="6"/>
      <c r="C186" s="6"/>
      <c r="D186" s="6"/>
      <c r="E186" s="11"/>
    </row>
    <row r="187" spans="2:5" x14ac:dyDescent="0.25">
      <c r="B187" s="6"/>
      <c r="C187" s="6"/>
      <c r="D187" s="6"/>
      <c r="E187" s="11"/>
    </row>
    <row r="188" spans="2:5" x14ac:dyDescent="0.25">
      <c r="B188" s="6"/>
      <c r="C188" s="6"/>
      <c r="D188" s="6"/>
      <c r="E188" s="11"/>
    </row>
    <row r="189" spans="2:5" x14ac:dyDescent="0.25">
      <c r="B189" s="6"/>
      <c r="C189" s="6"/>
      <c r="D189" s="6"/>
      <c r="E189" s="11"/>
    </row>
    <row r="190" spans="2:5" x14ac:dyDescent="0.25">
      <c r="B190" s="6"/>
      <c r="C190" s="6"/>
      <c r="D190" s="6"/>
      <c r="E190" s="11"/>
    </row>
    <row r="191" spans="2:5" x14ac:dyDescent="0.25">
      <c r="B191" s="6"/>
      <c r="C191" s="6"/>
      <c r="D191" s="6"/>
      <c r="E191" s="11"/>
    </row>
    <row r="192" spans="2:5" x14ac:dyDescent="0.25">
      <c r="B192" s="6"/>
      <c r="C192" s="6"/>
      <c r="D192" s="6"/>
      <c r="E192" s="11"/>
    </row>
    <row r="193" spans="2:5" x14ac:dyDescent="0.25">
      <c r="B193" s="6"/>
      <c r="C193" s="6"/>
      <c r="D193" s="6"/>
      <c r="E193" s="11"/>
    </row>
    <row r="194" spans="2:5" x14ac:dyDescent="0.25">
      <c r="B194" s="6"/>
      <c r="C194" s="6"/>
      <c r="D194" s="6"/>
      <c r="E194" s="11"/>
    </row>
    <row r="195" spans="2:5" x14ac:dyDescent="0.25">
      <c r="B195" s="6"/>
      <c r="C195" s="6"/>
      <c r="D195" s="6"/>
      <c r="E195" s="11"/>
    </row>
    <row r="196" spans="2:5" x14ac:dyDescent="0.25">
      <c r="B196" s="6"/>
      <c r="C196" s="6"/>
      <c r="D196" s="6"/>
      <c r="E196" s="11"/>
    </row>
    <row r="197" spans="2:5" x14ac:dyDescent="0.25">
      <c r="B197" s="6"/>
      <c r="C197" s="6"/>
      <c r="D197" s="6"/>
      <c r="E197" s="11"/>
    </row>
    <row r="198" spans="2:5" x14ac:dyDescent="0.25">
      <c r="B198" s="6"/>
      <c r="C198" s="6"/>
      <c r="D198" s="6"/>
      <c r="E198" s="11"/>
    </row>
    <row r="199" spans="2:5" x14ac:dyDescent="0.25">
      <c r="B199" s="6"/>
      <c r="C199" s="6"/>
      <c r="D199" s="6"/>
      <c r="E199" s="11"/>
    </row>
    <row r="200" spans="2:5" x14ac:dyDescent="0.25">
      <c r="B200" s="6"/>
      <c r="C200" s="6"/>
      <c r="D200" s="6"/>
      <c r="E200" s="11"/>
    </row>
    <row r="201" spans="2:5" x14ac:dyDescent="0.25">
      <c r="B201" s="6"/>
      <c r="C201" s="6"/>
      <c r="D201" s="6"/>
      <c r="E201" s="11"/>
    </row>
    <row r="202" spans="2:5" x14ac:dyDescent="0.25">
      <c r="B202" s="6"/>
      <c r="C202" s="6"/>
      <c r="D202" s="6"/>
      <c r="E202" s="11"/>
    </row>
    <row r="203" spans="2:5" x14ac:dyDescent="0.25">
      <c r="B203" s="6"/>
      <c r="C203" s="6"/>
      <c r="D203" s="6"/>
      <c r="E203" s="11"/>
    </row>
    <row r="204" spans="2:5" x14ac:dyDescent="0.25">
      <c r="B204" s="6"/>
      <c r="C204" s="6"/>
      <c r="D204" s="6"/>
      <c r="E204" s="11"/>
    </row>
    <row r="205" spans="2:5" x14ac:dyDescent="0.25">
      <c r="B205" s="6"/>
      <c r="C205" s="6"/>
      <c r="D205" s="6"/>
      <c r="E205" s="11"/>
    </row>
    <row r="206" spans="2:5" x14ac:dyDescent="0.25">
      <c r="B206" s="6"/>
      <c r="C206" s="6"/>
      <c r="D206" s="6"/>
      <c r="E206" s="11"/>
    </row>
    <row r="207" spans="2:5" x14ac:dyDescent="0.25">
      <c r="B207" s="6"/>
      <c r="C207" s="6"/>
      <c r="D207" s="6"/>
      <c r="E207" s="11"/>
    </row>
    <row r="208" spans="2:5" x14ac:dyDescent="0.25">
      <c r="B208" s="6"/>
      <c r="C208" s="6"/>
      <c r="D208" s="6"/>
      <c r="E208" s="11"/>
    </row>
    <row r="209" spans="2:5" x14ac:dyDescent="0.25">
      <c r="B209" s="6"/>
      <c r="C209" s="6"/>
      <c r="D209" s="6"/>
      <c r="E209" s="11"/>
    </row>
    <row r="210" spans="2:5" x14ac:dyDescent="0.25">
      <c r="B210" s="6"/>
      <c r="C210" s="6"/>
      <c r="D210" s="6"/>
      <c r="E210" s="11"/>
    </row>
    <row r="211" spans="2:5" x14ac:dyDescent="0.25">
      <c r="B211" s="6"/>
      <c r="C211" s="6"/>
      <c r="D211" s="6"/>
      <c r="E211" s="11"/>
    </row>
    <row r="212" spans="2:5" x14ac:dyDescent="0.25">
      <c r="B212" s="6"/>
      <c r="C212" s="6"/>
      <c r="D212" s="6"/>
      <c r="E212" s="11"/>
    </row>
    <row r="213" spans="2:5" x14ac:dyDescent="0.25">
      <c r="B213" s="6"/>
      <c r="C213" s="6"/>
      <c r="D213" s="6"/>
      <c r="E213" s="11"/>
    </row>
    <row r="214" spans="2:5" x14ac:dyDescent="0.25">
      <c r="B214" s="6"/>
      <c r="C214" s="6"/>
      <c r="D214" s="6"/>
      <c r="E214" s="11"/>
    </row>
    <row r="215" spans="2:5" x14ac:dyDescent="0.25">
      <c r="B215" s="6"/>
      <c r="C215" s="6"/>
      <c r="D215" s="6"/>
      <c r="E215" s="11"/>
    </row>
    <row r="216" spans="2:5" x14ac:dyDescent="0.25">
      <c r="B216" s="6"/>
      <c r="C216" s="6"/>
      <c r="D216" s="6"/>
      <c r="E216" s="11"/>
    </row>
    <row r="217" spans="2:5" x14ac:dyDescent="0.25">
      <c r="B217" s="6"/>
      <c r="C217" s="6"/>
      <c r="D217" s="6"/>
      <c r="E217" s="11"/>
    </row>
    <row r="218" spans="2:5" x14ac:dyDescent="0.25">
      <c r="B218" s="6"/>
      <c r="C218" s="6"/>
      <c r="D218" s="6"/>
      <c r="E218" s="11"/>
    </row>
    <row r="219" spans="2:5" x14ac:dyDescent="0.25">
      <c r="B219" s="6"/>
      <c r="C219" s="6"/>
      <c r="D219" s="6"/>
      <c r="E219" s="11"/>
    </row>
    <row r="220" spans="2:5" x14ac:dyDescent="0.25">
      <c r="B220" s="6"/>
      <c r="C220" s="6"/>
      <c r="D220" s="6"/>
      <c r="E220" s="11"/>
    </row>
    <row r="221" spans="2:5" x14ac:dyDescent="0.25">
      <c r="B221" s="6"/>
      <c r="C221" s="6"/>
      <c r="D221" s="6"/>
      <c r="E221" s="11"/>
    </row>
    <row r="222" spans="2:5" x14ac:dyDescent="0.25">
      <c r="B222" s="6"/>
      <c r="C222" s="6"/>
      <c r="D222" s="6"/>
      <c r="E222" s="11"/>
    </row>
    <row r="223" spans="2:5" x14ac:dyDescent="0.25">
      <c r="B223" s="6"/>
      <c r="C223" s="6"/>
      <c r="D223" s="6"/>
      <c r="E223" s="11"/>
    </row>
    <row r="224" spans="2:5" x14ac:dyDescent="0.25">
      <c r="B224" s="6"/>
      <c r="C224" s="6"/>
      <c r="D224" s="6"/>
      <c r="E224" s="11"/>
    </row>
    <row r="225" spans="2:5" x14ac:dyDescent="0.25">
      <c r="B225" s="6"/>
      <c r="C225" s="6"/>
      <c r="D225" s="6"/>
      <c r="E225" s="11"/>
    </row>
    <row r="226" spans="2:5" x14ac:dyDescent="0.25">
      <c r="B226" s="6"/>
      <c r="C226" s="6"/>
      <c r="D226" s="6"/>
      <c r="E226" s="11"/>
    </row>
    <row r="227" spans="2:5" x14ac:dyDescent="0.25">
      <c r="B227" s="6"/>
      <c r="C227" s="6"/>
      <c r="D227" s="6"/>
      <c r="E227" s="11"/>
    </row>
    <row r="228" spans="2:5" x14ac:dyDescent="0.25">
      <c r="B228" s="6"/>
      <c r="C228" s="6"/>
      <c r="D228" s="6"/>
      <c r="E228" s="11"/>
    </row>
    <row r="229" spans="2:5" x14ac:dyDescent="0.25">
      <c r="B229" s="6"/>
      <c r="C229" s="6"/>
      <c r="D229" s="6"/>
      <c r="E229" s="11"/>
    </row>
    <row r="230" spans="2:5" x14ac:dyDescent="0.25">
      <c r="B230" s="6"/>
      <c r="C230" s="6"/>
      <c r="D230" s="6"/>
      <c r="E230" s="11"/>
    </row>
    <row r="231" spans="2:5" x14ac:dyDescent="0.25">
      <c r="B231" s="6"/>
      <c r="C231" s="6"/>
      <c r="D231" s="6"/>
      <c r="E231" s="11"/>
    </row>
    <row r="232" spans="2:5" x14ac:dyDescent="0.25">
      <c r="B232" s="6"/>
      <c r="C232" s="6"/>
      <c r="D232" s="6"/>
      <c r="E232" s="11"/>
    </row>
    <row r="233" spans="2:5" x14ac:dyDescent="0.25">
      <c r="B233" s="6"/>
      <c r="C233" s="6"/>
      <c r="D233" s="6"/>
      <c r="E233" s="11"/>
    </row>
    <row r="234" spans="2:5" x14ac:dyDescent="0.25">
      <c r="B234" s="6"/>
      <c r="C234" s="6"/>
      <c r="D234" s="6"/>
      <c r="E234" s="11"/>
    </row>
    <row r="235" spans="2:5" x14ac:dyDescent="0.25">
      <c r="B235" s="6"/>
      <c r="C235" s="6"/>
      <c r="D235" s="6"/>
      <c r="E235" s="11"/>
    </row>
    <row r="236" spans="2:5" x14ac:dyDescent="0.25">
      <c r="B236" s="6"/>
      <c r="C236" s="6"/>
      <c r="D236" s="6"/>
      <c r="E236" s="11"/>
    </row>
    <row r="237" spans="2:5" x14ac:dyDescent="0.25">
      <c r="B237" s="6"/>
      <c r="C237" s="6"/>
      <c r="D237" s="6"/>
      <c r="E237" s="11"/>
    </row>
    <row r="238" spans="2:5" x14ac:dyDescent="0.25">
      <c r="B238" s="6"/>
      <c r="C238" s="6"/>
      <c r="D238" s="6"/>
      <c r="E238" s="11"/>
    </row>
    <row r="239" spans="2:5" x14ac:dyDescent="0.25">
      <c r="B239" s="6"/>
      <c r="C239" s="6"/>
      <c r="D239" s="6"/>
      <c r="E239" s="11"/>
    </row>
    <row r="240" spans="2:5" x14ac:dyDescent="0.25">
      <c r="B240" s="6"/>
      <c r="C240" s="6"/>
      <c r="D240" s="6"/>
      <c r="E240" s="11"/>
    </row>
    <row r="241" spans="2:5" x14ac:dyDescent="0.25">
      <c r="B241" s="6"/>
      <c r="C241" s="6"/>
      <c r="D241" s="6"/>
      <c r="E241" s="11"/>
    </row>
    <row r="242" spans="2:5" x14ac:dyDescent="0.25">
      <c r="B242" s="6"/>
      <c r="C242" s="6"/>
      <c r="D242" s="6"/>
      <c r="E242" s="11"/>
    </row>
    <row r="243" spans="2:5" x14ac:dyDescent="0.25">
      <c r="B243" s="6"/>
      <c r="C243" s="6"/>
      <c r="D243" s="6"/>
      <c r="E243" s="11"/>
    </row>
    <row r="244" spans="2:5" x14ac:dyDescent="0.25">
      <c r="B244" s="6"/>
      <c r="C244" s="6"/>
      <c r="D244" s="6"/>
      <c r="E244" s="11"/>
    </row>
    <row r="245" spans="2:5" x14ac:dyDescent="0.25">
      <c r="B245" s="6"/>
      <c r="C245" s="6"/>
      <c r="D245" s="6"/>
      <c r="E245" s="11"/>
    </row>
    <row r="246" spans="2:5" x14ac:dyDescent="0.25">
      <c r="B246" s="6"/>
      <c r="C246" s="6"/>
      <c r="D246" s="6"/>
      <c r="E246" s="11"/>
    </row>
    <row r="247" spans="2:5" x14ac:dyDescent="0.25">
      <c r="B247" s="6"/>
      <c r="C247" s="6"/>
      <c r="D247" s="6"/>
      <c r="E247" s="11"/>
    </row>
    <row r="248" spans="2:5" x14ac:dyDescent="0.25">
      <c r="B248" s="6"/>
      <c r="C248" s="6"/>
      <c r="D248" s="6"/>
      <c r="E248" s="11"/>
    </row>
    <row r="249" spans="2:5" x14ac:dyDescent="0.25">
      <c r="B249" s="6"/>
      <c r="C249" s="6"/>
      <c r="D249" s="6"/>
      <c r="E249" s="11"/>
    </row>
    <row r="250" spans="2:5" x14ac:dyDescent="0.25">
      <c r="B250" s="6"/>
      <c r="C250" s="6"/>
      <c r="D250" s="6"/>
      <c r="E250" s="11"/>
    </row>
    <row r="251" spans="2:5" x14ac:dyDescent="0.25">
      <c r="B251" s="6"/>
      <c r="C251" s="6"/>
      <c r="D251" s="6"/>
      <c r="E251" s="11"/>
    </row>
    <row r="252" spans="2:5" x14ac:dyDescent="0.25">
      <c r="B252" s="6"/>
      <c r="C252" s="6"/>
      <c r="D252" s="6"/>
      <c r="E252" s="11"/>
    </row>
    <row r="253" spans="2:5" x14ac:dyDescent="0.25">
      <c r="B253" s="6"/>
      <c r="C253" s="6"/>
      <c r="D253" s="6"/>
      <c r="E253" s="11"/>
    </row>
    <row r="254" spans="2:5" x14ac:dyDescent="0.25">
      <c r="B254" s="6"/>
      <c r="C254" s="6"/>
      <c r="D254" s="6"/>
      <c r="E254" s="11"/>
    </row>
    <row r="255" spans="2:5" x14ac:dyDescent="0.25">
      <c r="B255" s="6"/>
      <c r="C255" s="6"/>
      <c r="D255" s="6"/>
      <c r="E255" s="11"/>
    </row>
    <row r="256" spans="2:5" x14ac:dyDescent="0.25">
      <c r="B256" s="6"/>
      <c r="C256" s="6"/>
      <c r="D256" s="6"/>
      <c r="E256" s="11"/>
    </row>
    <row r="257" spans="2:5" x14ac:dyDescent="0.25">
      <c r="B257" s="6"/>
      <c r="C257" s="6"/>
      <c r="D257" s="6"/>
      <c r="E257" s="11"/>
    </row>
    <row r="258" spans="2:5" x14ac:dyDescent="0.25">
      <c r="B258" s="6"/>
      <c r="C258" s="6"/>
      <c r="D258" s="6"/>
      <c r="E258" s="11"/>
    </row>
    <row r="259" spans="2:5" x14ac:dyDescent="0.25">
      <c r="B259" s="6"/>
      <c r="C259" s="6"/>
      <c r="D259" s="6"/>
      <c r="E259" s="11"/>
    </row>
    <row r="260" spans="2:5" x14ac:dyDescent="0.25">
      <c r="B260" s="6"/>
      <c r="C260" s="6"/>
      <c r="D260" s="6"/>
      <c r="E260" s="11"/>
    </row>
    <row r="261" spans="2:5" x14ac:dyDescent="0.25">
      <c r="B261" s="6"/>
      <c r="C261" s="6"/>
      <c r="D261" s="6"/>
      <c r="E261" s="11"/>
    </row>
    <row r="262" spans="2:5" x14ac:dyDescent="0.25">
      <c r="B262" s="6"/>
      <c r="C262" s="6"/>
      <c r="D262" s="6"/>
      <c r="E262" s="11"/>
    </row>
    <row r="263" spans="2:5" x14ac:dyDescent="0.25">
      <c r="B263" s="6"/>
      <c r="C263" s="6"/>
      <c r="D263" s="6"/>
      <c r="E263" s="11"/>
    </row>
    <row r="264" spans="2:5" x14ac:dyDescent="0.25">
      <c r="B264" s="6"/>
      <c r="C264" s="6"/>
      <c r="D264" s="6"/>
      <c r="E264" s="11"/>
    </row>
    <row r="265" spans="2:5" x14ac:dyDescent="0.25">
      <c r="B265" s="6"/>
      <c r="C265" s="6"/>
      <c r="D265" s="6"/>
      <c r="E265" s="11"/>
    </row>
    <row r="266" spans="2:5" x14ac:dyDescent="0.25">
      <c r="B266" s="6"/>
      <c r="C266" s="6"/>
      <c r="D266" s="6"/>
      <c r="E266" s="11"/>
    </row>
    <row r="267" spans="2:5" x14ac:dyDescent="0.25">
      <c r="B267" s="6"/>
      <c r="C267" s="6"/>
      <c r="D267" s="6"/>
      <c r="E267" s="11"/>
    </row>
    <row r="268" spans="2:5" x14ac:dyDescent="0.25">
      <c r="B268" s="6"/>
      <c r="C268" s="6"/>
      <c r="D268" s="6"/>
      <c r="E268" s="11"/>
    </row>
    <row r="269" spans="2:5" x14ac:dyDescent="0.25">
      <c r="B269" s="6"/>
      <c r="C269" s="6"/>
      <c r="D269" s="6"/>
      <c r="E269" s="11"/>
    </row>
    <row r="270" spans="2:5" x14ac:dyDescent="0.25">
      <c r="B270" s="6"/>
      <c r="C270" s="6"/>
      <c r="D270" s="6"/>
      <c r="E270" s="11"/>
    </row>
    <row r="271" spans="2:5" x14ac:dyDescent="0.25">
      <c r="B271" s="6"/>
      <c r="C271" s="6"/>
      <c r="D271" s="6"/>
      <c r="E271" s="11"/>
    </row>
    <row r="272" spans="2:5" x14ac:dyDescent="0.25">
      <c r="B272" s="6"/>
      <c r="C272" s="6"/>
      <c r="D272" s="6"/>
      <c r="E272" s="11"/>
    </row>
    <row r="273" spans="2:5" x14ac:dyDescent="0.25">
      <c r="B273" s="6"/>
      <c r="C273" s="6"/>
      <c r="D273" s="6"/>
      <c r="E273" s="11"/>
    </row>
    <row r="274" spans="2:5" x14ac:dyDescent="0.25">
      <c r="B274" s="6"/>
      <c r="C274" s="6"/>
      <c r="D274" s="6"/>
      <c r="E274" s="11"/>
    </row>
    <row r="275" spans="2:5" x14ac:dyDescent="0.25">
      <c r="B275" s="6"/>
      <c r="C275" s="6"/>
      <c r="D275" s="6"/>
      <c r="E275" s="11"/>
    </row>
    <row r="276" spans="2:5" x14ac:dyDescent="0.25">
      <c r="B276" s="6"/>
      <c r="C276" s="6"/>
      <c r="D276" s="6"/>
      <c r="E276" s="11"/>
    </row>
    <row r="277" spans="2:5" x14ac:dyDescent="0.25">
      <c r="B277" s="6"/>
      <c r="C277" s="6"/>
      <c r="D277" s="6"/>
      <c r="E277" s="11"/>
    </row>
    <row r="278" spans="2:5" x14ac:dyDescent="0.25">
      <c r="B278" s="6"/>
      <c r="C278" s="6"/>
      <c r="D278" s="6"/>
      <c r="E278" s="11"/>
    </row>
    <row r="279" spans="2:5" x14ac:dyDescent="0.25">
      <c r="B279" s="6"/>
      <c r="C279" s="6"/>
      <c r="D279" s="6"/>
      <c r="E279" s="11"/>
    </row>
    <row r="280" spans="2:5" x14ac:dyDescent="0.25">
      <c r="B280" s="6"/>
      <c r="C280" s="6"/>
      <c r="D280" s="6"/>
      <c r="E280" s="11"/>
    </row>
    <row r="281" spans="2:5" x14ac:dyDescent="0.25">
      <c r="B281" s="6"/>
      <c r="C281" s="6"/>
      <c r="D281" s="6"/>
      <c r="E281" s="11"/>
    </row>
    <row r="282" spans="2:5" x14ac:dyDescent="0.25">
      <c r="B282" s="6"/>
      <c r="C282" s="6"/>
      <c r="D282" s="6"/>
      <c r="E282" s="11"/>
    </row>
    <row r="283" spans="2:5" x14ac:dyDescent="0.25">
      <c r="B283" s="6"/>
      <c r="C283" s="6"/>
      <c r="D283" s="6"/>
      <c r="E283" s="11"/>
    </row>
    <row r="284" spans="2:5" x14ac:dyDescent="0.25">
      <c r="B284" s="6"/>
      <c r="C284" s="6"/>
      <c r="D284" s="6"/>
      <c r="E284" s="11"/>
    </row>
    <row r="285" spans="2:5" x14ac:dyDescent="0.25">
      <c r="B285" s="6"/>
      <c r="C285" s="6"/>
      <c r="D285" s="6"/>
      <c r="E285" s="11"/>
    </row>
    <row r="286" spans="2:5" x14ac:dyDescent="0.25">
      <c r="B286" s="6"/>
      <c r="C286" s="6"/>
      <c r="D286" s="6"/>
      <c r="E286" s="11"/>
    </row>
    <row r="287" spans="2:5" x14ac:dyDescent="0.25">
      <c r="B287" s="6"/>
      <c r="C287" s="6"/>
      <c r="D287" s="6"/>
      <c r="E287" s="11"/>
    </row>
    <row r="288" spans="2:5" x14ac:dyDescent="0.25">
      <c r="B288" s="6"/>
      <c r="C288" s="6"/>
      <c r="D288" s="6"/>
      <c r="E288" s="11"/>
    </row>
    <row r="289" spans="2:5" x14ac:dyDescent="0.25">
      <c r="B289" s="6"/>
      <c r="C289" s="6"/>
      <c r="D289" s="6"/>
      <c r="E289" s="11"/>
    </row>
    <row r="290" spans="2:5" x14ac:dyDescent="0.25">
      <c r="B290" s="6"/>
      <c r="C290" s="6"/>
      <c r="D290" s="6"/>
      <c r="E290" s="11"/>
    </row>
    <row r="291" spans="2:5" x14ac:dyDescent="0.25">
      <c r="B291" s="6"/>
      <c r="C291" s="6"/>
      <c r="D291" s="6"/>
      <c r="E291" s="11"/>
    </row>
    <row r="292" spans="2:5" x14ac:dyDescent="0.25">
      <c r="B292" s="6"/>
      <c r="C292" s="6"/>
      <c r="D292" s="6"/>
      <c r="E292" s="11"/>
    </row>
    <row r="293" spans="2:5" x14ac:dyDescent="0.25">
      <c r="B293" s="6"/>
      <c r="C293" s="6"/>
      <c r="D293" s="6"/>
      <c r="E293" s="11"/>
    </row>
    <row r="294" spans="2:5" x14ac:dyDescent="0.25">
      <c r="B294" s="6"/>
      <c r="C294" s="6"/>
      <c r="D294" s="6"/>
      <c r="E294" s="11"/>
    </row>
    <row r="295" spans="2:5" x14ac:dyDescent="0.25">
      <c r="B295" s="6"/>
      <c r="C295" s="6"/>
      <c r="D295" s="6"/>
      <c r="E295" s="11"/>
    </row>
    <row r="296" spans="2:5" x14ac:dyDescent="0.25">
      <c r="B296" s="6"/>
      <c r="C296" s="6"/>
      <c r="D296" s="6"/>
      <c r="E296" s="11"/>
    </row>
    <row r="297" spans="2:5" x14ac:dyDescent="0.25">
      <c r="B297" s="6"/>
      <c r="C297" s="6"/>
      <c r="D297" s="6"/>
      <c r="E297" s="11"/>
    </row>
    <row r="298" spans="2:5" x14ac:dyDescent="0.25">
      <c r="B298" s="6"/>
      <c r="C298" s="6"/>
      <c r="D298" s="6"/>
      <c r="E298" s="11"/>
    </row>
    <row r="299" spans="2:5" x14ac:dyDescent="0.25">
      <c r="B299" s="6"/>
      <c r="C299" s="6"/>
      <c r="D299" s="6"/>
      <c r="E299" s="11"/>
    </row>
    <row r="300" spans="2:5" x14ac:dyDescent="0.25">
      <c r="B300" s="6"/>
      <c r="C300" s="6"/>
      <c r="D300" s="6"/>
      <c r="E300" s="11"/>
    </row>
    <row r="301" spans="2:5" x14ac:dyDescent="0.25">
      <c r="B301" s="6"/>
      <c r="C301" s="6"/>
      <c r="D301" s="6"/>
      <c r="E301" s="11"/>
    </row>
    <row r="302" spans="2:5" x14ac:dyDescent="0.25">
      <c r="B302" s="6"/>
      <c r="C302" s="6"/>
      <c r="D302" s="6"/>
      <c r="E302" s="11"/>
    </row>
    <row r="303" spans="2:5" x14ac:dyDescent="0.25">
      <c r="B303" s="6"/>
      <c r="C303" s="6"/>
      <c r="D303" s="6"/>
      <c r="E303" s="11"/>
    </row>
    <row r="304" spans="2:5" x14ac:dyDescent="0.25">
      <c r="B304" s="6"/>
      <c r="C304" s="6"/>
      <c r="D304" s="6"/>
      <c r="E304" s="11"/>
    </row>
    <row r="305" spans="2:5" x14ac:dyDescent="0.25">
      <c r="B305" s="6"/>
      <c r="C305" s="6"/>
      <c r="D305" s="6"/>
      <c r="E305" s="11"/>
    </row>
    <row r="306" spans="2:5" x14ac:dyDescent="0.25">
      <c r="B306" s="6"/>
      <c r="C306" s="6"/>
      <c r="D306" s="6"/>
      <c r="E306" s="11"/>
    </row>
    <row r="307" spans="2:5" x14ac:dyDescent="0.25">
      <c r="B307" s="6"/>
      <c r="C307" s="6"/>
      <c r="D307" s="6"/>
      <c r="E307" s="11"/>
    </row>
    <row r="308" spans="2:5" x14ac:dyDescent="0.25">
      <c r="B308" s="6"/>
      <c r="C308" s="6"/>
      <c r="D308" s="6"/>
      <c r="E308" s="11"/>
    </row>
    <row r="309" spans="2:5" x14ac:dyDescent="0.25">
      <c r="B309" s="6"/>
      <c r="C309" s="6"/>
      <c r="D309" s="6"/>
      <c r="E309" s="11"/>
    </row>
    <row r="310" spans="2:5" x14ac:dyDescent="0.25">
      <c r="B310" s="6"/>
      <c r="C310" s="6"/>
      <c r="D310" s="6"/>
      <c r="E310" s="11"/>
    </row>
    <row r="311" spans="2:5" x14ac:dyDescent="0.25">
      <c r="B311" s="6"/>
      <c r="C311" s="6"/>
      <c r="D311" s="6"/>
      <c r="E311" s="11"/>
    </row>
    <row r="312" spans="2:5" x14ac:dyDescent="0.25">
      <c r="B312" s="6"/>
      <c r="C312" s="6"/>
      <c r="D312" s="6"/>
      <c r="E312" s="11"/>
    </row>
    <row r="313" spans="2:5" x14ac:dyDescent="0.25">
      <c r="B313" s="6"/>
      <c r="C313" s="6"/>
      <c r="D313" s="6"/>
      <c r="E313" s="11"/>
    </row>
    <row r="314" spans="2:5" x14ac:dyDescent="0.25">
      <c r="B314" s="6"/>
      <c r="C314" s="6"/>
      <c r="D314" s="6"/>
      <c r="E314" s="11"/>
    </row>
    <row r="315" spans="2:5" x14ac:dyDescent="0.25">
      <c r="B315" s="6"/>
      <c r="C315" s="6"/>
      <c r="D315" s="6"/>
      <c r="E315" s="11"/>
    </row>
    <row r="316" spans="2:5" x14ac:dyDescent="0.25">
      <c r="B316" s="6"/>
      <c r="C316" s="6"/>
      <c r="D316" s="6"/>
      <c r="E316" s="11"/>
    </row>
    <row r="317" spans="2:5" x14ac:dyDescent="0.25">
      <c r="B317" s="6"/>
      <c r="C317" s="6"/>
      <c r="D317" s="6"/>
      <c r="E317" s="11"/>
    </row>
    <row r="318" spans="2:5" x14ac:dyDescent="0.25">
      <c r="B318" s="6"/>
      <c r="C318" s="6"/>
      <c r="D318" s="6"/>
      <c r="E318" s="11"/>
    </row>
    <row r="319" spans="2:5" x14ac:dyDescent="0.25">
      <c r="B319" s="6"/>
      <c r="C319" s="6"/>
      <c r="D319" s="6"/>
      <c r="E319" s="11"/>
    </row>
    <row r="320" spans="2:5" x14ac:dyDescent="0.25">
      <c r="B320" s="6"/>
      <c r="C320" s="6"/>
      <c r="D320" s="6"/>
      <c r="E320" s="11"/>
    </row>
    <row r="321" spans="2:5" x14ac:dyDescent="0.25">
      <c r="B321" s="6"/>
      <c r="C321" s="6"/>
      <c r="D321" s="6"/>
      <c r="E321" s="11"/>
    </row>
    <row r="322" spans="2:5" x14ac:dyDescent="0.25">
      <c r="B322" s="6"/>
      <c r="C322" s="6"/>
      <c r="D322" s="6"/>
      <c r="E322" s="11"/>
    </row>
    <row r="323" spans="2:5" x14ac:dyDescent="0.25">
      <c r="B323" s="6"/>
      <c r="C323" s="6"/>
      <c r="D323" s="6"/>
      <c r="E323" s="11"/>
    </row>
    <row r="324" spans="2:5" x14ac:dyDescent="0.25">
      <c r="B324" s="6"/>
      <c r="C324" s="6"/>
      <c r="D324" s="6"/>
      <c r="E324" s="11"/>
    </row>
    <row r="325" spans="2:5" x14ac:dyDescent="0.25">
      <c r="B325" s="6"/>
      <c r="C325" s="6"/>
      <c r="D325" s="6"/>
      <c r="E325" s="11"/>
    </row>
    <row r="326" spans="2:5" x14ac:dyDescent="0.25">
      <c r="B326" s="6"/>
      <c r="C326" s="6"/>
      <c r="D326" s="6"/>
      <c r="E326" s="11"/>
    </row>
    <row r="327" spans="2:5" x14ac:dyDescent="0.25">
      <c r="B327" s="6"/>
      <c r="C327" s="6"/>
      <c r="D327" s="6"/>
      <c r="E327" s="11"/>
    </row>
    <row r="328" spans="2:5" x14ac:dyDescent="0.25">
      <c r="B328" s="6"/>
      <c r="C328" s="6"/>
      <c r="D328" s="6"/>
      <c r="E328" s="11"/>
    </row>
    <row r="329" spans="2:5" x14ac:dyDescent="0.25">
      <c r="B329" s="6"/>
      <c r="C329" s="6"/>
      <c r="D329" s="6"/>
      <c r="E329" s="11"/>
    </row>
    <row r="330" spans="2:5" x14ac:dyDescent="0.25">
      <c r="B330" s="6"/>
      <c r="C330" s="6"/>
      <c r="D330" s="6"/>
      <c r="E330" s="11"/>
    </row>
    <row r="331" spans="2:5" x14ac:dyDescent="0.25">
      <c r="B331" s="6"/>
      <c r="C331" s="6"/>
      <c r="D331" s="6"/>
      <c r="E331" s="11"/>
    </row>
    <row r="332" spans="2:5" x14ac:dyDescent="0.25">
      <c r="B332" s="6"/>
      <c r="C332" s="6"/>
      <c r="D332" s="6"/>
      <c r="E332" s="11"/>
    </row>
    <row r="333" spans="2:5" x14ac:dyDescent="0.25">
      <c r="B333" s="6"/>
      <c r="C333" s="6"/>
      <c r="D333" s="6"/>
      <c r="E333" s="11"/>
    </row>
    <row r="334" spans="2:5" x14ac:dyDescent="0.25">
      <c r="B334" s="6"/>
      <c r="C334" s="6"/>
      <c r="D334" s="6"/>
      <c r="E334" s="11"/>
    </row>
    <row r="335" spans="2:5" x14ac:dyDescent="0.25">
      <c r="B335" s="6"/>
      <c r="C335" s="6"/>
      <c r="D335" s="6"/>
      <c r="E335" s="11"/>
    </row>
    <row r="336" spans="2:5" x14ac:dyDescent="0.25">
      <c r="B336" s="6"/>
      <c r="C336" s="6"/>
      <c r="D336" s="6"/>
      <c r="E336" s="11"/>
    </row>
    <row r="337" spans="2:5" x14ac:dyDescent="0.25">
      <c r="B337" s="6"/>
      <c r="C337" s="6"/>
      <c r="D337" s="6"/>
      <c r="E337" s="11"/>
    </row>
    <row r="338" spans="2:5" x14ac:dyDescent="0.25">
      <c r="B338" s="6"/>
      <c r="C338" s="6"/>
      <c r="D338" s="6"/>
      <c r="E338" s="11"/>
    </row>
    <row r="339" spans="2:5" x14ac:dyDescent="0.25">
      <c r="B339" s="6"/>
      <c r="C339" s="6"/>
      <c r="D339" s="6"/>
      <c r="E339" s="11"/>
    </row>
    <row r="340" spans="2:5" x14ac:dyDescent="0.25">
      <c r="B340" s="6"/>
      <c r="C340" s="6"/>
      <c r="D340" s="6"/>
      <c r="E340" s="11"/>
    </row>
    <row r="341" spans="2:5" x14ac:dyDescent="0.25">
      <c r="B341" s="6"/>
      <c r="C341" s="6"/>
      <c r="D341" s="6"/>
      <c r="E341" s="11"/>
    </row>
    <row r="342" spans="2:5" x14ac:dyDescent="0.25">
      <c r="B342" s="6"/>
      <c r="C342" s="6"/>
      <c r="D342" s="6"/>
      <c r="E342" s="11"/>
    </row>
    <row r="343" spans="2:5" x14ac:dyDescent="0.25">
      <c r="B343" s="6"/>
      <c r="C343" s="6"/>
      <c r="D343" s="6"/>
      <c r="E343" s="11"/>
    </row>
    <row r="344" spans="2:5" x14ac:dyDescent="0.25">
      <c r="B344" s="6"/>
      <c r="C344" s="6"/>
      <c r="D344" s="6"/>
      <c r="E344" s="11"/>
    </row>
    <row r="345" spans="2:5" x14ac:dyDescent="0.25">
      <c r="B345" s="6"/>
      <c r="C345" s="6"/>
      <c r="D345" s="6"/>
      <c r="E345" s="11"/>
    </row>
    <row r="346" spans="2:5" x14ac:dyDescent="0.25">
      <c r="B346" s="6"/>
      <c r="C346" s="6"/>
      <c r="D346" s="6"/>
      <c r="E346" s="11"/>
    </row>
    <row r="347" spans="2:5" x14ac:dyDescent="0.25">
      <c r="B347" s="6"/>
      <c r="C347" s="6"/>
      <c r="D347" s="6"/>
      <c r="E347" s="11"/>
    </row>
    <row r="348" spans="2:5" x14ac:dyDescent="0.25">
      <c r="B348" s="6"/>
      <c r="C348" s="6"/>
      <c r="D348" s="6"/>
      <c r="E348" s="11"/>
    </row>
    <row r="349" spans="2:5" x14ac:dyDescent="0.25">
      <c r="B349" s="6"/>
      <c r="C349" s="6"/>
      <c r="D349" s="6"/>
      <c r="E349" s="11"/>
    </row>
    <row r="350" spans="2:5" x14ac:dyDescent="0.25">
      <c r="B350" s="6"/>
      <c r="C350" s="6"/>
      <c r="D350" s="6"/>
      <c r="E350" s="11"/>
    </row>
    <row r="351" spans="2:5" x14ac:dyDescent="0.25">
      <c r="B351" s="6"/>
      <c r="C351" s="6"/>
      <c r="D351" s="6"/>
      <c r="E351" s="11"/>
    </row>
    <row r="352" spans="2:5" x14ac:dyDescent="0.25">
      <c r="B352" s="6"/>
      <c r="C352" s="6"/>
      <c r="D352" s="6"/>
      <c r="E352" s="11"/>
    </row>
    <row r="353" spans="2:5" x14ac:dyDescent="0.25">
      <c r="B353" s="6"/>
      <c r="C353" s="6"/>
      <c r="D353" s="6"/>
      <c r="E353" s="11"/>
    </row>
    <row r="354" spans="2:5" x14ac:dyDescent="0.25">
      <c r="B354" s="6"/>
      <c r="C354" s="6"/>
      <c r="D354" s="6"/>
      <c r="E354" s="11"/>
    </row>
    <row r="355" spans="2:5" x14ac:dyDescent="0.25">
      <c r="B355" s="6"/>
      <c r="C355" s="6"/>
      <c r="D355" s="6"/>
      <c r="E355" s="11"/>
    </row>
    <row r="356" spans="2:5" x14ac:dyDescent="0.25">
      <c r="B356" s="6"/>
      <c r="C356" s="6"/>
      <c r="D356" s="6"/>
      <c r="E356" s="11"/>
    </row>
    <row r="357" spans="2:5" x14ac:dyDescent="0.25">
      <c r="B357" s="6"/>
      <c r="C357" s="6"/>
      <c r="D357" s="6"/>
      <c r="E357" s="11"/>
    </row>
    <row r="358" spans="2:5" x14ac:dyDescent="0.25">
      <c r="B358" s="6"/>
      <c r="C358" s="6"/>
      <c r="D358" s="6"/>
      <c r="E358" s="11"/>
    </row>
    <row r="359" spans="2:5" x14ac:dyDescent="0.25">
      <c r="B359" s="6"/>
      <c r="C359" s="6"/>
      <c r="D359" s="6"/>
      <c r="E359" s="11"/>
    </row>
    <row r="360" spans="2:5" x14ac:dyDescent="0.25">
      <c r="B360" s="6"/>
      <c r="C360" s="6"/>
      <c r="D360" s="6"/>
      <c r="E360" s="11"/>
    </row>
    <row r="361" spans="2:5" x14ac:dyDescent="0.25">
      <c r="B361" s="6"/>
      <c r="C361" s="6"/>
      <c r="D361" s="6"/>
      <c r="E361" s="11"/>
    </row>
    <row r="362" spans="2:5" x14ac:dyDescent="0.25">
      <c r="B362" s="6"/>
      <c r="C362" s="6"/>
      <c r="D362" s="6"/>
      <c r="E362" s="11"/>
    </row>
    <row r="363" spans="2:5" x14ac:dyDescent="0.25">
      <c r="B363" s="6"/>
      <c r="C363" s="6"/>
      <c r="D363" s="6"/>
      <c r="E363" s="11"/>
    </row>
    <row r="364" spans="2:5" x14ac:dyDescent="0.25">
      <c r="B364" s="6"/>
      <c r="C364" s="6"/>
      <c r="D364" s="6"/>
      <c r="E364" s="11"/>
    </row>
    <row r="365" spans="2:5" x14ac:dyDescent="0.25">
      <c r="B365" s="6"/>
      <c r="C365" s="6"/>
      <c r="D365" s="6"/>
      <c r="E365" s="11"/>
    </row>
    <row r="366" spans="2:5" x14ac:dyDescent="0.25">
      <c r="B366" s="6"/>
      <c r="C366" s="6"/>
      <c r="D366" s="6"/>
      <c r="E366" s="11"/>
    </row>
    <row r="367" spans="2:5" x14ac:dyDescent="0.25">
      <c r="B367" s="6"/>
      <c r="C367" s="6"/>
      <c r="D367" s="6"/>
      <c r="E367" s="11"/>
    </row>
    <row r="368" spans="2:5" x14ac:dyDescent="0.25">
      <c r="B368" s="6"/>
      <c r="C368" s="6"/>
      <c r="D368" s="6"/>
      <c r="E368" s="11"/>
    </row>
    <row r="369" spans="2:5" x14ac:dyDescent="0.25">
      <c r="B369" s="6"/>
      <c r="C369" s="6"/>
      <c r="D369" s="6"/>
      <c r="E369" s="11"/>
    </row>
    <row r="370" spans="2:5" x14ac:dyDescent="0.25">
      <c r="B370" s="6"/>
      <c r="C370" s="6"/>
      <c r="D370" s="6"/>
      <c r="E370" s="11"/>
    </row>
    <row r="371" spans="2:5" x14ac:dyDescent="0.25">
      <c r="B371" s="6"/>
      <c r="C371" s="6"/>
      <c r="D371" s="6"/>
      <c r="E371" s="11"/>
    </row>
    <row r="372" spans="2:5" x14ac:dyDescent="0.25">
      <c r="B372" s="6"/>
      <c r="C372" s="6"/>
      <c r="D372" s="6"/>
      <c r="E372" s="11"/>
    </row>
    <row r="373" spans="2:5" x14ac:dyDescent="0.25">
      <c r="B373" s="6"/>
      <c r="C373" s="6"/>
      <c r="D373" s="6"/>
      <c r="E373" s="11"/>
    </row>
    <row r="374" spans="2:5" x14ac:dyDescent="0.25">
      <c r="B374" s="6"/>
      <c r="C374" s="6"/>
      <c r="D374" s="6"/>
      <c r="E374" s="11"/>
    </row>
    <row r="375" spans="2:5" x14ac:dyDescent="0.25">
      <c r="B375" s="6"/>
      <c r="C375" s="6"/>
      <c r="D375" s="6"/>
      <c r="E375" s="11"/>
    </row>
    <row r="376" spans="2:5" x14ac:dyDescent="0.25">
      <c r="B376" s="6"/>
      <c r="C376" s="6"/>
      <c r="D376" s="6"/>
      <c r="E376" s="11"/>
    </row>
    <row r="377" spans="2:5" x14ac:dyDescent="0.25">
      <c r="B377" s="6"/>
      <c r="C377" s="6"/>
      <c r="D377" s="6"/>
      <c r="E377" s="11"/>
    </row>
    <row r="378" spans="2:5" x14ac:dyDescent="0.25">
      <c r="B378" s="6"/>
      <c r="C378" s="6"/>
      <c r="D378" s="6"/>
      <c r="E378" s="11"/>
    </row>
    <row r="379" spans="2:5" x14ac:dyDescent="0.25">
      <c r="B379" s="6"/>
      <c r="C379" s="6"/>
      <c r="D379" s="6"/>
      <c r="E379" s="11"/>
    </row>
    <row r="380" spans="2:5" x14ac:dyDescent="0.25">
      <c r="B380" s="6"/>
      <c r="C380" s="6"/>
      <c r="D380" s="6"/>
      <c r="E380" s="11"/>
    </row>
    <row r="381" spans="2:5" x14ac:dyDescent="0.25">
      <c r="B381" s="6"/>
      <c r="C381" s="6"/>
      <c r="D381" s="6"/>
      <c r="E381" s="11"/>
    </row>
    <row r="382" spans="2:5" x14ac:dyDescent="0.25">
      <c r="B382" s="6"/>
      <c r="C382" s="6"/>
      <c r="D382" s="6"/>
      <c r="E382" s="11"/>
    </row>
    <row r="383" spans="2:5" x14ac:dyDescent="0.25">
      <c r="B383" s="6"/>
      <c r="C383" s="6"/>
      <c r="D383" s="6"/>
      <c r="E383" s="11"/>
    </row>
    <row r="384" spans="2:5" x14ac:dyDescent="0.25">
      <c r="B384" s="6"/>
      <c r="C384" s="6"/>
      <c r="D384" s="6"/>
      <c r="E384" s="11"/>
    </row>
    <row r="385" spans="2:5" x14ac:dyDescent="0.25">
      <c r="B385" s="6"/>
      <c r="C385" s="6"/>
      <c r="D385" s="6"/>
      <c r="E385" s="11"/>
    </row>
    <row r="386" spans="2:5" x14ac:dyDescent="0.25">
      <c r="B386" s="6"/>
      <c r="C386" s="6"/>
      <c r="D386" s="6"/>
      <c r="E386" s="11"/>
    </row>
    <row r="387" spans="2:5" x14ac:dyDescent="0.25">
      <c r="B387" s="6"/>
      <c r="C387" s="6"/>
      <c r="D387" s="6"/>
      <c r="E387" s="11"/>
    </row>
    <row r="388" spans="2:5" x14ac:dyDescent="0.25">
      <c r="B388" s="6"/>
      <c r="C388" s="6"/>
      <c r="D388" s="6"/>
      <c r="E388" s="11"/>
    </row>
    <row r="389" spans="2:5" x14ac:dyDescent="0.25">
      <c r="B389" s="6"/>
      <c r="C389" s="6"/>
      <c r="D389" s="6"/>
      <c r="E389" s="11"/>
    </row>
    <row r="390" spans="2:5" x14ac:dyDescent="0.25">
      <c r="B390" s="6"/>
      <c r="C390" s="6"/>
      <c r="D390" s="6"/>
      <c r="E390" s="11"/>
    </row>
    <row r="391" spans="2:5" x14ac:dyDescent="0.25">
      <c r="B391" s="6"/>
      <c r="C391" s="6"/>
      <c r="D391" s="6"/>
      <c r="E391" s="11"/>
    </row>
    <row r="392" spans="2:5" x14ac:dyDescent="0.25">
      <c r="B392" s="6"/>
      <c r="C392" s="6"/>
      <c r="D392" s="6"/>
      <c r="E392" s="11"/>
    </row>
    <row r="393" spans="2:5" x14ac:dyDescent="0.25">
      <c r="B393" s="6"/>
      <c r="C393" s="6"/>
      <c r="D393" s="6"/>
      <c r="E393" s="11"/>
    </row>
    <row r="394" spans="2:5" x14ac:dyDescent="0.25">
      <c r="B394" s="6"/>
      <c r="C394" s="6"/>
      <c r="D394" s="6"/>
      <c r="E394" s="11"/>
    </row>
    <row r="395" spans="2:5" x14ac:dyDescent="0.25">
      <c r="B395" s="6"/>
      <c r="C395" s="6"/>
      <c r="D395" s="6"/>
      <c r="E395" s="11"/>
    </row>
    <row r="396" spans="2:5" x14ac:dyDescent="0.25">
      <c r="B396" s="6"/>
      <c r="C396" s="6"/>
      <c r="D396" s="6"/>
      <c r="E396" s="11"/>
    </row>
    <row r="397" spans="2:5" x14ac:dyDescent="0.25">
      <c r="B397" s="6"/>
      <c r="C397" s="6"/>
      <c r="D397" s="6"/>
      <c r="E397" s="11"/>
    </row>
    <row r="398" spans="2:5" x14ac:dyDescent="0.25">
      <c r="B398" s="6"/>
      <c r="C398" s="6"/>
      <c r="D398" s="6"/>
      <c r="E398" s="11"/>
    </row>
    <row r="399" spans="2:5" x14ac:dyDescent="0.25">
      <c r="B399" s="6"/>
      <c r="C399" s="6"/>
      <c r="D399" s="6"/>
      <c r="E399" s="11"/>
    </row>
    <row r="400" spans="2:5" x14ac:dyDescent="0.25">
      <c r="B400" s="6"/>
      <c r="C400" s="6"/>
      <c r="D400" s="6"/>
      <c r="E400" s="11"/>
    </row>
    <row r="401" spans="2:5" x14ac:dyDescent="0.25">
      <c r="B401" s="6"/>
      <c r="C401" s="6"/>
      <c r="D401" s="6"/>
      <c r="E401" s="11"/>
    </row>
    <row r="402" spans="2:5" x14ac:dyDescent="0.25">
      <c r="B402" s="6"/>
      <c r="C402" s="6"/>
      <c r="D402" s="6"/>
      <c r="E402" s="11"/>
    </row>
    <row r="403" spans="2:5" x14ac:dyDescent="0.25">
      <c r="B403" s="6"/>
      <c r="C403" s="6"/>
      <c r="D403" s="6"/>
      <c r="E403" s="11"/>
    </row>
    <row r="404" spans="2:5" x14ac:dyDescent="0.25">
      <c r="B404" s="6"/>
      <c r="C404" s="6"/>
      <c r="D404" s="6"/>
      <c r="E404" s="11"/>
    </row>
    <row r="405" spans="2:5" x14ac:dyDescent="0.25">
      <c r="B405" s="6"/>
      <c r="C405" s="6"/>
      <c r="D405" s="6"/>
      <c r="E405" s="11"/>
    </row>
    <row r="406" spans="2:5" x14ac:dyDescent="0.25">
      <c r="B406" s="6"/>
      <c r="C406" s="6"/>
      <c r="D406" s="6"/>
      <c r="E406" s="11"/>
    </row>
    <row r="407" spans="2:5" x14ac:dyDescent="0.25">
      <c r="B407" s="6"/>
      <c r="C407" s="6"/>
      <c r="D407" s="6"/>
      <c r="E407" s="11"/>
    </row>
    <row r="408" spans="2:5" x14ac:dyDescent="0.25">
      <c r="B408" s="6"/>
      <c r="C408" s="6"/>
      <c r="D408" s="6"/>
      <c r="E408" s="11"/>
    </row>
    <row r="409" spans="2:5" x14ac:dyDescent="0.25">
      <c r="B409" s="6"/>
      <c r="C409" s="6"/>
      <c r="D409" s="6"/>
      <c r="E409" s="11"/>
    </row>
    <row r="410" spans="2:5" x14ac:dyDescent="0.25">
      <c r="B410" s="6"/>
      <c r="C410" s="6"/>
      <c r="D410" s="6"/>
      <c r="E410" s="11"/>
    </row>
    <row r="411" spans="2:5" x14ac:dyDescent="0.25">
      <c r="B411" s="6"/>
      <c r="C411" s="6"/>
      <c r="D411" s="6"/>
      <c r="E411" s="11"/>
    </row>
    <row r="412" spans="2:5" x14ac:dyDescent="0.25">
      <c r="B412" s="6"/>
      <c r="C412" s="6"/>
      <c r="D412" s="6"/>
      <c r="E412" s="11"/>
    </row>
    <row r="413" spans="2:5" x14ac:dyDescent="0.25">
      <c r="B413" s="6"/>
      <c r="C413" s="6"/>
      <c r="D413" s="6"/>
      <c r="E413" s="11"/>
    </row>
    <row r="414" spans="2:5" x14ac:dyDescent="0.25">
      <c r="B414" s="6"/>
      <c r="C414" s="6"/>
      <c r="D414" s="6"/>
      <c r="E414" s="11"/>
    </row>
    <row r="415" spans="2:5" x14ac:dyDescent="0.25">
      <c r="B415" s="6"/>
      <c r="C415" s="6"/>
      <c r="D415" s="6"/>
      <c r="E415" s="11"/>
    </row>
    <row r="416" spans="2:5" x14ac:dyDescent="0.25">
      <c r="B416" s="6"/>
      <c r="C416" s="6"/>
      <c r="D416" s="6"/>
      <c r="E416" s="11"/>
    </row>
    <row r="417" spans="2:5" x14ac:dyDescent="0.25">
      <c r="B417" s="6"/>
      <c r="C417" s="6"/>
      <c r="D417" s="6"/>
      <c r="E417" s="11"/>
    </row>
    <row r="418" spans="2:5" x14ac:dyDescent="0.25">
      <c r="B418" s="6"/>
      <c r="C418" s="6"/>
      <c r="D418" s="6"/>
      <c r="E418" s="11"/>
    </row>
    <row r="419" spans="2:5" x14ac:dyDescent="0.25">
      <c r="B419" s="6"/>
      <c r="C419" s="6"/>
      <c r="D419" s="6"/>
      <c r="E419" s="11"/>
    </row>
    <row r="420" spans="2:5" x14ac:dyDescent="0.25">
      <c r="B420" s="6"/>
      <c r="C420" s="6"/>
      <c r="D420" s="6"/>
      <c r="E420" s="11"/>
    </row>
    <row r="421" spans="2:5" x14ac:dyDescent="0.25">
      <c r="B421" s="6"/>
      <c r="C421" s="6"/>
      <c r="D421" s="6"/>
      <c r="E421" s="11"/>
    </row>
    <row r="422" spans="2:5" x14ac:dyDescent="0.25">
      <c r="B422" s="6"/>
      <c r="C422" s="6"/>
      <c r="D422" s="6"/>
      <c r="E422" s="11"/>
    </row>
    <row r="423" spans="2:5" x14ac:dyDescent="0.25">
      <c r="B423" s="6"/>
      <c r="C423" s="6"/>
      <c r="D423" s="6"/>
      <c r="E423" s="11"/>
    </row>
    <row r="424" spans="2:5" x14ac:dyDescent="0.25">
      <c r="B424" s="6"/>
      <c r="C424" s="6"/>
      <c r="D424" s="6"/>
      <c r="E424" s="11"/>
    </row>
    <row r="425" spans="2:5" x14ac:dyDescent="0.25">
      <c r="B425" s="6"/>
      <c r="C425" s="6"/>
      <c r="D425" s="6"/>
      <c r="E425" s="11"/>
    </row>
    <row r="426" spans="2:5" x14ac:dyDescent="0.25">
      <c r="B426" s="6"/>
      <c r="C426" s="6"/>
      <c r="D426" s="6"/>
      <c r="E426" s="11"/>
    </row>
    <row r="427" spans="2:5" x14ac:dyDescent="0.25">
      <c r="B427" s="6"/>
      <c r="C427" s="6"/>
      <c r="D427" s="6"/>
      <c r="E427" s="11"/>
    </row>
    <row r="428" spans="2:5" x14ac:dyDescent="0.25">
      <c r="B428" s="6"/>
      <c r="C428" s="6"/>
      <c r="D428" s="6"/>
      <c r="E428" s="11"/>
    </row>
    <row r="429" spans="2:5" x14ac:dyDescent="0.25">
      <c r="B429" s="6"/>
      <c r="C429" s="6"/>
      <c r="D429" s="6"/>
      <c r="E429" s="11"/>
    </row>
    <row r="430" spans="2:5" x14ac:dyDescent="0.25">
      <c r="B430" s="6"/>
      <c r="C430" s="6"/>
      <c r="D430" s="6"/>
      <c r="E430" s="11"/>
    </row>
    <row r="431" spans="2:5" x14ac:dyDescent="0.25">
      <c r="B431" s="6"/>
      <c r="C431" s="6"/>
      <c r="D431" s="6"/>
      <c r="E431" s="11"/>
    </row>
    <row r="432" spans="2:5" x14ac:dyDescent="0.25">
      <c r="B432" s="6"/>
      <c r="C432" s="6"/>
      <c r="D432" s="6"/>
      <c r="E432" s="11"/>
    </row>
    <row r="433" spans="2:5" x14ac:dyDescent="0.25">
      <c r="B433" s="6"/>
      <c r="C433" s="6"/>
      <c r="D433" s="6"/>
      <c r="E433" s="11"/>
    </row>
    <row r="434" spans="2:5" x14ac:dyDescent="0.25">
      <c r="B434" s="6"/>
      <c r="C434" s="6"/>
      <c r="D434" s="6"/>
      <c r="E434" s="11"/>
    </row>
    <row r="435" spans="2:5" x14ac:dyDescent="0.25">
      <c r="B435" s="6"/>
      <c r="C435" s="6"/>
      <c r="D435" s="6"/>
      <c r="E435" s="11"/>
    </row>
    <row r="436" spans="2:5" x14ac:dyDescent="0.25">
      <c r="B436" s="6"/>
      <c r="C436" s="6"/>
      <c r="D436" s="6"/>
      <c r="E436" s="11"/>
    </row>
    <row r="437" spans="2:5" x14ac:dyDescent="0.25">
      <c r="B437" s="6"/>
      <c r="C437" s="6"/>
      <c r="D437" s="6"/>
      <c r="E437" s="11"/>
    </row>
    <row r="438" spans="2:5" x14ac:dyDescent="0.25">
      <c r="B438" s="6"/>
      <c r="C438" s="6"/>
      <c r="D438" s="6"/>
      <c r="E438" s="11"/>
    </row>
    <row r="439" spans="2:5" x14ac:dyDescent="0.25">
      <c r="B439" s="6"/>
      <c r="C439" s="6"/>
      <c r="D439" s="6"/>
      <c r="E439" s="11"/>
    </row>
    <row r="440" spans="2:5" x14ac:dyDescent="0.25">
      <c r="B440" s="6"/>
      <c r="C440" s="6"/>
      <c r="D440" s="6"/>
      <c r="E440" s="11"/>
    </row>
    <row r="441" spans="2:5" x14ac:dyDescent="0.25">
      <c r="B441" s="6"/>
      <c r="C441" s="6"/>
      <c r="D441" s="6"/>
      <c r="E441" s="11"/>
    </row>
    <row r="442" spans="2:5" x14ac:dyDescent="0.25">
      <c r="B442" s="6"/>
      <c r="C442" s="6"/>
      <c r="D442" s="6"/>
      <c r="E442" s="11"/>
    </row>
    <row r="443" spans="2:5" x14ac:dyDescent="0.25">
      <c r="B443" s="6"/>
      <c r="C443" s="6"/>
      <c r="D443" s="6"/>
      <c r="E443" s="11"/>
    </row>
    <row r="444" spans="2:5" x14ac:dyDescent="0.25">
      <c r="B444" s="6"/>
      <c r="C444" s="6"/>
      <c r="D444" s="6"/>
      <c r="E444" s="11"/>
    </row>
    <row r="445" spans="2:5" x14ac:dyDescent="0.25">
      <c r="B445" s="6"/>
      <c r="C445" s="6"/>
      <c r="D445" s="6"/>
      <c r="E445" s="11"/>
    </row>
    <row r="446" spans="2:5" x14ac:dyDescent="0.25">
      <c r="B446" s="6"/>
      <c r="C446" s="6"/>
      <c r="D446" s="6"/>
      <c r="E446" s="11"/>
    </row>
    <row r="447" spans="2:5" x14ac:dyDescent="0.25">
      <c r="B447" s="6"/>
      <c r="C447" s="6"/>
      <c r="D447" s="6"/>
      <c r="E447" s="11"/>
    </row>
    <row r="448" spans="2:5" x14ac:dyDescent="0.25">
      <c r="B448" s="6"/>
      <c r="C448" s="6"/>
      <c r="D448" s="6"/>
      <c r="E448" s="11"/>
    </row>
    <row r="449" spans="2:5" x14ac:dyDescent="0.25">
      <c r="B449" s="6"/>
      <c r="C449" s="6"/>
      <c r="D449" s="6"/>
      <c r="E449" s="11"/>
    </row>
    <row r="450" spans="2:5" x14ac:dyDescent="0.25">
      <c r="B450" s="6"/>
      <c r="C450" s="6"/>
      <c r="D450" s="6"/>
      <c r="E450" s="11"/>
    </row>
    <row r="451" spans="2:5" x14ac:dyDescent="0.25">
      <c r="B451" s="6"/>
      <c r="C451" s="6"/>
      <c r="D451" s="6"/>
      <c r="E451" s="11"/>
    </row>
    <row r="452" spans="2:5" x14ac:dyDescent="0.25">
      <c r="B452" s="6"/>
      <c r="C452" s="6"/>
      <c r="D452" s="6"/>
      <c r="E452" s="11"/>
    </row>
    <row r="453" spans="2:5" x14ac:dyDescent="0.25">
      <c r="B453" s="6"/>
      <c r="C453" s="6"/>
      <c r="D453" s="6"/>
      <c r="E453" s="11"/>
    </row>
    <row r="454" spans="2:5" x14ac:dyDescent="0.25">
      <c r="B454" s="6"/>
      <c r="C454" s="6"/>
      <c r="D454" s="6"/>
      <c r="E454" s="11"/>
    </row>
    <row r="455" spans="2:5" x14ac:dyDescent="0.25">
      <c r="B455" s="6"/>
      <c r="C455" s="6"/>
      <c r="D455" s="6"/>
      <c r="E455" s="11"/>
    </row>
    <row r="456" spans="2:5" x14ac:dyDescent="0.25">
      <c r="B456" s="6"/>
      <c r="C456" s="6"/>
      <c r="D456" s="6"/>
      <c r="E456" s="11"/>
    </row>
    <row r="457" spans="2:5" x14ac:dyDescent="0.25">
      <c r="B457" s="6"/>
      <c r="C457" s="6"/>
      <c r="D457" s="6"/>
      <c r="E457" s="11"/>
    </row>
    <row r="458" spans="2:5" x14ac:dyDescent="0.25">
      <c r="B458" s="6"/>
      <c r="C458" s="6"/>
      <c r="D458" s="6"/>
      <c r="E458" s="11"/>
    </row>
    <row r="459" spans="2:5" x14ac:dyDescent="0.25">
      <c r="B459" s="6"/>
      <c r="C459" s="6"/>
      <c r="D459" s="6"/>
      <c r="E459" s="11"/>
    </row>
    <row r="460" spans="2:5" x14ac:dyDescent="0.25">
      <c r="B460" s="6"/>
      <c r="C460" s="6"/>
      <c r="D460" s="6"/>
      <c r="E460" s="11"/>
    </row>
    <row r="461" spans="2:5" x14ac:dyDescent="0.25">
      <c r="B461" s="6"/>
      <c r="C461" s="6"/>
      <c r="D461" s="6"/>
      <c r="E461" s="11"/>
    </row>
    <row r="462" spans="2:5" x14ac:dyDescent="0.25">
      <c r="B462" s="6"/>
      <c r="C462" s="6"/>
      <c r="D462" s="6"/>
      <c r="E462" s="11"/>
    </row>
    <row r="463" spans="2:5" x14ac:dyDescent="0.25">
      <c r="B463" s="6"/>
      <c r="C463" s="6"/>
      <c r="D463" s="6"/>
      <c r="E463" s="11"/>
    </row>
    <row r="464" spans="2:5" x14ac:dyDescent="0.25">
      <c r="B464" s="6"/>
      <c r="C464" s="6"/>
      <c r="D464" s="6"/>
      <c r="E464" s="11"/>
    </row>
    <row r="465" spans="2:5" x14ac:dyDescent="0.25">
      <c r="B465" s="6"/>
      <c r="C465" s="6"/>
      <c r="D465" s="6"/>
      <c r="E465" s="11"/>
    </row>
    <row r="466" spans="2:5" x14ac:dyDescent="0.25">
      <c r="B466" s="6"/>
      <c r="C466" s="6"/>
      <c r="D466" s="6"/>
      <c r="E466" s="11"/>
    </row>
    <row r="467" spans="2:5" x14ac:dyDescent="0.25">
      <c r="B467" s="6"/>
      <c r="C467" s="6"/>
      <c r="D467" s="6"/>
      <c r="E467" s="11"/>
    </row>
    <row r="468" spans="2:5" x14ac:dyDescent="0.25">
      <c r="B468" s="6"/>
      <c r="C468" s="6"/>
      <c r="D468" s="6"/>
      <c r="E468" s="11"/>
    </row>
    <row r="469" spans="2:5" x14ac:dyDescent="0.25">
      <c r="B469" s="6"/>
      <c r="C469" s="6"/>
      <c r="D469" s="6"/>
      <c r="E469" s="11"/>
    </row>
    <row r="470" spans="2:5" x14ac:dyDescent="0.25">
      <c r="B470" s="6"/>
      <c r="C470" s="6"/>
      <c r="D470" s="6"/>
      <c r="E470" s="11"/>
    </row>
    <row r="471" spans="2:5" x14ac:dyDescent="0.25">
      <c r="B471" s="6"/>
      <c r="C471" s="6"/>
      <c r="D471" s="6"/>
      <c r="E471" s="11"/>
    </row>
    <row r="472" spans="2:5" x14ac:dyDescent="0.25">
      <c r="B472" s="6"/>
      <c r="C472" s="6"/>
      <c r="D472" s="6"/>
      <c r="E472" s="11"/>
    </row>
    <row r="473" spans="2:5" x14ac:dyDescent="0.25">
      <c r="B473" s="6"/>
      <c r="C473" s="6"/>
      <c r="D473" s="6"/>
      <c r="E473" s="11"/>
    </row>
    <row r="474" spans="2:5" x14ac:dyDescent="0.25">
      <c r="B474" s="6"/>
      <c r="C474" s="6"/>
      <c r="D474" s="6"/>
      <c r="E474" s="11"/>
    </row>
    <row r="475" spans="2:5" x14ac:dyDescent="0.25">
      <c r="B475" s="6"/>
      <c r="C475" s="6"/>
      <c r="D475" s="6"/>
      <c r="E475" s="11"/>
    </row>
    <row r="476" spans="2:5" x14ac:dyDescent="0.25">
      <c r="B476" s="6"/>
      <c r="C476" s="6"/>
      <c r="D476" s="6"/>
      <c r="E476" s="11"/>
    </row>
    <row r="477" spans="2:5" x14ac:dyDescent="0.25">
      <c r="B477" s="6"/>
      <c r="C477" s="6"/>
      <c r="D477" s="6"/>
      <c r="E477" s="11"/>
    </row>
    <row r="478" spans="2:5" x14ac:dyDescent="0.25">
      <c r="B478" s="6"/>
      <c r="C478" s="6"/>
      <c r="D478" s="6"/>
      <c r="E478" s="11"/>
    </row>
    <row r="479" spans="2:5" x14ac:dyDescent="0.25">
      <c r="B479" s="6"/>
      <c r="C479" s="6"/>
      <c r="D479" s="6"/>
      <c r="E479" s="11"/>
    </row>
    <row r="480" spans="2:5" x14ac:dyDescent="0.25">
      <c r="B480" s="6"/>
      <c r="C480" s="6"/>
      <c r="D480" s="6"/>
      <c r="E480" s="11"/>
    </row>
    <row r="481" spans="2:5" x14ac:dyDescent="0.25">
      <c r="B481" s="6"/>
      <c r="C481" s="6"/>
      <c r="D481" s="6"/>
      <c r="E481" s="11"/>
    </row>
    <row r="482" spans="2:5" x14ac:dyDescent="0.25">
      <c r="B482" s="6"/>
      <c r="C482" s="6"/>
      <c r="D482" s="6"/>
      <c r="E482" s="11"/>
    </row>
    <row r="483" spans="2:5" x14ac:dyDescent="0.25">
      <c r="B483" s="6"/>
      <c r="C483" s="6"/>
      <c r="D483" s="6"/>
      <c r="E483" s="11"/>
    </row>
    <row r="484" spans="2:5" x14ac:dyDescent="0.25">
      <c r="B484" s="6"/>
      <c r="C484" s="6"/>
      <c r="D484" s="6"/>
      <c r="E484" s="11"/>
    </row>
    <row r="485" spans="2:5" x14ac:dyDescent="0.25">
      <c r="B485" s="6"/>
      <c r="C485" s="6"/>
      <c r="D485" s="6"/>
      <c r="E485" s="11"/>
    </row>
    <row r="486" spans="2:5" x14ac:dyDescent="0.25">
      <c r="B486" s="6"/>
      <c r="C486" s="6"/>
      <c r="D486" s="6"/>
      <c r="E486" s="11"/>
    </row>
    <row r="487" spans="2:5" x14ac:dyDescent="0.25">
      <c r="B487" s="6"/>
      <c r="C487" s="6"/>
      <c r="D487" s="6"/>
      <c r="E487" s="11"/>
    </row>
    <row r="488" spans="2:5" x14ac:dyDescent="0.25">
      <c r="B488" s="6"/>
      <c r="C488" s="6"/>
      <c r="D488" s="6"/>
      <c r="E488" s="11"/>
    </row>
    <row r="489" spans="2:5" x14ac:dyDescent="0.25">
      <c r="B489" s="6"/>
      <c r="C489" s="6"/>
      <c r="D489" s="6"/>
      <c r="E489" s="11"/>
    </row>
    <row r="490" spans="2:5" x14ac:dyDescent="0.25">
      <c r="B490" s="6"/>
      <c r="C490" s="6"/>
      <c r="D490" s="6"/>
      <c r="E490" s="11"/>
    </row>
    <row r="491" spans="2:5" x14ac:dyDescent="0.25">
      <c r="B491" s="6"/>
      <c r="C491" s="6"/>
      <c r="D491" s="6"/>
      <c r="E491" s="11"/>
    </row>
    <row r="492" spans="2:5" x14ac:dyDescent="0.25">
      <c r="B492" s="6"/>
      <c r="C492" s="6"/>
      <c r="D492" s="6"/>
      <c r="E492" s="11"/>
    </row>
    <row r="493" spans="2:5" x14ac:dyDescent="0.25">
      <c r="B493" s="6"/>
      <c r="C493" s="6"/>
      <c r="D493" s="6"/>
      <c r="E493" s="11"/>
    </row>
    <row r="494" spans="2:5" x14ac:dyDescent="0.25">
      <c r="B494" s="6"/>
      <c r="C494" s="6"/>
      <c r="D494" s="6"/>
      <c r="E494" s="11"/>
    </row>
    <row r="495" spans="2:5" x14ac:dyDescent="0.25">
      <c r="B495" s="6"/>
      <c r="C495" s="6"/>
      <c r="D495" s="6"/>
      <c r="E495" s="11"/>
    </row>
    <row r="496" spans="2:5" x14ac:dyDescent="0.25">
      <c r="B496" s="6"/>
      <c r="C496" s="6"/>
      <c r="D496" s="6"/>
      <c r="E496" s="11"/>
    </row>
    <row r="497" spans="2:5" x14ac:dyDescent="0.25">
      <c r="B497" s="6"/>
      <c r="C497" s="6"/>
      <c r="D497" s="6"/>
      <c r="E497" s="11"/>
    </row>
    <row r="498" spans="2:5" x14ac:dyDescent="0.25">
      <c r="B498" s="6"/>
      <c r="C498" s="6"/>
      <c r="D498" s="6"/>
      <c r="E498" s="11"/>
    </row>
    <row r="499" spans="2:5" x14ac:dyDescent="0.25">
      <c r="B499" s="6"/>
      <c r="C499" s="6"/>
      <c r="D499" s="6"/>
      <c r="E499" s="11"/>
    </row>
    <row r="500" spans="2:5" x14ac:dyDescent="0.25">
      <c r="B500" s="6"/>
      <c r="C500" s="6"/>
      <c r="D500" s="6"/>
      <c r="E500" s="11"/>
    </row>
    <row r="501" spans="2:5" x14ac:dyDescent="0.25">
      <c r="B501" s="6"/>
      <c r="C501" s="6"/>
      <c r="D501" s="6"/>
      <c r="E501" s="11"/>
    </row>
    <row r="502" spans="2:5" x14ac:dyDescent="0.25">
      <c r="B502" s="6"/>
      <c r="C502" s="6"/>
      <c r="D502" s="6"/>
      <c r="E502" s="11"/>
    </row>
    <row r="503" spans="2:5" x14ac:dyDescent="0.25">
      <c r="B503" s="6"/>
      <c r="C503" s="6"/>
      <c r="D503" s="6"/>
      <c r="E503" s="11"/>
    </row>
    <row r="504" spans="2:5" x14ac:dyDescent="0.25">
      <c r="B504" s="6"/>
      <c r="C504" s="6"/>
      <c r="D504" s="6"/>
      <c r="E504" s="11"/>
    </row>
    <row r="505" spans="2:5" x14ac:dyDescent="0.25">
      <c r="B505" s="6"/>
      <c r="C505" s="6"/>
      <c r="D505" s="6"/>
      <c r="E505" s="11"/>
    </row>
    <row r="506" spans="2:5" x14ac:dyDescent="0.25">
      <c r="B506" s="6"/>
      <c r="C506" s="6"/>
      <c r="D506" s="6"/>
      <c r="E506" s="11"/>
    </row>
    <row r="507" spans="2:5" x14ac:dyDescent="0.25">
      <c r="B507" s="6"/>
      <c r="C507" s="6"/>
      <c r="D507" s="6"/>
      <c r="E507" s="11"/>
    </row>
    <row r="508" spans="2:5" x14ac:dyDescent="0.25">
      <c r="B508" s="6"/>
      <c r="C508" s="6"/>
      <c r="D508" s="6"/>
      <c r="E508" s="11"/>
    </row>
    <row r="509" spans="2:5" x14ac:dyDescent="0.25">
      <c r="B509" s="6"/>
      <c r="C509" s="6"/>
      <c r="D509" s="6"/>
      <c r="E509" s="11"/>
    </row>
    <row r="510" spans="2:5" x14ac:dyDescent="0.25">
      <c r="B510" s="6"/>
      <c r="C510" s="6"/>
      <c r="D510" s="6"/>
      <c r="E510" s="11"/>
    </row>
    <row r="511" spans="2:5" x14ac:dyDescent="0.25">
      <c r="B511" s="6"/>
      <c r="C511" s="6"/>
      <c r="D511" s="6"/>
      <c r="E511" s="11"/>
    </row>
    <row r="512" spans="2:5" x14ac:dyDescent="0.25">
      <c r="B512" s="6"/>
      <c r="C512" s="6"/>
      <c r="D512" s="6"/>
      <c r="E512" s="11"/>
    </row>
    <row r="513" spans="2:5" x14ac:dyDescent="0.25">
      <c r="B513" s="6"/>
      <c r="C513" s="6"/>
      <c r="D513" s="6"/>
      <c r="E513" s="11"/>
    </row>
    <row r="514" spans="2:5" x14ac:dyDescent="0.25">
      <c r="B514" s="6"/>
      <c r="C514" s="6"/>
      <c r="D514" s="6"/>
      <c r="E514" s="11"/>
    </row>
    <row r="515" spans="2:5" x14ac:dyDescent="0.25">
      <c r="B515" s="6"/>
      <c r="C515" s="6"/>
      <c r="D515" s="6"/>
      <c r="E515" s="11"/>
    </row>
    <row r="516" spans="2:5" x14ac:dyDescent="0.25">
      <c r="B516" s="6"/>
      <c r="C516" s="6"/>
      <c r="D516" s="6"/>
      <c r="E516" s="11"/>
    </row>
    <row r="517" spans="2:5" x14ac:dyDescent="0.25">
      <c r="B517" s="6"/>
      <c r="C517" s="6"/>
      <c r="D517" s="6"/>
      <c r="E517" s="11"/>
    </row>
    <row r="518" spans="2:5" x14ac:dyDescent="0.25">
      <c r="B518" s="6"/>
      <c r="C518" s="6"/>
      <c r="D518" s="6"/>
      <c r="E518" s="11"/>
    </row>
    <row r="519" spans="2:5" x14ac:dyDescent="0.25">
      <c r="B519" s="6"/>
      <c r="C519" s="6"/>
      <c r="D519" s="6"/>
      <c r="E519" s="11"/>
    </row>
    <row r="520" spans="2:5" x14ac:dyDescent="0.25">
      <c r="B520" s="6"/>
      <c r="C520" s="6"/>
      <c r="D520" s="6"/>
      <c r="E520" s="11"/>
    </row>
    <row r="521" spans="2:5" x14ac:dyDescent="0.25">
      <c r="B521" s="6"/>
      <c r="C521" s="6"/>
      <c r="D521" s="6"/>
      <c r="E521" s="11"/>
    </row>
    <row r="522" spans="2:5" x14ac:dyDescent="0.25">
      <c r="B522" s="6"/>
      <c r="C522" s="6"/>
      <c r="D522" s="6"/>
      <c r="E522" s="11"/>
    </row>
    <row r="523" spans="2:5" x14ac:dyDescent="0.25">
      <c r="B523" s="6"/>
      <c r="C523" s="6"/>
      <c r="D523" s="6"/>
      <c r="E523" s="11"/>
    </row>
    <row r="524" spans="2:5" x14ac:dyDescent="0.25">
      <c r="B524" s="6"/>
      <c r="C524" s="6"/>
      <c r="D524" s="6"/>
      <c r="E524" s="11"/>
    </row>
    <row r="525" spans="2:5" x14ac:dyDescent="0.25">
      <c r="B525" s="6"/>
      <c r="C525" s="6"/>
      <c r="D525" s="6"/>
      <c r="E525" s="11"/>
    </row>
    <row r="526" spans="2:5" x14ac:dyDescent="0.25">
      <c r="B526" s="6"/>
      <c r="C526" s="6"/>
      <c r="D526" s="6"/>
      <c r="E526" s="11"/>
    </row>
    <row r="527" spans="2:5" x14ac:dyDescent="0.25">
      <c r="B527" s="6"/>
      <c r="C527" s="6"/>
      <c r="D527" s="6"/>
      <c r="E527" s="11"/>
    </row>
    <row r="528" spans="2:5" x14ac:dyDescent="0.25">
      <c r="B528" s="6"/>
      <c r="C528" s="6"/>
      <c r="D528" s="6"/>
      <c r="E528" s="11"/>
    </row>
    <row r="529" spans="2:5" x14ac:dyDescent="0.25">
      <c r="B529" s="6"/>
      <c r="C529" s="6"/>
      <c r="D529" s="6"/>
      <c r="E529" s="11"/>
    </row>
    <row r="530" spans="2:5" x14ac:dyDescent="0.25">
      <c r="B530" s="6"/>
      <c r="C530" s="6"/>
      <c r="D530" s="6"/>
      <c r="E530" s="11"/>
    </row>
    <row r="531" spans="2:5" x14ac:dyDescent="0.25">
      <c r="B531" s="6"/>
      <c r="C531" s="6"/>
      <c r="D531" s="6"/>
      <c r="E531" s="11"/>
    </row>
    <row r="532" spans="2:5" x14ac:dyDescent="0.25">
      <c r="B532" s="6"/>
      <c r="C532" s="6"/>
      <c r="D532" s="6"/>
      <c r="E532" s="11"/>
    </row>
    <row r="533" spans="2:5" x14ac:dyDescent="0.25">
      <c r="B533" s="6"/>
      <c r="C533" s="6"/>
      <c r="D533" s="6"/>
      <c r="E533" s="11"/>
    </row>
    <row r="534" spans="2:5" x14ac:dyDescent="0.25">
      <c r="B534" s="6"/>
      <c r="C534" s="6"/>
      <c r="D534" s="6"/>
      <c r="E534" s="11"/>
    </row>
    <row r="535" spans="2:5" x14ac:dyDescent="0.25">
      <c r="B535" s="6"/>
      <c r="C535" s="6"/>
      <c r="D535" s="6"/>
      <c r="E535" s="11"/>
    </row>
    <row r="536" spans="2:5" x14ac:dyDescent="0.25">
      <c r="B536" s="6"/>
      <c r="C536" s="6"/>
      <c r="D536" s="6"/>
      <c r="E536" s="11"/>
    </row>
    <row r="537" spans="2:5" x14ac:dyDescent="0.25">
      <c r="B537" s="6"/>
      <c r="C537" s="6"/>
      <c r="D537" s="6"/>
      <c r="E537" s="11"/>
    </row>
    <row r="538" spans="2:5" x14ac:dyDescent="0.25">
      <c r="B538" s="6"/>
      <c r="C538" s="6"/>
      <c r="D538" s="6"/>
      <c r="E538" s="11"/>
    </row>
    <row r="539" spans="2:5" x14ac:dyDescent="0.25">
      <c r="B539" s="6"/>
      <c r="C539" s="6"/>
      <c r="D539" s="6"/>
      <c r="E539" s="11"/>
    </row>
    <row r="540" spans="2:5" x14ac:dyDescent="0.25">
      <c r="B540" s="6"/>
      <c r="C540" s="6"/>
      <c r="D540" s="6"/>
      <c r="E540" s="11"/>
    </row>
    <row r="541" spans="2:5" x14ac:dyDescent="0.25">
      <c r="B541" s="6"/>
      <c r="C541" s="6"/>
      <c r="D541" s="6"/>
      <c r="E541" s="11"/>
    </row>
    <row r="542" spans="2:5" x14ac:dyDescent="0.25">
      <c r="B542" s="6"/>
      <c r="C542" s="6"/>
      <c r="D542" s="6"/>
      <c r="E542" s="11"/>
    </row>
    <row r="543" spans="2:5" x14ac:dyDescent="0.25">
      <c r="B543" s="6"/>
      <c r="C543" s="6"/>
      <c r="D543" s="6"/>
      <c r="E543" s="11"/>
    </row>
    <row r="544" spans="2:5" x14ac:dyDescent="0.25">
      <c r="B544" s="6"/>
      <c r="C544" s="6"/>
      <c r="D544" s="6"/>
      <c r="E544" s="11"/>
    </row>
    <row r="545" spans="2:5" x14ac:dyDescent="0.25">
      <c r="B545" s="6"/>
      <c r="C545" s="6"/>
      <c r="D545" s="6"/>
      <c r="E545" s="11"/>
    </row>
    <row r="546" spans="2:5" x14ac:dyDescent="0.25">
      <c r="B546" s="6"/>
      <c r="C546" s="6"/>
      <c r="D546" s="6"/>
      <c r="E546" s="11"/>
    </row>
    <row r="547" spans="2:5" x14ac:dyDescent="0.25">
      <c r="B547" s="6"/>
      <c r="C547" s="6"/>
      <c r="D547" s="6"/>
      <c r="E547" s="11"/>
    </row>
    <row r="548" spans="2:5" x14ac:dyDescent="0.25">
      <c r="B548" s="6"/>
      <c r="C548" s="6"/>
      <c r="D548" s="6"/>
      <c r="E548" s="11"/>
    </row>
    <row r="549" spans="2:5" x14ac:dyDescent="0.25">
      <c r="B549" s="6"/>
      <c r="C549" s="6"/>
      <c r="D549" s="6"/>
      <c r="E549" s="11"/>
    </row>
    <row r="550" spans="2:5" x14ac:dyDescent="0.25">
      <c r="B550" s="6"/>
      <c r="C550" s="6"/>
      <c r="D550" s="6"/>
      <c r="E550" s="11"/>
    </row>
    <row r="551" spans="2:5" x14ac:dyDescent="0.25">
      <c r="B551" s="6"/>
      <c r="C551" s="6"/>
      <c r="D551" s="6"/>
      <c r="E551" s="11"/>
    </row>
    <row r="552" spans="2:5" x14ac:dyDescent="0.25">
      <c r="B552" s="6"/>
      <c r="C552" s="6"/>
      <c r="D552" s="6"/>
      <c r="E552" s="11"/>
    </row>
    <row r="553" spans="2:5" x14ac:dyDescent="0.25">
      <c r="B553" s="6"/>
      <c r="C553" s="6"/>
      <c r="D553" s="6"/>
      <c r="E553" s="11"/>
    </row>
    <row r="554" spans="2:5" x14ac:dyDescent="0.25">
      <c r="B554" s="6"/>
      <c r="C554" s="6"/>
      <c r="D554" s="6"/>
      <c r="E554" s="11"/>
    </row>
    <row r="555" spans="2:5" x14ac:dyDescent="0.25">
      <c r="B555" s="6"/>
      <c r="C555" s="6"/>
      <c r="D555" s="6"/>
      <c r="E555" s="11"/>
    </row>
    <row r="556" spans="2:5" x14ac:dyDescent="0.25">
      <c r="B556" s="6"/>
      <c r="C556" s="6"/>
      <c r="D556" s="6"/>
      <c r="E556" s="11"/>
    </row>
    <row r="557" spans="2:5" x14ac:dyDescent="0.25">
      <c r="B557" s="6"/>
      <c r="C557" s="6"/>
      <c r="D557" s="6"/>
      <c r="E557" s="11"/>
    </row>
    <row r="558" spans="2:5" x14ac:dyDescent="0.25">
      <c r="B558" s="6"/>
      <c r="C558" s="6"/>
      <c r="D558" s="6"/>
      <c r="E558" s="11"/>
    </row>
    <row r="559" spans="2:5" x14ac:dyDescent="0.25">
      <c r="B559" s="6"/>
      <c r="C559" s="6"/>
      <c r="D559" s="6"/>
      <c r="E559" s="11"/>
    </row>
    <row r="560" spans="2:5" x14ac:dyDescent="0.25">
      <c r="B560" s="6"/>
      <c r="C560" s="6"/>
      <c r="D560" s="6"/>
      <c r="E560" s="11"/>
    </row>
    <row r="561" spans="2:5" x14ac:dyDescent="0.25">
      <c r="B561" s="6"/>
      <c r="C561" s="6"/>
      <c r="D561" s="6"/>
      <c r="E561" s="11"/>
    </row>
    <row r="562" spans="2:5" x14ac:dyDescent="0.25">
      <c r="B562" s="6"/>
      <c r="C562" s="6"/>
      <c r="D562" s="6"/>
      <c r="E562" s="11"/>
    </row>
    <row r="563" spans="2:5" x14ac:dyDescent="0.25">
      <c r="B563" s="6"/>
      <c r="C563" s="6"/>
      <c r="D563" s="6"/>
      <c r="E563" s="11"/>
    </row>
    <row r="564" spans="2:5" x14ac:dyDescent="0.25">
      <c r="B564" s="6"/>
      <c r="C564" s="6"/>
      <c r="D564" s="6"/>
      <c r="E564" s="11"/>
    </row>
    <row r="565" spans="2:5" x14ac:dyDescent="0.25">
      <c r="B565" s="6"/>
      <c r="C565" s="6"/>
      <c r="D565" s="6"/>
      <c r="E565" s="11"/>
    </row>
    <row r="566" spans="2:5" x14ac:dyDescent="0.25">
      <c r="B566" s="6"/>
      <c r="C566" s="6"/>
      <c r="D566" s="6"/>
      <c r="E566" s="11"/>
    </row>
    <row r="567" spans="2:5" x14ac:dyDescent="0.25">
      <c r="B567" s="6"/>
      <c r="C567" s="6"/>
      <c r="D567" s="6"/>
      <c r="E567" s="11"/>
    </row>
    <row r="568" spans="2:5" x14ac:dyDescent="0.25">
      <c r="B568" s="6"/>
      <c r="C568" s="6"/>
      <c r="D568" s="6"/>
      <c r="E568" s="11"/>
    </row>
    <row r="569" spans="2:5" x14ac:dyDescent="0.25">
      <c r="B569" s="6"/>
      <c r="C569" s="6"/>
      <c r="D569" s="6"/>
      <c r="E569" s="11"/>
    </row>
    <row r="570" spans="2:5" x14ac:dyDescent="0.25">
      <c r="B570" s="6"/>
      <c r="C570" s="6"/>
      <c r="D570" s="6"/>
      <c r="E570" s="11"/>
    </row>
    <row r="571" spans="2:5" x14ac:dyDescent="0.25">
      <c r="B571" s="6"/>
      <c r="C571" s="6"/>
      <c r="D571" s="6"/>
      <c r="E571" s="11"/>
    </row>
    <row r="572" spans="2:5" x14ac:dyDescent="0.25">
      <c r="B572" s="6"/>
      <c r="C572" s="6"/>
      <c r="D572" s="6"/>
      <c r="E572" s="11"/>
    </row>
    <row r="573" spans="2:5" x14ac:dyDescent="0.25">
      <c r="B573" s="6"/>
      <c r="C573" s="6"/>
      <c r="D573" s="6"/>
      <c r="E573" s="11"/>
    </row>
    <row r="574" spans="2:5" x14ac:dyDescent="0.25">
      <c r="B574" s="6"/>
      <c r="C574" s="6"/>
      <c r="D574" s="6"/>
      <c r="E574" s="11"/>
    </row>
    <row r="575" spans="2:5" x14ac:dyDescent="0.25">
      <c r="B575" s="6"/>
      <c r="C575" s="6"/>
      <c r="D575" s="6"/>
      <c r="E575" s="11"/>
    </row>
    <row r="576" spans="2:5" x14ac:dyDescent="0.25">
      <c r="B576" s="6"/>
      <c r="C576" s="6"/>
      <c r="D576" s="6"/>
      <c r="E576" s="11"/>
    </row>
    <row r="577" spans="2:5" x14ac:dyDescent="0.25">
      <c r="B577" s="6"/>
      <c r="C577" s="6"/>
      <c r="D577" s="6"/>
      <c r="E577" s="11"/>
    </row>
    <row r="578" spans="2:5" x14ac:dyDescent="0.25">
      <c r="B578" s="6"/>
      <c r="C578" s="6"/>
      <c r="D578" s="6"/>
      <c r="E578" s="11"/>
    </row>
    <row r="579" spans="2:5" x14ac:dyDescent="0.25">
      <c r="B579" s="6"/>
      <c r="C579" s="6"/>
      <c r="D579" s="6"/>
      <c r="E579" s="11"/>
    </row>
    <row r="580" spans="2:5" x14ac:dyDescent="0.25">
      <c r="B580" s="6"/>
      <c r="C580" s="6"/>
      <c r="D580" s="6"/>
      <c r="E580" s="11"/>
    </row>
    <row r="581" spans="2:5" x14ac:dyDescent="0.25">
      <c r="B581" s="6"/>
      <c r="C581" s="6"/>
      <c r="D581" s="6"/>
      <c r="E581" s="11"/>
    </row>
    <row r="582" spans="2:5" x14ac:dyDescent="0.25">
      <c r="B582" s="6"/>
      <c r="C582" s="6"/>
      <c r="D582" s="6"/>
      <c r="E582" s="11"/>
    </row>
    <row r="583" spans="2:5" x14ac:dyDescent="0.25">
      <c r="B583" s="6"/>
      <c r="C583" s="6"/>
      <c r="D583" s="6"/>
      <c r="E583" s="11"/>
    </row>
    <row r="584" spans="2:5" x14ac:dyDescent="0.25">
      <c r="B584" s="6"/>
      <c r="C584" s="6"/>
      <c r="D584" s="6"/>
      <c r="E584" s="11"/>
    </row>
    <row r="585" spans="2:5" x14ac:dyDescent="0.25">
      <c r="B585" s="6"/>
      <c r="C585" s="6"/>
      <c r="D585" s="6"/>
      <c r="E585" s="11"/>
    </row>
    <row r="586" spans="2:5" x14ac:dyDescent="0.25">
      <c r="B586" s="6"/>
      <c r="C586" s="6"/>
      <c r="D586" s="6"/>
      <c r="E586" s="11"/>
    </row>
    <row r="587" spans="2:5" x14ac:dyDescent="0.25">
      <c r="B587" s="6"/>
      <c r="C587" s="6"/>
      <c r="D587" s="6"/>
      <c r="E587" s="11"/>
    </row>
    <row r="588" spans="2:5" x14ac:dyDescent="0.25">
      <c r="B588" s="6"/>
      <c r="C588" s="6"/>
      <c r="D588" s="6"/>
      <c r="E588" s="11"/>
    </row>
    <row r="589" spans="2:5" x14ac:dyDescent="0.25">
      <c r="B589" s="6"/>
      <c r="C589" s="6"/>
      <c r="D589" s="6"/>
      <c r="E589" s="11"/>
    </row>
    <row r="590" spans="2:5" x14ac:dyDescent="0.25">
      <c r="B590" s="6"/>
      <c r="C590" s="6"/>
      <c r="D590" s="6"/>
      <c r="E590" s="11"/>
    </row>
    <row r="591" spans="2:5" x14ac:dyDescent="0.25">
      <c r="B591" s="6"/>
      <c r="C591" s="6"/>
      <c r="D591" s="6"/>
      <c r="E591" s="11"/>
    </row>
    <row r="592" spans="2:5" x14ac:dyDescent="0.25">
      <c r="B592" s="6"/>
      <c r="C592" s="6"/>
      <c r="D592" s="6"/>
      <c r="E592" s="11"/>
    </row>
    <row r="593" spans="2:5" x14ac:dyDescent="0.25">
      <c r="B593" s="6"/>
      <c r="C593" s="6"/>
      <c r="D593" s="6"/>
      <c r="E593" s="11"/>
    </row>
    <row r="594" spans="2:5" x14ac:dyDescent="0.25">
      <c r="B594" s="6"/>
      <c r="C594" s="6"/>
      <c r="D594" s="6"/>
      <c r="E594" s="11"/>
    </row>
    <row r="595" spans="2:5" x14ac:dyDescent="0.25">
      <c r="B595" s="6"/>
      <c r="C595" s="6"/>
      <c r="D595" s="6"/>
      <c r="E595" s="11"/>
    </row>
    <row r="596" spans="2:5" x14ac:dyDescent="0.25">
      <c r="B596" s="6"/>
      <c r="C596" s="6"/>
      <c r="D596" s="6"/>
      <c r="E596" s="11"/>
    </row>
    <row r="597" spans="2:5" x14ac:dyDescent="0.25">
      <c r="B597" s="6"/>
      <c r="C597" s="6"/>
      <c r="D597" s="6"/>
      <c r="E597" s="11"/>
    </row>
    <row r="598" spans="2:5" x14ac:dyDescent="0.25">
      <c r="B598" s="6"/>
      <c r="C598" s="6"/>
      <c r="D598" s="6"/>
      <c r="E598" s="11"/>
    </row>
    <row r="599" spans="2:5" x14ac:dyDescent="0.25">
      <c r="B599" s="6"/>
      <c r="C599" s="6"/>
      <c r="D599" s="6"/>
      <c r="E599" s="11"/>
    </row>
    <row r="600" spans="2:5" x14ac:dyDescent="0.25">
      <c r="B600" s="6"/>
      <c r="C600" s="6"/>
      <c r="D600" s="6"/>
      <c r="E600" s="11"/>
    </row>
    <row r="601" spans="2:5" x14ac:dyDescent="0.25">
      <c r="B601" s="6"/>
      <c r="C601" s="6"/>
      <c r="D601" s="6"/>
      <c r="E601" s="11"/>
    </row>
    <row r="602" spans="2:5" x14ac:dyDescent="0.25">
      <c r="B602" s="6"/>
      <c r="C602" s="6"/>
      <c r="D602" s="6"/>
      <c r="E602" s="11"/>
    </row>
    <row r="603" spans="2:5" x14ac:dyDescent="0.25">
      <c r="B603" s="6"/>
      <c r="C603" s="6"/>
      <c r="D603" s="6"/>
      <c r="E603" s="11"/>
    </row>
    <row r="604" spans="2:5" x14ac:dyDescent="0.25">
      <c r="B604" s="6"/>
      <c r="C604" s="6"/>
      <c r="D604" s="6"/>
      <c r="E604" s="11"/>
    </row>
    <row r="605" spans="2:5" x14ac:dyDescent="0.25">
      <c r="B605" s="6"/>
      <c r="C605" s="6"/>
      <c r="D605" s="6"/>
      <c r="E605" s="11"/>
    </row>
    <row r="606" spans="2:5" x14ac:dyDescent="0.25">
      <c r="B606" s="6"/>
      <c r="C606" s="6"/>
      <c r="D606" s="6"/>
      <c r="E606" s="11"/>
    </row>
    <row r="607" spans="2:5" x14ac:dyDescent="0.25">
      <c r="B607" s="6"/>
      <c r="C607" s="6"/>
      <c r="D607" s="6"/>
      <c r="E607" s="11"/>
    </row>
    <row r="608" spans="2:5" x14ac:dyDescent="0.25">
      <c r="B608" s="6"/>
      <c r="C608" s="6"/>
      <c r="D608" s="6"/>
      <c r="E608" s="11"/>
    </row>
    <row r="609" spans="2:5" x14ac:dyDescent="0.25">
      <c r="B609" s="6"/>
      <c r="C609" s="6"/>
      <c r="D609" s="6"/>
      <c r="E609" s="11"/>
    </row>
    <row r="610" spans="2:5" x14ac:dyDescent="0.25">
      <c r="B610" s="6"/>
      <c r="C610" s="6"/>
      <c r="D610" s="6"/>
      <c r="E610" s="11"/>
    </row>
    <row r="611" spans="2:5" x14ac:dyDescent="0.25">
      <c r="B611" s="6"/>
      <c r="C611" s="6"/>
      <c r="D611" s="6"/>
      <c r="E611" s="11"/>
    </row>
    <row r="612" spans="2:5" x14ac:dyDescent="0.25">
      <c r="B612" s="6"/>
      <c r="C612" s="6"/>
      <c r="D612" s="6"/>
      <c r="E612" s="11"/>
    </row>
    <row r="613" spans="2:5" x14ac:dyDescent="0.25">
      <c r="B613" s="6"/>
      <c r="C613" s="6"/>
      <c r="D613" s="6"/>
      <c r="E613" s="11"/>
    </row>
    <row r="614" spans="2:5" x14ac:dyDescent="0.25">
      <c r="B614" s="6"/>
      <c r="C614" s="6"/>
      <c r="D614" s="6"/>
      <c r="E614" s="11"/>
    </row>
    <row r="615" spans="2:5" x14ac:dyDescent="0.25">
      <c r="B615" s="6"/>
      <c r="C615" s="6"/>
      <c r="D615" s="6"/>
      <c r="E615" s="11"/>
    </row>
    <row r="616" spans="2:5" x14ac:dyDescent="0.25">
      <c r="B616" s="6"/>
      <c r="C616" s="6"/>
      <c r="D616" s="6"/>
      <c r="E616" s="11"/>
    </row>
    <row r="617" spans="2:5" x14ac:dyDescent="0.25">
      <c r="B617" s="6"/>
      <c r="C617" s="6"/>
      <c r="D617" s="6"/>
      <c r="E617" s="11"/>
    </row>
    <row r="618" spans="2:5" x14ac:dyDescent="0.25">
      <c r="B618" s="6"/>
      <c r="C618" s="6"/>
      <c r="D618" s="6"/>
      <c r="E618" s="11"/>
    </row>
    <row r="619" spans="2:5" x14ac:dyDescent="0.25">
      <c r="B619" s="6"/>
      <c r="C619" s="6"/>
      <c r="D619" s="6"/>
      <c r="E619" s="11"/>
    </row>
    <row r="620" spans="2:5" x14ac:dyDescent="0.25">
      <c r="B620" s="6"/>
      <c r="C620" s="6"/>
      <c r="D620" s="6"/>
      <c r="E620" s="11"/>
    </row>
    <row r="621" spans="2:5" x14ac:dyDescent="0.25">
      <c r="B621" s="6"/>
      <c r="C621" s="6"/>
      <c r="D621" s="6"/>
      <c r="E621" s="11"/>
    </row>
    <row r="622" spans="2:5" x14ac:dyDescent="0.25">
      <c r="B622" s="6"/>
      <c r="C622" s="6"/>
      <c r="D622" s="6"/>
      <c r="E622" s="11"/>
    </row>
    <row r="623" spans="2:5" x14ac:dyDescent="0.25">
      <c r="B623" s="6"/>
      <c r="C623" s="6"/>
      <c r="D623" s="6"/>
      <c r="E623" s="11"/>
    </row>
    <row r="624" spans="2:5" x14ac:dyDescent="0.25">
      <c r="B624" s="6"/>
      <c r="C624" s="6"/>
      <c r="D624" s="6"/>
      <c r="E624" s="11"/>
    </row>
    <row r="625" spans="2:5" x14ac:dyDescent="0.25">
      <c r="B625" s="6"/>
      <c r="C625" s="6"/>
      <c r="D625" s="6"/>
      <c r="E625" s="11"/>
    </row>
    <row r="626" spans="2:5" x14ac:dyDescent="0.25">
      <c r="B626" s="6"/>
      <c r="C626" s="6"/>
      <c r="D626" s="6"/>
      <c r="E626" s="11"/>
    </row>
    <row r="627" spans="2:5" x14ac:dyDescent="0.25">
      <c r="B627" s="6"/>
      <c r="C627" s="6"/>
      <c r="D627" s="6"/>
      <c r="E627" s="11"/>
    </row>
    <row r="628" spans="2:5" x14ac:dyDescent="0.25">
      <c r="B628" s="6"/>
      <c r="C628" s="6"/>
      <c r="D628" s="6"/>
      <c r="E628" s="11"/>
    </row>
    <row r="629" spans="2:5" x14ac:dyDescent="0.25">
      <c r="B629" s="6"/>
      <c r="C629" s="6"/>
      <c r="D629" s="6"/>
      <c r="E629" s="11"/>
    </row>
    <row r="630" spans="2:5" x14ac:dyDescent="0.25">
      <c r="B630" s="6"/>
      <c r="C630" s="6"/>
      <c r="D630" s="6"/>
      <c r="E630" s="11"/>
    </row>
    <row r="631" spans="2:5" x14ac:dyDescent="0.25">
      <c r="B631" s="6"/>
      <c r="C631" s="6"/>
      <c r="D631" s="6"/>
      <c r="E631" s="11"/>
    </row>
    <row r="632" spans="2:5" x14ac:dyDescent="0.25">
      <c r="B632" s="6"/>
      <c r="C632" s="6"/>
      <c r="D632" s="6"/>
      <c r="E632" s="11"/>
    </row>
    <row r="633" spans="2:5" x14ac:dyDescent="0.25">
      <c r="B633" s="6"/>
      <c r="C633" s="6"/>
      <c r="D633" s="6"/>
      <c r="E633" s="11"/>
    </row>
    <row r="634" spans="2:5" x14ac:dyDescent="0.25">
      <c r="B634" s="6"/>
      <c r="C634" s="6"/>
      <c r="D634" s="6"/>
      <c r="E634" s="11"/>
    </row>
    <row r="635" spans="2:5" x14ac:dyDescent="0.25">
      <c r="B635" s="6"/>
      <c r="C635" s="6"/>
      <c r="D635" s="6"/>
      <c r="E635" s="11"/>
    </row>
    <row r="636" spans="2:5" x14ac:dyDescent="0.25">
      <c r="B636" s="6"/>
      <c r="C636" s="6"/>
      <c r="D636" s="6"/>
      <c r="E636" s="11"/>
    </row>
    <row r="637" spans="2:5" x14ac:dyDescent="0.25">
      <c r="B637" s="6"/>
      <c r="C637" s="6"/>
      <c r="D637" s="6"/>
      <c r="E637" s="11"/>
    </row>
    <row r="638" spans="2:5" x14ac:dyDescent="0.25">
      <c r="B638" s="6"/>
      <c r="C638" s="6"/>
      <c r="D638" s="6"/>
      <c r="E638" s="11"/>
    </row>
    <row r="639" spans="2:5" x14ac:dyDescent="0.25">
      <c r="B639" s="6"/>
      <c r="C639" s="6"/>
      <c r="D639" s="6"/>
      <c r="E639" s="11"/>
    </row>
    <row r="640" spans="2:5" x14ac:dyDescent="0.25">
      <c r="B640" s="6"/>
      <c r="C640" s="6"/>
      <c r="D640" s="6"/>
      <c r="E640" s="11"/>
    </row>
    <row r="641" spans="2:5" x14ac:dyDescent="0.25">
      <c r="B641" s="6"/>
      <c r="C641" s="6"/>
      <c r="D641" s="6"/>
      <c r="E641" s="11"/>
    </row>
    <row r="642" spans="2:5" x14ac:dyDescent="0.25">
      <c r="B642" s="6"/>
      <c r="C642" s="6"/>
      <c r="D642" s="6"/>
      <c r="E642" s="11"/>
    </row>
    <row r="643" spans="2:5" x14ac:dyDescent="0.25">
      <c r="B643" s="6"/>
      <c r="C643" s="6"/>
      <c r="D643" s="6"/>
      <c r="E643" s="11"/>
    </row>
    <row r="644" spans="2:5" x14ac:dyDescent="0.25">
      <c r="B644" s="6"/>
      <c r="C644" s="6"/>
      <c r="D644" s="6"/>
      <c r="E644" s="11"/>
    </row>
    <row r="645" spans="2:5" x14ac:dyDescent="0.25">
      <c r="B645" s="6"/>
      <c r="C645" s="6"/>
      <c r="D645" s="6"/>
      <c r="E645" s="11"/>
    </row>
    <row r="646" spans="2:5" x14ac:dyDescent="0.25">
      <c r="B646" s="6"/>
      <c r="C646" s="6"/>
      <c r="D646" s="6"/>
      <c r="E646" s="11"/>
    </row>
    <row r="647" spans="2:5" x14ac:dyDescent="0.25">
      <c r="B647" s="6"/>
      <c r="C647" s="6"/>
      <c r="D647" s="6"/>
      <c r="E647" s="11"/>
    </row>
    <row r="648" spans="2:5" x14ac:dyDescent="0.25">
      <c r="B648" s="6"/>
      <c r="C648" s="6"/>
      <c r="D648" s="6"/>
      <c r="E648" s="11"/>
    </row>
    <row r="649" spans="2:5" x14ac:dyDescent="0.25">
      <c r="B649" s="6"/>
      <c r="C649" s="6"/>
      <c r="D649" s="6"/>
      <c r="E649" s="11"/>
    </row>
    <row r="650" spans="2:5" x14ac:dyDescent="0.25">
      <c r="B650" s="6"/>
      <c r="C650" s="6"/>
      <c r="D650" s="6"/>
      <c r="E650" s="11"/>
    </row>
    <row r="651" spans="2:5" x14ac:dyDescent="0.25">
      <c r="B651" s="6"/>
      <c r="C651" s="6"/>
      <c r="D651" s="6"/>
      <c r="E651" s="11"/>
    </row>
    <row r="652" spans="2:5" x14ac:dyDescent="0.25">
      <c r="B652" s="6"/>
      <c r="C652" s="6"/>
      <c r="D652" s="6"/>
      <c r="E652" s="11"/>
    </row>
    <row r="653" spans="2:5" x14ac:dyDescent="0.25">
      <c r="B653" s="6"/>
      <c r="C653" s="6"/>
      <c r="D653" s="6"/>
      <c r="E653" s="11"/>
    </row>
    <row r="654" spans="2:5" x14ac:dyDescent="0.25">
      <c r="B654" s="6"/>
      <c r="C654" s="6"/>
      <c r="D654" s="6"/>
      <c r="E654" s="11"/>
    </row>
    <row r="655" spans="2:5" x14ac:dyDescent="0.25">
      <c r="B655" s="6"/>
      <c r="C655" s="6"/>
      <c r="D655" s="6"/>
      <c r="E655" s="11"/>
    </row>
    <row r="656" spans="2:5" x14ac:dyDescent="0.25">
      <c r="B656" s="6"/>
      <c r="C656" s="6"/>
      <c r="D656" s="6"/>
      <c r="E656" s="11"/>
    </row>
    <row r="657" spans="2:5" x14ac:dyDescent="0.25">
      <c r="B657" s="6"/>
      <c r="C657" s="6"/>
      <c r="D657" s="6"/>
      <c r="E657" s="11"/>
    </row>
    <row r="658" spans="2:5" x14ac:dyDescent="0.25">
      <c r="B658" s="6"/>
      <c r="C658" s="6"/>
      <c r="D658" s="6"/>
      <c r="E658" s="11"/>
    </row>
    <row r="659" spans="2:5" x14ac:dyDescent="0.25">
      <c r="B659" s="6"/>
      <c r="C659" s="6"/>
      <c r="D659" s="6"/>
      <c r="E659" s="11"/>
    </row>
    <row r="660" spans="2:5" x14ac:dyDescent="0.25">
      <c r="B660" s="6"/>
      <c r="C660" s="6"/>
      <c r="D660" s="6"/>
      <c r="E660" s="11"/>
    </row>
    <row r="661" spans="2:5" x14ac:dyDescent="0.25">
      <c r="B661" s="6"/>
      <c r="C661" s="6"/>
      <c r="D661" s="6"/>
      <c r="E661" s="11"/>
    </row>
    <row r="662" spans="2:5" x14ac:dyDescent="0.25">
      <c r="B662" s="6"/>
      <c r="C662" s="6"/>
      <c r="D662" s="6"/>
      <c r="E662" s="11"/>
    </row>
    <row r="663" spans="2:5" x14ac:dyDescent="0.25">
      <c r="B663" s="6"/>
      <c r="C663" s="6"/>
      <c r="D663" s="6"/>
      <c r="E663" s="11"/>
    </row>
    <row r="664" spans="2:5" x14ac:dyDescent="0.25">
      <c r="B664" s="6"/>
      <c r="C664" s="6"/>
      <c r="D664" s="6"/>
      <c r="E664" s="11"/>
    </row>
    <row r="665" spans="2:5" x14ac:dyDescent="0.25">
      <c r="B665" s="6"/>
      <c r="C665" s="6"/>
      <c r="D665" s="6"/>
      <c r="E665" s="11"/>
    </row>
    <row r="666" spans="2:5" x14ac:dyDescent="0.25">
      <c r="B666" s="6"/>
      <c r="C666" s="6"/>
      <c r="D666" s="6"/>
      <c r="E666" s="11"/>
    </row>
    <row r="667" spans="2:5" x14ac:dyDescent="0.25">
      <c r="B667" s="6"/>
      <c r="C667" s="6"/>
      <c r="D667" s="6"/>
      <c r="E667" s="11"/>
    </row>
    <row r="668" spans="2:5" x14ac:dyDescent="0.25">
      <c r="B668" s="6"/>
      <c r="C668" s="6"/>
      <c r="D668" s="6"/>
      <c r="E668" s="11"/>
    </row>
    <row r="669" spans="2:5" x14ac:dyDescent="0.25">
      <c r="B669" s="6"/>
      <c r="C669" s="6"/>
      <c r="D669" s="6"/>
      <c r="E669" s="11"/>
    </row>
    <row r="670" spans="2:5" x14ac:dyDescent="0.25">
      <c r="B670" s="6"/>
      <c r="C670" s="6"/>
      <c r="D670" s="6"/>
      <c r="E670" s="11"/>
    </row>
    <row r="671" spans="2:5" x14ac:dyDescent="0.25">
      <c r="B671" s="6"/>
      <c r="C671" s="6"/>
      <c r="D671" s="6"/>
      <c r="E671" s="11"/>
    </row>
    <row r="672" spans="2:5" x14ac:dyDescent="0.25">
      <c r="B672" s="6"/>
      <c r="C672" s="6"/>
      <c r="D672" s="6"/>
      <c r="E672" s="11"/>
    </row>
    <row r="673" spans="2:5" x14ac:dyDescent="0.25">
      <c r="B673" s="6"/>
      <c r="C673" s="6"/>
      <c r="D673" s="6"/>
      <c r="E673" s="11"/>
    </row>
    <row r="674" spans="2:5" x14ac:dyDescent="0.25">
      <c r="B674" s="6"/>
      <c r="C674" s="6"/>
      <c r="D674" s="6"/>
      <c r="E674" s="11"/>
    </row>
    <row r="675" spans="2:5" x14ac:dyDescent="0.25">
      <c r="B675" s="6"/>
      <c r="C675" s="6"/>
      <c r="D675" s="6"/>
      <c r="E675" s="11"/>
    </row>
    <row r="676" spans="2:5" x14ac:dyDescent="0.25">
      <c r="B676" s="6"/>
      <c r="C676" s="6"/>
      <c r="D676" s="6"/>
      <c r="E676" s="11"/>
    </row>
    <row r="677" spans="2:5" x14ac:dyDescent="0.25">
      <c r="B677" s="6"/>
      <c r="C677" s="6"/>
      <c r="D677" s="6"/>
      <c r="E677" s="11"/>
    </row>
    <row r="678" spans="2:5" x14ac:dyDescent="0.25">
      <c r="B678" s="6"/>
      <c r="C678" s="6"/>
      <c r="D678" s="6"/>
      <c r="E678" s="11"/>
    </row>
    <row r="679" spans="2:5" x14ac:dyDescent="0.25">
      <c r="B679" s="6"/>
      <c r="C679" s="6"/>
      <c r="D679" s="6"/>
      <c r="E679" s="11"/>
    </row>
    <row r="680" spans="2:5" x14ac:dyDescent="0.25">
      <c r="B680" s="6"/>
      <c r="C680" s="6"/>
      <c r="D680" s="6"/>
      <c r="E680" s="11"/>
    </row>
    <row r="681" spans="2:5" x14ac:dyDescent="0.25">
      <c r="B681" s="6"/>
      <c r="C681" s="6"/>
      <c r="D681" s="6"/>
      <c r="E681" s="11"/>
    </row>
    <row r="682" spans="2:5" x14ac:dyDescent="0.25">
      <c r="B682" s="6"/>
      <c r="C682" s="6"/>
      <c r="D682" s="6"/>
      <c r="E682" s="11"/>
    </row>
    <row r="683" spans="2:5" x14ac:dyDescent="0.25">
      <c r="B683" s="6"/>
      <c r="C683" s="6"/>
      <c r="D683" s="6"/>
      <c r="E683" s="11"/>
    </row>
    <row r="684" spans="2:5" x14ac:dyDescent="0.25">
      <c r="B684" s="6"/>
      <c r="C684" s="6"/>
      <c r="D684" s="6"/>
      <c r="E684" s="11"/>
    </row>
    <row r="685" spans="2:5" x14ac:dyDescent="0.25">
      <c r="B685" s="6"/>
      <c r="C685" s="6"/>
      <c r="D685" s="6"/>
      <c r="E685" s="11"/>
    </row>
    <row r="686" spans="2:5" x14ac:dyDescent="0.25">
      <c r="B686" s="6"/>
      <c r="C686" s="6"/>
      <c r="D686" s="6"/>
      <c r="E686" s="11"/>
    </row>
    <row r="687" spans="2:5" x14ac:dyDescent="0.25">
      <c r="B687" s="6"/>
      <c r="C687" s="6"/>
      <c r="D687" s="6"/>
      <c r="E687" s="11"/>
    </row>
    <row r="688" spans="2:5" x14ac:dyDescent="0.25">
      <c r="B688" s="6"/>
      <c r="C688" s="6"/>
      <c r="D688" s="6"/>
      <c r="E688" s="11"/>
    </row>
    <row r="689" spans="2:5" x14ac:dyDescent="0.25">
      <c r="B689" s="6"/>
      <c r="C689" s="6"/>
      <c r="D689" s="6"/>
      <c r="E689" s="11"/>
    </row>
    <row r="690" spans="2:5" x14ac:dyDescent="0.25">
      <c r="B690" s="6"/>
      <c r="C690" s="6"/>
      <c r="D690" s="6"/>
      <c r="E690" s="11"/>
    </row>
    <row r="691" spans="2:5" x14ac:dyDescent="0.25">
      <c r="B691" s="6"/>
      <c r="C691" s="6"/>
      <c r="D691" s="6"/>
      <c r="E691" s="11"/>
    </row>
    <row r="692" spans="2:5" x14ac:dyDescent="0.25">
      <c r="B692" s="6"/>
      <c r="C692" s="6"/>
      <c r="D692" s="6"/>
      <c r="E692" s="11"/>
    </row>
    <row r="693" spans="2:5" x14ac:dyDescent="0.25">
      <c r="B693" s="6"/>
      <c r="C693" s="6"/>
      <c r="D693" s="6"/>
      <c r="E693" s="11"/>
    </row>
    <row r="694" spans="2:5" x14ac:dyDescent="0.25">
      <c r="B694" s="6"/>
      <c r="C694" s="6"/>
      <c r="D694" s="6"/>
      <c r="E694" s="11"/>
    </row>
    <row r="695" spans="2:5" x14ac:dyDescent="0.25">
      <c r="B695" s="6"/>
      <c r="C695" s="6"/>
      <c r="D695" s="6"/>
      <c r="E695" s="11"/>
    </row>
    <row r="696" spans="2:5" x14ac:dyDescent="0.25">
      <c r="B696" s="6"/>
      <c r="C696" s="6"/>
      <c r="D696" s="6"/>
      <c r="E696" s="11"/>
    </row>
    <row r="697" spans="2:5" x14ac:dyDescent="0.25">
      <c r="B697" s="6"/>
      <c r="C697" s="6"/>
      <c r="D697" s="6"/>
      <c r="E697" s="11"/>
    </row>
    <row r="698" spans="2:5" x14ac:dyDescent="0.25">
      <c r="B698" s="6"/>
      <c r="C698" s="6"/>
      <c r="D698" s="6"/>
      <c r="E698" s="11"/>
    </row>
    <row r="699" spans="2:5" x14ac:dyDescent="0.25">
      <c r="B699" s="6"/>
      <c r="C699" s="6"/>
      <c r="D699" s="6"/>
      <c r="E699" s="11"/>
    </row>
    <row r="700" spans="2:5" x14ac:dyDescent="0.25">
      <c r="B700" s="6"/>
      <c r="C700" s="6"/>
      <c r="D700" s="6"/>
      <c r="E700" s="11"/>
    </row>
    <row r="701" spans="2:5" x14ac:dyDescent="0.25">
      <c r="B701" s="6"/>
      <c r="C701" s="6"/>
      <c r="D701" s="6"/>
      <c r="E701" s="11"/>
    </row>
    <row r="702" spans="2:5" x14ac:dyDescent="0.25">
      <c r="B702" s="6"/>
      <c r="C702" s="6"/>
      <c r="D702" s="6"/>
      <c r="E702" s="11"/>
    </row>
    <row r="703" spans="2:5" x14ac:dyDescent="0.25">
      <c r="B703" s="6"/>
      <c r="C703" s="6"/>
      <c r="D703" s="6"/>
      <c r="E703" s="11"/>
    </row>
    <row r="704" spans="2:5" x14ac:dyDescent="0.25">
      <c r="B704" s="6"/>
      <c r="C704" s="6"/>
      <c r="D704" s="6"/>
      <c r="E704" s="11"/>
    </row>
    <row r="705" spans="2:5" x14ac:dyDescent="0.25">
      <c r="B705" s="6"/>
      <c r="C705" s="6"/>
      <c r="D705" s="6"/>
      <c r="E705" s="11"/>
    </row>
    <row r="706" spans="2:5" x14ac:dyDescent="0.25">
      <c r="B706" s="6"/>
      <c r="C706" s="6"/>
      <c r="D706" s="6"/>
      <c r="E706" s="11"/>
    </row>
    <row r="707" spans="2:5" x14ac:dyDescent="0.25">
      <c r="B707" s="6"/>
      <c r="C707" s="6"/>
      <c r="D707" s="6"/>
      <c r="E707" s="11"/>
    </row>
    <row r="708" spans="2:5" x14ac:dyDescent="0.25">
      <c r="B708" s="6"/>
      <c r="C708" s="6"/>
      <c r="D708" s="6"/>
      <c r="E708" s="11"/>
    </row>
    <row r="709" spans="2:5" x14ac:dyDescent="0.25">
      <c r="B709" s="6"/>
      <c r="C709" s="6"/>
      <c r="D709" s="6"/>
      <c r="E709" s="11"/>
    </row>
    <row r="710" spans="2:5" x14ac:dyDescent="0.25">
      <c r="B710" s="6"/>
      <c r="C710" s="6"/>
      <c r="D710" s="6"/>
      <c r="E710" s="11"/>
    </row>
    <row r="711" spans="2:5" x14ac:dyDescent="0.25">
      <c r="B711" s="6"/>
      <c r="C711" s="6"/>
      <c r="D711" s="6"/>
      <c r="E711" s="11"/>
    </row>
    <row r="712" spans="2:5" x14ac:dyDescent="0.25">
      <c r="B712" s="6"/>
      <c r="C712" s="6"/>
      <c r="D712" s="6"/>
      <c r="E712" s="11"/>
    </row>
    <row r="713" spans="2:5" x14ac:dyDescent="0.25">
      <c r="B713" s="6"/>
      <c r="C713" s="6"/>
      <c r="D713" s="6"/>
      <c r="E713" s="11"/>
    </row>
    <row r="714" spans="2:5" x14ac:dyDescent="0.25">
      <c r="B714" s="6"/>
      <c r="C714" s="6"/>
      <c r="D714" s="6"/>
      <c r="E714" s="11"/>
    </row>
    <row r="715" spans="2:5" x14ac:dyDescent="0.25">
      <c r="B715" s="6"/>
      <c r="C715" s="6"/>
      <c r="D715" s="6"/>
      <c r="E715" s="11"/>
    </row>
    <row r="716" spans="2:5" x14ac:dyDescent="0.25">
      <c r="B716" s="6"/>
      <c r="C716" s="6"/>
      <c r="D716" s="6"/>
      <c r="E716" s="11"/>
    </row>
    <row r="717" spans="2:5" x14ac:dyDescent="0.25">
      <c r="B717" s="6"/>
      <c r="C717" s="6"/>
      <c r="D717" s="6"/>
      <c r="E717" s="11"/>
    </row>
    <row r="718" spans="2:5" x14ac:dyDescent="0.25">
      <c r="B718" s="6"/>
      <c r="C718" s="6"/>
      <c r="D718" s="6"/>
      <c r="E718" s="11"/>
    </row>
    <row r="719" spans="2:5" x14ac:dyDescent="0.25">
      <c r="B719" s="6"/>
      <c r="C719" s="6"/>
      <c r="D719" s="6"/>
      <c r="E719" s="11"/>
    </row>
    <row r="720" spans="2:5" x14ac:dyDescent="0.25">
      <c r="B720" s="6"/>
      <c r="C720" s="6"/>
      <c r="D720" s="6"/>
      <c r="E720" s="11"/>
    </row>
    <row r="721" spans="2:5" x14ac:dyDescent="0.25">
      <c r="B721" s="6"/>
      <c r="C721" s="6"/>
      <c r="D721" s="6"/>
      <c r="E721" s="11"/>
    </row>
    <row r="722" spans="2:5" x14ac:dyDescent="0.25">
      <c r="B722" s="6"/>
      <c r="C722" s="6"/>
      <c r="D722" s="6"/>
      <c r="E722" s="11"/>
    </row>
    <row r="723" spans="2:5" x14ac:dyDescent="0.25">
      <c r="B723" s="6"/>
      <c r="C723" s="6"/>
      <c r="D723" s="6"/>
      <c r="E723" s="11"/>
    </row>
    <row r="724" spans="2:5" x14ac:dyDescent="0.25">
      <c r="B724" s="6"/>
      <c r="C724" s="6"/>
      <c r="D724" s="6"/>
      <c r="E724" s="11"/>
    </row>
    <row r="725" spans="2:5" x14ac:dyDescent="0.25">
      <c r="B725" s="6"/>
      <c r="C725" s="6"/>
      <c r="D725" s="6"/>
      <c r="E725" s="11"/>
    </row>
    <row r="726" spans="2:5" x14ac:dyDescent="0.25">
      <c r="B726" s="6"/>
      <c r="C726" s="6"/>
      <c r="D726" s="6"/>
      <c r="E726" s="11"/>
    </row>
    <row r="727" spans="2:5" x14ac:dyDescent="0.25">
      <c r="B727" s="6"/>
      <c r="C727" s="6"/>
      <c r="D727" s="6"/>
      <c r="E727" s="11"/>
    </row>
    <row r="728" spans="2:5" x14ac:dyDescent="0.25">
      <c r="B728" s="6"/>
      <c r="C728" s="6"/>
      <c r="D728" s="6"/>
      <c r="E728" s="11"/>
    </row>
    <row r="729" spans="2:5" x14ac:dyDescent="0.25">
      <c r="B729" s="6"/>
      <c r="C729" s="6"/>
      <c r="D729" s="6"/>
      <c r="E729" s="11"/>
    </row>
    <row r="730" spans="2:5" x14ac:dyDescent="0.25">
      <c r="B730" s="6"/>
      <c r="C730" s="6"/>
      <c r="D730" s="6"/>
      <c r="E730" s="11"/>
    </row>
    <row r="731" spans="2:5" x14ac:dyDescent="0.25">
      <c r="B731" s="6"/>
      <c r="C731" s="6"/>
      <c r="D731" s="6"/>
      <c r="E731" s="11"/>
    </row>
    <row r="732" spans="2:5" x14ac:dyDescent="0.25">
      <c r="B732" s="6"/>
      <c r="C732" s="6"/>
      <c r="D732" s="6"/>
      <c r="E732" s="11"/>
    </row>
    <row r="733" spans="2:5" x14ac:dyDescent="0.25">
      <c r="B733" s="6"/>
      <c r="C733" s="6"/>
      <c r="D733" s="6"/>
      <c r="E733" s="11"/>
    </row>
    <row r="734" spans="2:5" x14ac:dyDescent="0.25">
      <c r="B734" s="6"/>
      <c r="C734" s="6"/>
      <c r="D734" s="6"/>
      <c r="E734" s="11"/>
    </row>
    <row r="735" spans="2:5" x14ac:dyDescent="0.25">
      <c r="B735" s="6"/>
      <c r="C735" s="6"/>
      <c r="D735" s="6"/>
      <c r="E735" s="11"/>
    </row>
    <row r="736" spans="2:5" x14ac:dyDescent="0.25">
      <c r="B736" s="6"/>
      <c r="C736" s="6"/>
      <c r="D736" s="6"/>
      <c r="E736" s="11"/>
    </row>
    <row r="737" spans="2:5" x14ac:dyDescent="0.25">
      <c r="B737" s="6"/>
      <c r="C737" s="6"/>
      <c r="D737" s="6"/>
      <c r="E737" s="11"/>
    </row>
    <row r="738" spans="2:5" x14ac:dyDescent="0.25">
      <c r="B738" s="6"/>
      <c r="C738" s="6"/>
      <c r="D738" s="6"/>
      <c r="E738" s="11"/>
    </row>
    <row r="739" spans="2:5" x14ac:dyDescent="0.25">
      <c r="B739" s="6"/>
      <c r="C739" s="6"/>
      <c r="D739" s="6"/>
      <c r="E739" s="11"/>
    </row>
    <row r="740" spans="2:5" x14ac:dyDescent="0.25">
      <c r="B740" s="6"/>
      <c r="C740" s="6"/>
      <c r="D740" s="6"/>
      <c r="E740" s="11"/>
    </row>
    <row r="741" spans="2:5" x14ac:dyDescent="0.25">
      <c r="B741" s="6"/>
      <c r="C741" s="6"/>
      <c r="D741" s="6"/>
      <c r="E741" s="11"/>
    </row>
    <row r="742" spans="2:5" x14ac:dyDescent="0.25">
      <c r="B742" s="6"/>
      <c r="C742" s="6"/>
      <c r="D742" s="6"/>
      <c r="E742" s="11"/>
    </row>
    <row r="743" spans="2:5" x14ac:dyDescent="0.25">
      <c r="B743" s="6"/>
      <c r="C743" s="6"/>
      <c r="D743" s="6"/>
      <c r="E743" s="11"/>
    </row>
    <row r="744" spans="2:5" x14ac:dyDescent="0.25">
      <c r="B744" s="6"/>
      <c r="C744" s="6"/>
      <c r="D744" s="6"/>
      <c r="E744" s="11"/>
    </row>
    <row r="745" spans="2:5" x14ac:dyDescent="0.25">
      <c r="B745" s="6"/>
      <c r="C745" s="6"/>
      <c r="D745" s="6"/>
      <c r="E745" s="11"/>
    </row>
    <row r="746" spans="2:5" x14ac:dyDescent="0.25">
      <c r="B746" s="6"/>
      <c r="C746" s="6"/>
      <c r="D746" s="6"/>
      <c r="E746" s="11"/>
    </row>
    <row r="747" spans="2:5" x14ac:dyDescent="0.25">
      <c r="B747" s="6"/>
      <c r="C747" s="6"/>
      <c r="D747" s="6"/>
      <c r="E747" s="11"/>
    </row>
    <row r="748" spans="2:5" x14ac:dyDescent="0.25">
      <c r="B748" s="6"/>
      <c r="C748" s="6"/>
      <c r="D748" s="6"/>
      <c r="E748" s="11"/>
    </row>
    <row r="749" spans="2:5" x14ac:dyDescent="0.25">
      <c r="B749" s="6"/>
      <c r="C749" s="6"/>
      <c r="D749" s="6"/>
      <c r="E749" s="11"/>
    </row>
    <row r="750" spans="2:5" x14ac:dyDescent="0.25">
      <c r="B750" s="6"/>
      <c r="C750" s="6"/>
      <c r="D750" s="6"/>
      <c r="E750" s="11"/>
    </row>
    <row r="751" spans="2:5" x14ac:dyDescent="0.25">
      <c r="B751" s="6"/>
      <c r="C751" s="6"/>
      <c r="D751" s="6"/>
      <c r="E751" s="11"/>
    </row>
    <row r="752" spans="2:5" x14ac:dyDescent="0.25">
      <c r="B752" s="6"/>
      <c r="C752" s="6"/>
      <c r="D752" s="6"/>
      <c r="E752" s="11"/>
    </row>
    <row r="753" spans="2:5" x14ac:dyDescent="0.25">
      <c r="B753" s="6"/>
      <c r="C753" s="6"/>
      <c r="D753" s="6"/>
      <c r="E753" s="11"/>
    </row>
    <row r="754" spans="2:5" x14ac:dyDescent="0.25">
      <c r="B754" s="6"/>
      <c r="C754" s="6"/>
      <c r="D754" s="6"/>
      <c r="E754" s="11"/>
    </row>
    <row r="755" spans="2:5" x14ac:dyDescent="0.25">
      <c r="B755" s="6"/>
      <c r="C755" s="6"/>
      <c r="D755" s="6"/>
      <c r="E755" s="11"/>
    </row>
    <row r="756" spans="2:5" x14ac:dyDescent="0.25">
      <c r="B756" s="6"/>
      <c r="C756" s="6"/>
      <c r="D756" s="6"/>
      <c r="E756" s="11"/>
    </row>
    <row r="757" spans="2:5" x14ac:dyDescent="0.25">
      <c r="B757" s="6"/>
      <c r="C757" s="6"/>
      <c r="D757" s="6"/>
      <c r="E757" s="11"/>
    </row>
    <row r="758" spans="2:5" x14ac:dyDescent="0.25">
      <c r="B758" s="6"/>
      <c r="C758" s="6"/>
      <c r="D758" s="6"/>
      <c r="E758" s="11"/>
    </row>
    <row r="759" spans="2:5" x14ac:dyDescent="0.25">
      <c r="B759" s="6"/>
      <c r="C759" s="6"/>
      <c r="D759" s="6"/>
      <c r="E759" s="11"/>
    </row>
    <row r="760" spans="2:5" x14ac:dyDescent="0.25">
      <c r="B760" s="6"/>
      <c r="C760" s="6"/>
      <c r="D760" s="6"/>
      <c r="E760" s="11"/>
    </row>
    <row r="761" spans="2:5" x14ac:dyDescent="0.25">
      <c r="B761" s="6"/>
      <c r="C761" s="6"/>
      <c r="D761" s="6"/>
      <c r="E761" s="11"/>
    </row>
    <row r="762" spans="2:5" x14ac:dyDescent="0.25">
      <c r="B762" s="6"/>
      <c r="C762" s="6"/>
      <c r="D762" s="6"/>
      <c r="E762" s="11"/>
    </row>
    <row r="763" spans="2:5" x14ac:dyDescent="0.25">
      <c r="B763" s="6"/>
      <c r="C763" s="6"/>
      <c r="D763" s="6"/>
      <c r="E763" s="11"/>
    </row>
    <row r="764" spans="2:5" x14ac:dyDescent="0.25">
      <c r="B764" s="6"/>
      <c r="C764" s="6"/>
      <c r="D764" s="6"/>
      <c r="E764" s="11"/>
    </row>
    <row r="765" spans="2:5" x14ac:dyDescent="0.25">
      <c r="B765" s="6"/>
      <c r="C765" s="6"/>
      <c r="D765" s="6"/>
      <c r="E765" s="11"/>
    </row>
    <row r="766" spans="2:5" x14ac:dyDescent="0.25">
      <c r="B766" s="6"/>
      <c r="C766" s="6"/>
      <c r="D766" s="6"/>
      <c r="E766" s="11"/>
    </row>
    <row r="767" spans="2:5" x14ac:dyDescent="0.25">
      <c r="B767" s="6"/>
      <c r="C767" s="6"/>
      <c r="D767" s="6"/>
      <c r="E767" s="11"/>
    </row>
    <row r="768" spans="2:5" x14ac:dyDescent="0.25">
      <c r="B768" s="6"/>
      <c r="C768" s="6"/>
      <c r="D768" s="6"/>
      <c r="E768" s="11"/>
    </row>
    <row r="769" spans="2:5" x14ac:dyDescent="0.25">
      <c r="B769" s="6"/>
      <c r="C769" s="6"/>
      <c r="D769" s="6"/>
      <c r="E769" s="11"/>
    </row>
    <row r="770" spans="2:5" x14ac:dyDescent="0.25">
      <c r="B770" s="6"/>
      <c r="C770" s="6"/>
      <c r="D770" s="6"/>
      <c r="E770" s="11"/>
    </row>
    <row r="771" spans="2:5" x14ac:dyDescent="0.25">
      <c r="B771" s="6"/>
      <c r="C771" s="6"/>
      <c r="D771" s="6"/>
      <c r="E771" s="11"/>
    </row>
    <row r="772" spans="2:5" x14ac:dyDescent="0.25">
      <c r="B772" s="6"/>
      <c r="C772" s="6"/>
      <c r="D772" s="6"/>
      <c r="E772" s="11"/>
    </row>
    <row r="773" spans="2:5" x14ac:dyDescent="0.25">
      <c r="B773" s="6"/>
      <c r="C773" s="6"/>
      <c r="D773" s="6"/>
      <c r="E773" s="11"/>
    </row>
    <row r="774" spans="2:5" x14ac:dyDescent="0.25">
      <c r="B774" s="6"/>
      <c r="C774" s="6"/>
      <c r="D774" s="6"/>
      <c r="E774" s="11"/>
    </row>
    <row r="775" spans="2:5" x14ac:dyDescent="0.25">
      <c r="B775" s="6"/>
      <c r="C775" s="6"/>
      <c r="D775" s="6"/>
      <c r="E775" s="11"/>
    </row>
    <row r="776" spans="2:5" x14ac:dyDescent="0.25">
      <c r="B776" s="6"/>
      <c r="C776" s="6"/>
      <c r="D776" s="6"/>
      <c r="E776" s="11"/>
    </row>
    <row r="777" spans="2:5" x14ac:dyDescent="0.25">
      <c r="B777" s="6"/>
      <c r="C777" s="6"/>
      <c r="D777" s="6"/>
      <c r="E777" s="11"/>
    </row>
    <row r="778" spans="2:5" x14ac:dyDescent="0.25">
      <c r="B778" s="6"/>
      <c r="C778" s="6"/>
      <c r="D778" s="6"/>
      <c r="E778" s="11"/>
    </row>
    <row r="779" spans="2:5" x14ac:dyDescent="0.25">
      <c r="B779" s="6"/>
      <c r="C779" s="6"/>
      <c r="D779" s="6"/>
      <c r="E779" s="11"/>
    </row>
    <row r="780" spans="2:5" x14ac:dyDescent="0.25">
      <c r="B780" s="6"/>
      <c r="C780" s="6"/>
      <c r="D780" s="6"/>
      <c r="E780" s="11"/>
    </row>
    <row r="781" spans="2:5" x14ac:dyDescent="0.25">
      <c r="B781" s="6"/>
      <c r="C781" s="6"/>
      <c r="D781" s="6"/>
      <c r="E781" s="11"/>
    </row>
    <row r="782" spans="2:5" x14ac:dyDescent="0.25">
      <c r="B782" s="6"/>
      <c r="C782" s="6"/>
      <c r="D782" s="6"/>
      <c r="E782" s="11"/>
    </row>
    <row r="783" spans="2:5" x14ac:dyDescent="0.25">
      <c r="B783" s="6"/>
      <c r="C783" s="6"/>
      <c r="D783" s="6"/>
      <c r="E783" s="11"/>
    </row>
    <row r="784" spans="2:5" x14ac:dyDescent="0.25">
      <c r="B784" s="6"/>
      <c r="C784" s="6"/>
      <c r="D784" s="6"/>
      <c r="E784" s="11"/>
    </row>
    <row r="785" spans="2:5" x14ac:dyDescent="0.25">
      <c r="B785" s="6"/>
      <c r="C785" s="6"/>
      <c r="D785" s="6"/>
      <c r="E785" s="11"/>
    </row>
    <row r="786" spans="2:5" x14ac:dyDescent="0.25">
      <c r="B786" s="6"/>
      <c r="C786" s="6"/>
      <c r="D786" s="6"/>
      <c r="E786" s="11"/>
    </row>
    <row r="787" spans="2:5" x14ac:dyDescent="0.25">
      <c r="B787" s="6"/>
      <c r="C787" s="6"/>
      <c r="D787" s="6"/>
      <c r="E787" s="11"/>
    </row>
    <row r="788" spans="2:5" x14ac:dyDescent="0.25">
      <c r="B788" s="6"/>
      <c r="C788" s="6"/>
      <c r="D788" s="6"/>
      <c r="E788" s="11"/>
    </row>
    <row r="789" spans="2:5" x14ac:dyDescent="0.25">
      <c r="B789" s="6"/>
      <c r="C789" s="6"/>
      <c r="D789" s="6"/>
      <c r="E789" s="11"/>
    </row>
    <row r="790" spans="2:5" x14ac:dyDescent="0.25">
      <c r="B790" s="6"/>
      <c r="C790" s="6"/>
      <c r="D790" s="6"/>
      <c r="E790" s="11"/>
    </row>
    <row r="791" spans="2:5" x14ac:dyDescent="0.25">
      <c r="B791" s="6"/>
      <c r="C791" s="6"/>
      <c r="D791" s="6"/>
      <c r="E791" s="11"/>
    </row>
    <row r="792" spans="2:5" x14ac:dyDescent="0.25">
      <c r="B792" s="6"/>
      <c r="C792" s="6"/>
      <c r="D792" s="6"/>
      <c r="E792" s="11"/>
    </row>
    <row r="793" spans="2:5" x14ac:dyDescent="0.25">
      <c r="B793" s="6"/>
      <c r="C793" s="6"/>
      <c r="D793" s="6"/>
      <c r="E793" s="11"/>
    </row>
    <row r="794" spans="2:5" x14ac:dyDescent="0.25">
      <c r="B794" s="6"/>
      <c r="C794" s="6"/>
      <c r="D794" s="6"/>
      <c r="E794" s="11"/>
    </row>
    <row r="795" spans="2:5" x14ac:dyDescent="0.25">
      <c r="B795" s="6"/>
      <c r="C795" s="6"/>
      <c r="D795" s="6"/>
      <c r="E795" s="11"/>
    </row>
    <row r="796" spans="2:5" x14ac:dyDescent="0.25">
      <c r="B796" s="6"/>
      <c r="C796" s="6"/>
      <c r="D796" s="6"/>
      <c r="E796" s="11"/>
    </row>
    <row r="797" spans="2:5" x14ac:dyDescent="0.25">
      <c r="B797" s="6"/>
      <c r="C797" s="6"/>
      <c r="D797" s="6"/>
      <c r="E797" s="11"/>
    </row>
    <row r="798" spans="2:5" x14ac:dyDescent="0.25">
      <c r="B798" s="6"/>
      <c r="C798" s="6"/>
      <c r="D798" s="6"/>
      <c r="E798" s="11"/>
    </row>
    <row r="799" spans="2:5" x14ac:dyDescent="0.25">
      <c r="B799" s="6"/>
      <c r="C799" s="6"/>
      <c r="D799" s="6"/>
      <c r="E799" s="11"/>
    </row>
    <row r="800" spans="2:5" x14ac:dyDescent="0.25">
      <c r="B800" s="6"/>
      <c r="C800" s="6"/>
      <c r="D800" s="6"/>
      <c r="E800" s="11"/>
    </row>
    <row r="801" spans="2:5" x14ac:dyDescent="0.25">
      <c r="B801" s="6"/>
      <c r="C801" s="6"/>
      <c r="D801" s="6"/>
      <c r="E801" s="11"/>
    </row>
    <row r="802" spans="2:5" x14ac:dyDescent="0.25">
      <c r="B802" s="6"/>
      <c r="C802" s="6"/>
      <c r="D802" s="6"/>
      <c r="E802" s="11"/>
    </row>
    <row r="803" spans="2:5" x14ac:dyDescent="0.25">
      <c r="B803" s="6"/>
      <c r="C803" s="6"/>
      <c r="D803" s="6"/>
      <c r="E803" s="11"/>
    </row>
    <row r="804" spans="2:5" x14ac:dyDescent="0.25">
      <c r="B804" s="6"/>
      <c r="C804" s="6"/>
      <c r="D804" s="6"/>
      <c r="E804" s="11"/>
    </row>
    <row r="805" spans="2:5" x14ac:dyDescent="0.25">
      <c r="B805" s="6"/>
      <c r="C805" s="6"/>
      <c r="D805" s="6"/>
      <c r="E805" s="11"/>
    </row>
    <row r="806" spans="2:5" x14ac:dyDescent="0.25">
      <c r="B806" s="6"/>
      <c r="C806" s="6"/>
      <c r="D806" s="6"/>
      <c r="E806" s="11"/>
    </row>
    <row r="807" spans="2:5" x14ac:dyDescent="0.25">
      <c r="B807" s="6"/>
      <c r="C807" s="6"/>
      <c r="D807" s="6"/>
      <c r="E807" s="11"/>
    </row>
    <row r="808" spans="2:5" x14ac:dyDescent="0.25">
      <c r="B808" s="6"/>
      <c r="C808" s="6"/>
      <c r="D808" s="6"/>
      <c r="E808" s="11"/>
    </row>
    <row r="809" spans="2:5" x14ac:dyDescent="0.25">
      <c r="B809" s="6"/>
      <c r="C809" s="6"/>
      <c r="D809" s="6"/>
      <c r="E809" s="11"/>
    </row>
    <row r="810" spans="2:5" x14ac:dyDescent="0.25">
      <c r="B810" s="6"/>
      <c r="C810" s="6"/>
      <c r="D810" s="6"/>
      <c r="E810" s="11"/>
    </row>
    <row r="811" spans="2:5" x14ac:dyDescent="0.25">
      <c r="B811" s="6"/>
      <c r="C811" s="6"/>
      <c r="D811" s="6"/>
      <c r="E811" s="11"/>
    </row>
    <row r="812" spans="2:5" x14ac:dyDescent="0.25">
      <c r="B812" s="6"/>
      <c r="C812" s="6"/>
      <c r="D812" s="6"/>
      <c r="E812" s="11"/>
    </row>
    <row r="813" spans="2:5" x14ac:dyDescent="0.25">
      <c r="B813" s="6"/>
      <c r="C813" s="6"/>
      <c r="D813" s="6"/>
      <c r="E813" s="11"/>
    </row>
    <row r="814" spans="2:5" x14ac:dyDescent="0.25">
      <c r="B814" s="6"/>
      <c r="C814" s="6"/>
      <c r="D814" s="6"/>
      <c r="E814" s="11"/>
    </row>
    <row r="815" spans="2:5" x14ac:dyDescent="0.25">
      <c r="B815" s="6"/>
      <c r="C815" s="6"/>
      <c r="D815" s="6"/>
      <c r="E815" s="11"/>
    </row>
    <row r="816" spans="2:5" x14ac:dyDescent="0.25">
      <c r="B816" s="6"/>
      <c r="C816" s="6"/>
      <c r="D816" s="6"/>
      <c r="E816" s="11"/>
    </row>
    <row r="817" spans="2:5" x14ac:dyDescent="0.25">
      <c r="B817" s="6"/>
      <c r="C817" s="6"/>
      <c r="D817" s="6"/>
      <c r="E817" s="11"/>
    </row>
    <row r="818" spans="2:5" x14ac:dyDescent="0.25">
      <c r="B818" s="6"/>
      <c r="C818" s="6"/>
      <c r="D818" s="6"/>
      <c r="E818" s="11"/>
    </row>
    <row r="819" spans="2:5" x14ac:dyDescent="0.25">
      <c r="B819" s="6"/>
      <c r="C819" s="6"/>
      <c r="D819" s="6"/>
      <c r="E819" s="11"/>
    </row>
    <row r="820" spans="2:5" x14ac:dyDescent="0.25">
      <c r="B820" s="6"/>
      <c r="C820" s="6"/>
      <c r="D820" s="6"/>
      <c r="E820" s="11"/>
    </row>
    <row r="821" spans="2:5" x14ac:dyDescent="0.25">
      <c r="B821" s="6"/>
      <c r="C821" s="6"/>
      <c r="D821" s="6"/>
      <c r="E821" s="11"/>
    </row>
    <row r="822" spans="2:5" x14ac:dyDescent="0.25">
      <c r="B822" s="6"/>
      <c r="C822" s="6"/>
      <c r="D822" s="6"/>
      <c r="E822" s="11"/>
    </row>
    <row r="823" spans="2:5" x14ac:dyDescent="0.25">
      <c r="B823" s="6"/>
      <c r="C823" s="6"/>
      <c r="D823" s="6"/>
      <c r="E823" s="11"/>
    </row>
    <row r="824" spans="2:5" x14ac:dyDescent="0.25">
      <c r="B824" s="6"/>
      <c r="C824" s="6"/>
      <c r="D824" s="6"/>
      <c r="E824" s="11"/>
    </row>
    <row r="825" spans="2:5" x14ac:dyDescent="0.25">
      <c r="B825" s="6"/>
      <c r="C825" s="6"/>
      <c r="D825" s="6"/>
      <c r="E825" s="11"/>
    </row>
    <row r="826" spans="2:5" x14ac:dyDescent="0.25">
      <c r="B826" s="6"/>
      <c r="C826" s="6"/>
      <c r="D826" s="6"/>
      <c r="E826" s="11"/>
    </row>
    <row r="827" spans="2:5" x14ac:dyDescent="0.25">
      <c r="B827" s="6"/>
      <c r="C827" s="6"/>
      <c r="D827" s="6"/>
      <c r="E827" s="11"/>
    </row>
    <row r="828" spans="2:5" x14ac:dyDescent="0.25">
      <c r="B828" s="6"/>
      <c r="C828" s="6"/>
      <c r="D828" s="6"/>
      <c r="E828" s="11"/>
    </row>
    <row r="829" spans="2:5" x14ac:dyDescent="0.25">
      <c r="B829" s="6"/>
      <c r="C829" s="6"/>
      <c r="D829" s="6"/>
      <c r="E829" s="11"/>
    </row>
    <row r="830" spans="2:5" x14ac:dyDescent="0.25">
      <c r="B830" s="6"/>
      <c r="C830" s="6"/>
      <c r="D830" s="6"/>
      <c r="E830" s="11"/>
    </row>
    <row r="831" spans="2:5" x14ac:dyDescent="0.25">
      <c r="B831" s="6"/>
      <c r="C831" s="6"/>
      <c r="D831" s="6"/>
      <c r="E831" s="11"/>
    </row>
    <row r="832" spans="2:5" x14ac:dyDescent="0.25">
      <c r="B832" s="6"/>
      <c r="C832" s="6"/>
      <c r="D832" s="6"/>
      <c r="E832" s="11"/>
    </row>
    <row r="833" spans="2:5" x14ac:dyDescent="0.25">
      <c r="B833" s="6"/>
      <c r="C833" s="6"/>
      <c r="D833" s="6"/>
      <c r="E833" s="11"/>
    </row>
    <row r="834" spans="2:5" x14ac:dyDescent="0.25">
      <c r="B834" s="6"/>
      <c r="C834" s="6"/>
      <c r="D834" s="6"/>
      <c r="E834" s="11"/>
    </row>
    <row r="835" spans="2:5" x14ac:dyDescent="0.25">
      <c r="B835" s="6"/>
      <c r="C835" s="6"/>
      <c r="D835" s="6"/>
      <c r="E835" s="11"/>
    </row>
    <row r="836" spans="2:5" x14ac:dyDescent="0.25">
      <c r="B836" s="6"/>
      <c r="C836" s="6"/>
      <c r="D836" s="6"/>
      <c r="E836" s="11"/>
    </row>
    <row r="837" spans="2:5" x14ac:dyDescent="0.25">
      <c r="B837" s="6"/>
      <c r="C837" s="6"/>
      <c r="D837" s="6"/>
      <c r="E837" s="11"/>
    </row>
    <row r="838" spans="2:5" x14ac:dyDescent="0.25">
      <c r="B838" s="6"/>
      <c r="C838" s="6"/>
      <c r="D838" s="6"/>
      <c r="E838" s="11"/>
    </row>
    <row r="839" spans="2:5" x14ac:dyDescent="0.25">
      <c r="B839" s="6"/>
      <c r="C839" s="6"/>
      <c r="D839" s="6"/>
      <c r="E839" s="11"/>
    </row>
    <row r="840" spans="2:5" x14ac:dyDescent="0.25">
      <c r="B840" s="6"/>
      <c r="C840" s="6"/>
      <c r="D840" s="6"/>
      <c r="E840" s="11"/>
    </row>
    <row r="841" spans="2:5" x14ac:dyDescent="0.25">
      <c r="B841" s="6"/>
      <c r="C841" s="6"/>
      <c r="D841" s="6"/>
      <c r="E841" s="11"/>
    </row>
    <row r="842" spans="2:5" x14ac:dyDescent="0.25">
      <c r="B842" s="6"/>
      <c r="C842" s="6"/>
      <c r="D842" s="6"/>
      <c r="E842" s="11"/>
    </row>
    <row r="843" spans="2:5" x14ac:dyDescent="0.25">
      <c r="B843" s="6"/>
      <c r="C843" s="6"/>
      <c r="D843" s="6"/>
      <c r="E843" s="11"/>
    </row>
    <row r="844" spans="2:5" x14ac:dyDescent="0.25">
      <c r="B844" s="6"/>
      <c r="C844" s="6"/>
      <c r="D844" s="6"/>
      <c r="E844" s="11"/>
    </row>
    <row r="845" spans="2:5" x14ac:dyDescent="0.25">
      <c r="B845" s="6"/>
      <c r="C845" s="6"/>
      <c r="D845" s="6"/>
      <c r="E845" s="11"/>
    </row>
    <row r="846" spans="2:5" x14ac:dyDescent="0.25">
      <c r="B846" s="6"/>
      <c r="C846" s="6"/>
      <c r="D846" s="6"/>
      <c r="E846" s="11"/>
    </row>
    <row r="847" spans="2:5" x14ac:dyDescent="0.25">
      <c r="B847" s="6"/>
      <c r="C847" s="6"/>
      <c r="D847" s="6"/>
      <c r="E847" s="11"/>
    </row>
    <row r="848" spans="2:5" x14ac:dyDescent="0.25">
      <c r="B848" s="6"/>
      <c r="C848" s="6"/>
      <c r="D848" s="6"/>
      <c r="E848" s="11"/>
    </row>
    <row r="849" spans="2:5" x14ac:dyDescent="0.25">
      <c r="B849" s="6"/>
      <c r="C849" s="6"/>
      <c r="D849" s="6"/>
      <c r="E849" s="11"/>
    </row>
    <row r="850" spans="2:5" x14ac:dyDescent="0.25">
      <c r="B850" s="6"/>
      <c r="C850" s="6"/>
      <c r="D850" s="6"/>
      <c r="E850" s="11"/>
    </row>
    <row r="851" spans="2:5" x14ac:dyDescent="0.25">
      <c r="B851" s="6"/>
      <c r="C851" s="6"/>
      <c r="D851" s="6"/>
      <c r="E851" s="11"/>
    </row>
    <row r="852" spans="2:5" x14ac:dyDescent="0.25">
      <c r="B852" s="6"/>
      <c r="C852" s="6"/>
      <c r="D852" s="6"/>
      <c r="E852" s="11"/>
    </row>
    <row r="853" spans="2:5" x14ac:dyDescent="0.25">
      <c r="B853" s="6"/>
      <c r="C853" s="6"/>
      <c r="D853" s="6"/>
      <c r="E853" s="11"/>
    </row>
    <row r="854" spans="2:5" x14ac:dyDescent="0.25">
      <c r="B854" s="6"/>
      <c r="C854" s="6"/>
      <c r="D854" s="6"/>
      <c r="E854" s="11"/>
    </row>
    <row r="855" spans="2:5" x14ac:dyDescent="0.25">
      <c r="B855" s="6"/>
      <c r="C855" s="6"/>
      <c r="D855" s="6"/>
      <c r="E855" s="11"/>
    </row>
    <row r="856" spans="2:5" x14ac:dyDescent="0.25">
      <c r="B856" s="6"/>
      <c r="C856" s="6"/>
      <c r="D856" s="6"/>
      <c r="E856" s="11"/>
    </row>
    <row r="857" spans="2:5" x14ac:dyDescent="0.25">
      <c r="B857" s="6"/>
      <c r="C857" s="6"/>
      <c r="D857" s="6"/>
      <c r="E857" s="11"/>
    </row>
    <row r="858" spans="2:5" x14ac:dyDescent="0.25">
      <c r="B858" s="6"/>
      <c r="C858" s="6"/>
      <c r="D858" s="6"/>
      <c r="E858" s="11"/>
    </row>
    <row r="859" spans="2:5" x14ac:dyDescent="0.25">
      <c r="B859" s="6"/>
      <c r="C859" s="6"/>
      <c r="D859" s="6"/>
      <c r="E859" s="11"/>
    </row>
    <row r="860" spans="2:5" x14ac:dyDescent="0.25">
      <c r="B860" s="6"/>
      <c r="C860" s="6"/>
      <c r="D860" s="6"/>
      <c r="E860" s="11"/>
    </row>
    <row r="861" spans="2:5" x14ac:dyDescent="0.25">
      <c r="B861" s="6"/>
      <c r="C861" s="6"/>
      <c r="D861" s="6"/>
      <c r="E861" s="11"/>
    </row>
    <row r="862" spans="2:5" x14ac:dyDescent="0.25">
      <c r="B862" s="6"/>
      <c r="C862" s="6"/>
      <c r="D862" s="6"/>
      <c r="E862" s="11"/>
    </row>
    <row r="863" spans="2:5" x14ac:dyDescent="0.25">
      <c r="B863" s="6"/>
      <c r="C863" s="6"/>
      <c r="D863" s="6"/>
      <c r="E863" s="11"/>
    </row>
    <row r="864" spans="2:5" x14ac:dyDescent="0.25">
      <c r="B864" s="6"/>
      <c r="C864" s="6"/>
      <c r="D864" s="6"/>
      <c r="E864" s="11"/>
    </row>
    <row r="865" spans="2:5" x14ac:dyDescent="0.25">
      <c r="B865" s="6"/>
      <c r="C865" s="6"/>
      <c r="D865" s="6"/>
      <c r="E865" s="11"/>
    </row>
    <row r="866" spans="2:5" x14ac:dyDescent="0.25">
      <c r="B866" s="6"/>
      <c r="C866" s="6"/>
      <c r="D866" s="6"/>
      <c r="E866" s="11"/>
    </row>
    <row r="867" spans="2:5" x14ac:dyDescent="0.25">
      <c r="B867" s="6"/>
      <c r="C867" s="6"/>
      <c r="D867" s="6"/>
      <c r="E867" s="11"/>
    </row>
    <row r="868" spans="2:5" x14ac:dyDescent="0.25">
      <c r="B868" s="6"/>
      <c r="C868" s="6"/>
      <c r="D868" s="6"/>
      <c r="E868" s="11"/>
    </row>
    <row r="869" spans="2:5" x14ac:dyDescent="0.25">
      <c r="B869" s="6"/>
      <c r="C869" s="6"/>
      <c r="D869" s="6"/>
      <c r="E869" s="11"/>
    </row>
    <row r="870" spans="2:5" x14ac:dyDescent="0.25">
      <c r="B870" s="6"/>
      <c r="C870" s="6"/>
      <c r="D870" s="6"/>
      <c r="E870" s="11"/>
    </row>
    <row r="871" spans="2:5" x14ac:dyDescent="0.25">
      <c r="B871" s="6"/>
      <c r="C871" s="6"/>
      <c r="D871" s="6"/>
      <c r="E871" s="11"/>
    </row>
    <row r="872" spans="2:5" x14ac:dyDescent="0.25">
      <c r="B872" s="6"/>
      <c r="C872" s="6"/>
      <c r="D872" s="6"/>
      <c r="E872" s="11"/>
    </row>
    <row r="873" spans="2:5" x14ac:dyDescent="0.25">
      <c r="B873" s="6"/>
      <c r="C873" s="6"/>
      <c r="D873" s="6"/>
      <c r="E873" s="11"/>
    </row>
    <row r="874" spans="2:5" x14ac:dyDescent="0.25">
      <c r="B874" s="6"/>
      <c r="C874" s="6"/>
      <c r="D874" s="6"/>
      <c r="E874" s="11"/>
    </row>
    <row r="875" spans="2:5" x14ac:dyDescent="0.25">
      <c r="B875" s="6"/>
      <c r="C875" s="6"/>
      <c r="D875" s="6"/>
      <c r="E875" s="11"/>
    </row>
    <row r="876" spans="2:5" x14ac:dyDescent="0.25">
      <c r="B876" s="6"/>
      <c r="C876" s="6"/>
      <c r="D876" s="6"/>
      <c r="E876" s="11"/>
    </row>
    <row r="877" spans="2:5" x14ac:dyDescent="0.25">
      <c r="B877" s="6"/>
      <c r="C877" s="6"/>
      <c r="D877" s="6"/>
      <c r="E877" s="11"/>
    </row>
    <row r="878" spans="2:5" x14ac:dyDescent="0.25">
      <c r="B878" s="6"/>
      <c r="C878" s="6"/>
      <c r="D878" s="6"/>
      <c r="E878" s="11"/>
    </row>
    <row r="879" spans="2:5" x14ac:dyDescent="0.25">
      <c r="B879" s="6"/>
      <c r="C879" s="6"/>
      <c r="D879" s="6"/>
      <c r="E879" s="11"/>
    </row>
    <row r="880" spans="2:5" x14ac:dyDescent="0.25">
      <c r="B880" s="6"/>
      <c r="C880" s="6"/>
      <c r="D880" s="6"/>
      <c r="E880" s="11"/>
    </row>
    <row r="881" spans="2:5" x14ac:dyDescent="0.25">
      <c r="B881" s="6"/>
      <c r="C881" s="6"/>
      <c r="D881" s="6"/>
      <c r="E881" s="11"/>
    </row>
    <row r="882" spans="2:5" x14ac:dyDescent="0.25">
      <c r="B882" s="6"/>
      <c r="C882" s="6"/>
      <c r="D882" s="6"/>
      <c r="E882" s="11"/>
    </row>
    <row r="883" spans="2:5" x14ac:dyDescent="0.25">
      <c r="B883" s="6"/>
      <c r="C883" s="6"/>
      <c r="D883" s="6"/>
      <c r="E883" s="11"/>
    </row>
    <row r="884" spans="2:5" x14ac:dyDescent="0.25">
      <c r="B884" s="6"/>
      <c r="C884" s="6"/>
      <c r="D884" s="6"/>
      <c r="E884" s="11"/>
    </row>
    <row r="885" spans="2:5" x14ac:dyDescent="0.25">
      <c r="B885" s="6"/>
      <c r="C885" s="6"/>
      <c r="D885" s="6"/>
      <c r="E885" s="11"/>
    </row>
    <row r="886" spans="2:5" x14ac:dyDescent="0.25">
      <c r="B886" s="6"/>
      <c r="C886" s="6"/>
      <c r="D886" s="6"/>
      <c r="E886" s="11"/>
    </row>
    <row r="887" spans="2:5" x14ac:dyDescent="0.25">
      <c r="B887" s="6"/>
      <c r="C887" s="6"/>
      <c r="D887" s="6"/>
      <c r="E887" s="11"/>
    </row>
    <row r="888" spans="2:5" x14ac:dyDescent="0.25">
      <c r="B888" s="6"/>
      <c r="C888" s="6"/>
      <c r="D888" s="6"/>
      <c r="E888" s="11"/>
    </row>
    <row r="889" spans="2:5" x14ac:dyDescent="0.25">
      <c r="B889" s="6"/>
      <c r="C889" s="6"/>
      <c r="D889" s="6"/>
      <c r="E889" s="11"/>
    </row>
    <row r="890" spans="2:5" x14ac:dyDescent="0.25">
      <c r="B890" s="6"/>
      <c r="C890" s="6"/>
      <c r="D890" s="6"/>
      <c r="E890" s="11"/>
    </row>
    <row r="891" spans="2:5" x14ac:dyDescent="0.25">
      <c r="B891" s="6"/>
      <c r="C891" s="6"/>
      <c r="D891" s="6"/>
      <c r="E891" s="11"/>
    </row>
    <row r="892" spans="2:5" x14ac:dyDescent="0.25">
      <c r="B892" s="6"/>
      <c r="C892" s="6"/>
      <c r="D892" s="6"/>
      <c r="E892" s="11"/>
    </row>
    <row r="893" spans="2:5" x14ac:dyDescent="0.25">
      <c r="B893" s="6"/>
      <c r="C893" s="6"/>
      <c r="D893" s="6"/>
      <c r="E893" s="11"/>
    </row>
    <row r="894" spans="2:5" x14ac:dyDescent="0.25">
      <c r="B894" s="6"/>
      <c r="C894" s="6"/>
      <c r="D894" s="6"/>
      <c r="E894" s="11"/>
    </row>
    <row r="895" spans="2:5" x14ac:dyDescent="0.25">
      <c r="B895" s="6"/>
      <c r="C895" s="6"/>
      <c r="D895" s="6"/>
      <c r="E895" s="11"/>
    </row>
    <row r="896" spans="2:5" x14ac:dyDescent="0.25">
      <c r="B896" s="6"/>
      <c r="C896" s="6"/>
      <c r="D896" s="6"/>
      <c r="E896" s="11"/>
    </row>
    <row r="897" spans="2:5" x14ac:dyDescent="0.25">
      <c r="B897" s="6"/>
      <c r="C897" s="6"/>
      <c r="D897" s="6"/>
      <c r="E897" s="11"/>
    </row>
    <row r="898" spans="2:5" x14ac:dyDescent="0.25">
      <c r="B898" s="6"/>
      <c r="C898" s="6"/>
      <c r="D898" s="6"/>
      <c r="E898" s="11"/>
    </row>
    <row r="899" spans="2:5" x14ac:dyDescent="0.25">
      <c r="B899" s="6"/>
      <c r="C899" s="6"/>
      <c r="D899" s="6"/>
      <c r="E899" s="11"/>
    </row>
    <row r="900" spans="2:5" x14ac:dyDescent="0.25">
      <c r="B900" s="6"/>
      <c r="C900" s="6"/>
      <c r="D900" s="6"/>
      <c r="E900" s="11"/>
    </row>
    <row r="901" spans="2:5" x14ac:dyDescent="0.25">
      <c r="B901" s="6"/>
      <c r="C901" s="6"/>
      <c r="D901" s="6"/>
      <c r="E901" s="11"/>
    </row>
    <row r="902" spans="2:5" x14ac:dyDescent="0.25">
      <c r="B902" s="6"/>
      <c r="C902" s="6"/>
      <c r="D902" s="6"/>
      <c r="E902" s="11"/>
    </row>
    <row r="903" spans="2:5" x14ac:dyDescent="0.25">
      <c r="B903" s="6"/>
      <c r="C903" s="6"/>
      <c r="D903" s="6"/>
      <c r="E903" s="11"/>
    </row>
    <row r="904" spans="2:5" x14ac:dyDescent="0.25">
      <c r="B904" s="6"/>
      <c r="C904" s="6"/>
      <c r="D904" s="6"/>
      <c r="E904" s="11"/>
    </row>
    <row r="905" spans="2:5" x14ac:dyDescent="0.25">
      <c r="B905" s="6"/>
      <c r="C905" s="6"/>
      <c r="D905" s="6"/>
      <c r="E905" s="11"/>
    </row>
    <row r="906" spans="2:5" x14ac:dyDescent="0.25">
      <c r="B906" s="6"/>
      <c r="C906" s="6"/>
      <c r="D906" s="6"/>
      <c r="E906" s="11"/>
    </row>
    <row r="907" spans="2:5" x14ac:dyDescent="0.25">
      <c r="B907" s="6"/>
      <c r="C907" s="6"/>
      <c r="D907" s="6"/>
      <c r="E907" s="11"/>
    </row>
    <row r="908" spans="2:5" x14ac:dyDescent="0.25">
      <c r="B908" s="6"/>
      <c r="C908" s="6"/>
      <c r="D908" s="6"/>
      <c r="E908" s="11"/>
    </row>
    <row r="909" spans="2:5" x14ac:dyDescent="0.25">
      <c r="B909" s="6"/>
      <c r="C909" s="6"/>
      <c r="D909" s="6"/>
      <c r="E909" s="11"/>
    </row>
    <row r="910" spans="2:5" x14ac:dyDescent="0.25">
      <c r="B910" s="6"/>
      <c r="C910" s="6"/>
      <c r="D910" s="6"/>
      <c r="E910" s="11"/>
    </row>
    <row r="911" spans="2:5" x14ac:dyDescent="0.25">
      <c r="B911" s="6"/>
      <c r="C911" s="6"/>
      <c r="D911" s="6"/>
      <c r="E911" s="11"/>
    </row>
    <row r="912" spans="2:5" x14ac:dyDescent="0.25">
      <c r="B912" s="6"/>
      <c r="C912" s="6"/>
      <c r="D912" s="6"/>
      <c r="E912" s="11"/>
    </row>
    <row r="913" spans="2:5" x14ac:dyDescent="0.25">
      <c r="B913" s="6"/>
      <c r="C913" s="6"/>
      <c r="D913" s="6"/>
      <c r="E913" s="11"/>
    </row>
    <row r="914" spans="2:5" x14ac:dyDescent="0.25">
      <c r="B914" s="6"/>
      <c r="C914" s="6"/>
      <c r="D914" s="6"/>
      <c r="E914" s="11"/>
    </row>
    <row r="915" spans="2:5" x14ac:dyDescent="0.25">
      <c r="B915" s="6"/>
      <c r="C915" s="6"/>
      <c r="D915" s="6"/>
      <c r="E915" s="11"/>
    </row>
    <row r="916" spans="2:5" x14ac:dyDescent="0.25">
      <c r="B916" s="6"/>
      <c r="C916" s="6"/>
      <c r="D916" s="6"/>
      <c r="E916" s="11"/>
    </row>
    <row r="917" spans="2:5" x14ac:dyDescent="0.25">
      <c r="B917" s="6"/>
      <c r="C917" s="6"/>
      <c r="D917" s="6"/>
      <c r="E917" s="11"/>
    </row>
    <row r="918" spans="2:5" x14ac:dyDescent="0.25">
      <c r="B918" s="6"/>
      <c r="C918" s="6"/>
      <c r="D918" s="6"/>
      <c r="E918" s="11"/>
    </row>
    <row r="919" spans="2:5" x14ac:dyDescent="0.25">
      <c r="B919" s="6"/>
      <c r="C919" s="6"/>
      <c r="D919" s="6"/>
      <c r="E919" s="11"/>
    </row>
    <row r="920" spans="2:5" x14ac:dyDescent="0.25">
      <c r="B920" s="6"/>
      <c r="C920" s="6"/>
      <c r="D920" s="6"/>
      <c r="E920" s="11"/>
    </row>
    <row r="921" spans="2:5" x14ac:dyDescent="0.25">
      <c r="B921" s="6"/>
      <c r="C921" s="6"/>
      <c r="D921" s="6"/>
      <c r="E921" s="11"/>
    </row>
    <row r="922" spans="2:5" x14ac:dyDescent="0.25">
      <c r="B922" s="6"/>
      <c r="C922" s="6"/>
      <c r="D922" s="6"/>
      <c r="E922" s="11"/>
    </row>
    <row r="923" spans="2:5" x14ac:dyDescent="0.25">
      <c r="B923" s="6"/>
      <c r="C923" s="6"/>
      <c r="D923" s="6"/>
      <c r="E923" s="11"/>
    </row>
    <row r="924" spans="2:5" x14ac:dyDescent="0.25">
      <c r="B924" s="6"/>
      <c r="C924" s="6"/>
      <c r="D924" s="6"/>
      <c r="E924" s="11"/>
    </row>
    <row r="925" spans="2:5" x14ac:dyDescent="0.25">
      <c r="B925" s="6"/>
      <c r="C925" s="6"/>
      <c r="D925" s="6"/>
      <c r="E925" s="11"/>
    </row>
    <row r="926" spans="2:5" x14ac:dyDescent="0.25">
      <c r="B926" s="6"/>
      <c r="C926" s="6"/>
      <c r="D926" s="6"/>
      <c r="E926" s="11"/>
    </row>
    <row r="927" spans="2:5" x14ac:dyDescent="0.25">
      <c r="B927" s="6"/>
      <c r="C927" s="6"/>
      <c r="D927" s="6"/>
      <c r="E927" s="11"/>
    </row>
    <row r="928" spans="2:5" x14ac:dyDescent="0.25">
      <c r="B928" s="6"/>
      <c r="C928" s="6"/>
      <c r="D928" s="6"/>
      <c r="E928" s="11"/>
    </row>
    <row r="929" spans="2:5" x14ac:dyDescent="0.25">
      <c r="B929" s="6"/>
      <c r="C929" s="6"/>
      <c r="D929" s="6"/>
      <c r="E929" s="11"/>
    </row>
    <row r="930" spans="2:5" x14ac:dyDescent="0.25">
      <c r="B930" s="6"/>
      <c r="C930" s="6"/>
      <c r="D930" s="6"/>
      <c r="E930" s="11"/>
    </row>
    <row r="931" spans="2:5" x14ac:dyDescent="0.25">
      <c r="B931" s="6"/>
      <c r="C931" s="6"/>
      <c r="D931" s="6"/>
      <c r="E931" s="11"/>
    </row>
    <row r="932" spans="2:5" x14ac:dyDescent="0.25">
      <c r="B932" s="6"/>
      <c r="C932" s="6"/>
      <c r="D932" s="6"/>
      <c r="E932" s="11"/>
    </row>
    <row r="933" spans="2:5" x14ac:dyDescent="0.25">
      <c r="B933" s="6"/>
      <c r="C933" s="6"/>
      <c r="D933" s="6"/>
      <c r="E933" s="11"/>
    </row>
    <row r="934" spans="2:5" x14ac:dyDescent="0.25">
      <c r="B934" s="6"/>
      <c r="C934" s="6"/>
      <c r="D934" s="6"/>
      <c r="E934" s="11"/>
    </row>
    <row r="935" spans="2:5" x14ac:dyDescent="0.25">
      <c r="B935" s="6"/>
      <c r="C935" s="6"/>
      <c r="D935" s="6"/>
      <c r="E935" s="11"/>
    </row>
    <row r="936" spans="2:5" x14ac:dyDescent="0.25">
      <c r="B936" s="6"/>
      <c r="C936" s="6"/>
      <c r="D936" s="6"/>
      <c r="E936" s="11"/>
    </row>
    <row r="937" spans="2:5" x14ac:dyDescent="0.25">
      <c r="B937" s="6"/>
      <c r="C937" s="6"/>
      <c r="D937" s="6"/>
      <c r="E937" s="11"/>
    </row>
    <row r="938" spans="2:5" x14ac:dyDescent="0.25">
      <c r="B938" s="6"/>
      <c r="C938" s="6"/>
      <c r="D938" s="6"/>
      <c r="E938" s="11"/>
    </row>
    <row r="939" spans="2:5" x14ac:dyDescent="0.25">
      <c r="B939" s="6"/>
      <c r="C939" s="6"/>
      <c r="D939" s="6"/>
      <c r="E939" s="11"/>
    </row>
    <row r="940" spans="2:5" x14ac:dyDescent="0.25">
      <c r="B940" s="6"/>
      <c r="C940" s="6"/>
      <c r="D940" s="6"/>
      <c r="E940" s="11"/>
    </row>
    <row r="941" spans="2:5" x14ac:dyDescent="0.25">
      <c r="B941" s="6"/>
      <c r="C941" s="6"/>
      <c r="D941" s="6"/>
      <c r="E941" s="11"/>
    </row>
    <row r="942" spans="2:5" x14ac:dyDescent="0.25">
      <c r="B942" s="6"/>
      <c r="C942" s="6"/>
      <c r="D942" s="6"/>
      <c r="E942" s="11"/>
    </row>
    <row r="943" spans="2:5" x14ac:dyDescent="0.25">
      <c r="B943" s="6"/>
      <c r="C943" s="6"/>
      <c r="D943" s="6"/>
      <c r="E943" s="11"/>
    </row>
    <row r="944" spans="2:5" x14ac:dyDescent="0.25">
      <c r="B944" s="6"/>
      <c r="C944" s="6"/>
      <c r="D944" s="6"/>
      <c r="E944" s="11"/>
    </row>
    <row r="945" spans="2:5" x14ac:dyDescent="0.25">
      <c r="B945" s="6"/>
      <c r="C945" s="6"/>
      <c r="D945" s="6"/>
      <c r="E945" s="11"/>
    </row>
    <row r="946" spans="2:5" x14ac:dyDescent="0.25">
      <c r="B946" s="6"/>
      <c r="C946" s="6"/>
      <c r="D946" s="6"/>
      <c r="E946" s="11"/>
    </row>
    <row r="947" spans="2:5" x14ac:dyDescent="0.25">
      <c r="B947" s="6"/>
      <c r="C947" s="6"/>
      <c r="D947" s="6"/>
      <c r="E947" s="11"/>
    </row>
    <row r="948" spans="2:5" x14ac:dyDescent="0.25">
      <c r="B948" s="6"/>
      <c r="C948" s="6"/>
      <c r="D948" s="6"/>
      <c r="E948" s="11"/>
    </row>
    <row r="949" spans="2:5" x14ac:dyDescent="0.25">
      <c r="B949" s="6"/>
      <c r="C949" s="6"/>
      <c r="D949" s="6"/>
      <c r="E949" s="11"/>
    </row>
    <row r="950" spans="2:5" x14ac:dyDescent="0.25">
      <c r="B950" s="6"/>
      <c r="C950" s="6"/>
      <c r="D950" s="6"/>
      <c r="E950" s="11"/>
    </row>
    <row r="951" spans="2:5" x14ac:dyDescent="0.25">
      <c r="B951" s="6"/>
      <c r="C951" s="6"/>
      <c r="D951" s="6"/>
      <c r="E951" s="11"/>
    </row>
    <row r="952" spans="2:5" x14ac:dyDescent="0.25">
      <c r="B952" s="6"/>
      <c r="C952" s="6"/>
      <c r="D952" s="6"/>
      <c r="E952" s="11"/>
    </row>
    <row r="953" spans="2:5" x14ac:dyDescent="0.25">
      <c r="B953" s="6"/>
      <c r="C953" s="6"/>
      <c r="D953" s="6"/>
      <c r="E953" s="11"/>
    </row>
    <row r="954" spans="2:5" x14ac:dyDescent="0.25">
      <c r="B954" s="6"/>
      <c r="C954" s="6"/>
      <c r="D954" s="6"/>
      <c r="E954" s="11"/>
    </row>
    <row r="955" spans="2:5" x14ac:dyDescent="0.25">
      <c r="B955" s="6"/>
      <c r="C955" s="6"/>
      <c r="D955" s="6"/>
      <c r="E955" s="11"/>
    </row>
    <row r="956" spans="2:5" x14ac:dyDescent="0.25">
      <c r="B956" s="6"/>
      <c r="C956" s="6"/>
      <c r="D956" s="6"/>
      <c r="E956" s="11"/>
    </row>
    <row r="957" spans="2:5" x14ac:dyDescent="0.25">
      <c r="B957" s="6"/>
      <c r="C957" s="6"/>
      <c r="D957" s="6"/>
      <c r="E957" s="11"/>
    </row>
    <row r="958" spans="2:5" x14ac:dyDescent="0.25">
      <c r="B958" s="6"/>
      <c r="C958" s="6"/>
      <c r="D958" s="6"/>
      <c r="E958" s="11"/>
    </row>
    <row r="959" spans="2:5" x14ac:dyDescent="0.25">
      <c r="B959" s="6"/>
      <c r="C959" s="6"/>
      <c r="D959" s="6"/>
      <c r="E959" s="11"/>
    </row>
    <row r="960" spans="2:5" x14ac:dyDescent="0.25">
      <c r="B960" s="6"/>
      <c r="C960" s="6"/>
      <c r="D960" s="6"/>
      <c r="E960" s="11"/>
    </row>
    <row r="961" spans="2:5" x14ac:dyDescent="0.25">
      <c r="B961" s="6"/>
      <c r="C961" s="6"/>
      <c r="D961" s="6"/>
      <c r="E961" s="11"/>
    </row>
    <row r="962" spans="2:5" x14ac:dyDescent="0.25">
      <c r="B962" s="6"/>
      <c r="C962" s="6"/>
      <c r="D962" s="6"/>
      <c r="E962" s="11"/>
    </row>
    <row r="963" spans="2:5" x14ac:dyDescent="0.25">
      <c r="B963" s="6"/>
      <c r="C963" s="6"/>
      <c r="D963" s="6"/>
      <c r="E963" s="11"/>
    </row>
    <row r="964" spans="2:5" x14ac:dyDescent="0.25">
      <c r="B964" s="6"/>
      <c r="C964" s="6"/>
      <c r="D964" s="6"/>
      <c r="E964" s="11"/>
    </row>
    <row r="965" spans="2:5" x14ac:dyDescent="0.25">
      <c r="B965" s="6"/>
      <c r="C965" s="6"/>
      <c r="D965" s="6"/>
      <c r="E965" s="11"/>
    </row>
    <row r="966" spans="2:5" x14ac:dyDescent="0.25">
      <c r="B966" s="6"/>
      <c r="C966" s="6"/>
      <c r="D966" s="6"/>
      <c r="E966" s="11"/>
    </row>
    <row r="967" spans="2:5" x14ac:dyDescent="0.25">
      <c r="B967" s="6"/>
      <c r="C967" s="6"/>
      <c r="D967" s="6"/>
      <c r="E967" s="11"/>
    </row>
    <row r="968" spans="2:5" x14ac:dyDescent="0.25">
      <c r="B968" s="6"/>
      <c r="C968" s="6"/>
      <c r="D968" s="6"/>
      <c r="E968" s="11"/>
    </row>
    <row r="969" spans="2:5" x14ac:dyDescent="0.25">
      <c r="B969" s="6"/>
      <c r="C969" s="6"/>
      <c r="D969" s="6"/>
      <c r="E969" s="11"/>
    </row>
    <row r="970" spans="2:5" x14ac:dyDescent="0.25">
      <c r="B970" s="6"/>
      <c r="C970" s="6"/>
      <c r="D970" s="6"/>
      <c r="E970" s="11"/>
    </row>
    <row r="971" spans="2:5" x14ac:dyDescent="0.25">
      <c r="B971" s="6"/>
      <c r="C971" s="6"/>
      <c r="D971" s="6"/>
      <c r="E971" s="11"/>
    </row>
    <row r="972" spans="2:5" x14ac:dyDescent="0.25">
      <c r="B972" s="6"/>
      <c r="C972" s="6"/>
      <c r="D972" s="6"/>
      <c r="E972" s="11"/>
    </row>
    <row r="973" spans="2:5" x14ac:dyDescent="0.25">
      <c r="B973" s="6"/>
      <c r="C973" s="6"/>
      <c r="D973" s="6"/>
      <c r="E973" s="11"/>
    </row>
    <row r="974" spans="2:5" x14ac:dyDescent="0.25">
      <c r="B974" s="6"/>
      <c r="C974" s="6"/>
      <c r="D974" s="6"/>
      <c r="E974" s="11"/>
    </row>
    <row r="975" spans="2:5" x14ac:dyDescent="0.25">
      <c r="B975" s="6"/>
      <c r="C975" s="6"/>
      <c r="D975" s="6"/>
      <c r="E975" s="11"/>
    </row>
    <row r="976" spans="2:5" x14ac:dyDescent="0.25">
      <c r="B976" s="6"/>
      <c r="C976" s="6"/>
      <c r="D976" s="6"/>
      <c r="E976" s="11"/>
    </row>
    <row r="977" spans="2:5" x14ac:dyDescent="0.25">
      <c r="B977" s="6"/>
      <c r="C977" s="6"/>
      <c r="D977" s="6"/>
      <c r="E977" s="11"/>
    </row>
    <row r="978" spans="2:5" x14ac:dyDescent="0.25">
      <c r="B978" s="6"/>
      <c r="C978" s="6"/>
      <c r="D978" s="6"/>
      <c r="E978" s="11"/>
    </row>
    <row r="979" spans="2:5" x14ac:dyDescent="0.25">
      <c r="B979" s="6"/>
      <c r="C979" s="6"/>
      <c r="D979" s="6"/>
      <c r="E979" s="11"/>
    </row>
    <row r="980" spans="2:5" x14ac:dyDescent="0.25">
      <c r="B980" s="6"/>
      <c r="C980" s="6"/>
      <c r="D980" s="6"/>
      <c r="E980" s="11"/>
    </row>
    <row r="981" spans="2:5" x14ac:dyDescent="0.25">
      <c r="B981" s="6"/>
      <c r="C981" s="6"/>
      <c r="D981" s="6"/>
      <c r="E981" s="11"/>
    </row>
    <row r="982" spans="2:5" x14ac:dyDescent="0.25">
      <c r="B982" s="6"/>
      <c r="C982" s="6"/>
      <c r="D982" s="6"/>
      <c r="E982" s="11"/>
    </row>
    <row r="983" spans="2:5" x14ac:dyDescent="0.25">
      <c r="B983" s="6"/>
      <c r="C983" s="6"/>
      <c r="D983" s="6"/>
      <c r="E983" s="11"/>
    </row>
    <row r="984" spans="2:5" x14ac:dyDescent="0.25">
      <c r="B984" s="6"/>
      <c r="C984" s="6"/>
      <c r="D984" s="6"/>
      <c r="E984" s="11"/>
    </row>
    <row r="985" spans="2:5" x14ac:dyDescent="0.25">
      <c r="B985" s="6"/>
      <c r="C985" s="6"/>
      <c r="D985" s="6"/>
      <c r="E985" s="11"/>
    </row>
    <row r="986" spans="2:5" x14ac:dyDescent="0.25">
      <c r="B986" s="6"/>
      <c r="C986" s="6"/>
      <c r="D986" s="6"/>
      <c r="E986" s="11"/>
    </row>
    <row r="987" spans="2:5" x14ac:dyDescent="0.25">
      <c r="B987" s="6"/>
      <c r="C987" s="6"/>
      <c r="D987" s="6"/>
      <c r="E987" s="11"/>
    </row>
    <row r="988" spans="2:5" x14ac:dyDescent="0.25">
      <c r="B988" s="6"/>
      <c r="C988" s="6"/>
      <c r="D988" s="6"/>
      <c r="E988" s="11"/>
    </row>
    <row r="989" spans="2:5" x14ac:dyDescent="0.25">
      <c r="B989" s="6"/>
      <c r="C989" s="6"/>
      <c r="D989" s="6"/>
      <c r="E989" s="11"/>
    </row>
    <row r="990" spans="2:5" x14ac:dyDescent="0.25">
      <c r="B990" s="6"/>
      <c r="C990" s="6"/>
      <c r="D990" s="6"/>
      <c r="E990" s="11"/>
    </row>
    <row r="991" spans="2:5" x14ac:dyDescent="0.25">
      <c r="B991" s="6"/>
      <c r="C991" s="6"/>
      <c r="D991" s="6"/>
      <c r="E991" s="1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1ST TERM ACCOUNT</vt:lpstr>
      <vt:lpstr>1ST TERM PAY LOG</vt:lpstr>
      <vt:lpstr>1ST TERM REMIT</vt:lpstr>
      <vt:lpstr>'1ST TERM ACCOUNT'!Print_Titles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 Awoyemi</cp:lastModifiedBy>
  <cp:lastPrinted>2026-07-27T19:44:36Z</cp:lastPrinted>
  <dcterms:created xsi:type="dcterms:W3CDTF">2022-01-11T08:30:00Z</dcterms:created>
  <dcterms:modified xsi:type="dcterms:W3CDTF">2026-08-14T06:12:56Z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3370a1c1876d41f5b44de5fcc04c3d11</vt:lpwstr>
  </property>
  <property fmtid="{D5CDD505-2E9C-101B-9397-08002B2CF9AE}" pid="3" name="KSOProductBuildVer">
    <vt:lpwstr>1033-11.2.0.11516</vt:lpwstr>
  </property>
</Properties>
</file>